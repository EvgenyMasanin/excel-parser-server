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updateLinks="never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Универ\diploma-work\excel-parser-server\static\"/>
    </mc:Choice>
  </mc:AlternateContent>
  <bookViews>
    <workbookView xWindow="-36" yWindow="636" windowWidth="10332" windowHeight="8796" tabRatio="732" activeTab="2"/>
  </bookViews>
  <sheets>
    <sheet name="Распределение РБ" sheetId="36" r:id="rId1"/>
    <sheet name="Распределение РФ" sheetId="38" r:id="rId2"/>
    <sheet name="СведенияОсень" sheetId="45" r:id="rId3"/>
    <sheet name="СведенияВесна" sheetId="44" r:id="rId4"/>
  </sheets>
  <definedNames>
    <definedName name="DKontingent">#REF!</definedName>
    <definedName name="АСОИ_14Б1">#REF!</definedName>
    <definedName name="АСОИ_14Б2">#REF!</definedName>
    <definedName name="АСОИ_14Б3">#REF!</definedName>
    <definedName name="АСОИ_14Б4">#REF!</definedName>
    <definedName name="АСОИ_14БГ1">#REF!</definedName>
    <definedName name="АСОИ_14БГ2">#REF!</definedName>
    <definedName name="АСОИ_14БГ3">#REF!</definedName>
    <definedName name="АСОИ_14БГ4">#REF!</definedName>
    <definedName name="АСОИ_14В1">#REF!</definedName>
    <definedName name="АСОИ_14В2">#REF!</definedName>
    <definedName name="АСОИ_14В3">#REF!</definedName>
    <definedName name="АСОИ_14В4">#REF!</definedName>
    <definedName name="АСОИ_14ВГ1">#REF!</definedName>
    <definedName name="АСОИ_14ВГ2">#REF!</definedName>
    <definedName name="АСОИ_14ВГ3">#REF!</definedName>
    <definedName name="АСОИ_14ВГ4">#REF!</definedName>
    <definedName name="АСОИ_21Б1">#REF!</definedName>
    <definedName name="АСОИ_21Б2">#REF!</definedName>
    <definedName name="АСОИ_21Б3">#REF!</definedName>
    <definedName name="АСОИ_21Б4">#REF!</definedName>
    <definedName name="АСОИ_21БГ1">#REF!</definedName>
    <definedName name="АСОИ_21БГ2">#REF!</definedName>
    <definedName name="АСОИ_21БГ3">#REF!</definedName>
    <definedName name="АСОИ_21БГ4">#REF!</definedName>
    <definedName name="АСОИ_21В1">#REF!</definedName>
    <definedName name="АСОИ_21В2">#REF!</definedName>
    <definedName name="АСОИ_21В3">#REF!</definedName>
    <definedName name="АСОИ_21В4">#REF!</definedName>
    <definedName name="АСОИ_21ВГ1">#REF!</definedName>
    <definedName name="АСОИ_21ВГ2">#REF!</definedName>
    <definedName name="АСОИ_21ВГ3">#REF!</definedName>
    <definedName name="АСОИ_21ВГ4">#REF!</definedName>
    <definedName name="АСОИзаоБ1">#REF!</definedName>
    <definedName name="АСОИзаоБ2">#REF!</definedName>
    <definedName name="АСОИзаоБ3">#REF!</definedName>
    <definedName name="АСОИзаоБ4">#REF!</definedName>
    <definedName name="АСОИзаоБ5">#REF!</definedName>
    <definedName name="АСОИзаоБГ1">#REF!</definedName>
    <definedName name="АСОИзаоБГ2">#REF!</definedName>
    <definedName name="АСОИзаоБГ3">#REF!</definedName>
    <definedName name="АСОИзаоБГ4">#REF!</definedName>
    <definedName name="АСОИзаоБГ5">#REF!</definedName>
    <definedName name="АСОИзаоВ1">#REF!</definedName>
    <definedName name="АСОИзаоВ2">#REF!</definedName>
    <definedName name="АСОИзаоВ3">#REF!</definedName>
    <definedName name="АСОИзаоВ4">#REF!</definedName>
    <definedName name="АСОИзаоВ5">#REF!</definedName>
    <definedName name="АСОИзаоВГ1">#REF!</definedName>
    <definedName name="АСОИзаоВГ2">#REF!</definedName>
    <definedName name="АСОИзаоВГ3">#REF!</definedName>
    <definedName name="АСОИзаоВГ4">#REF!</definedName>
    <definedName name="АСОИзаоВГ5">#REF!</definedName>
    <definedName name="АСОИсокрБ1">#REF!</definedName>
    <definedName name="АСОИсокрБ2">#REF!</definedName>
    <definedName name="АСОИсокрБ3">#REF!</definedName>
    <definedName name="АСОИсокрБ4">#REF!</definedName>
    <definedName name="АСОИсокрБ5">#REF!</definedName>
    <definedName name="АСОИсокрБГ1">#REF!</definedName>
    <definedName name="АСОИсокрБГ2">#REF!</definedName>
    <definedName name="АСОИсокрБГ3">#REF!</definedName>
    <definedName name="АСОИсокрБГ4">#REF!</definedName>
    <definedName name="АСОИсокрБГ5">#REF!</definedName>
    <definedName name="АСОИсокрВ1">#REF!</definedName>
    <definedName name="АСОИсокрВ2">#REF!</definedName>
    <definedName name="АСОИсокрВ3">#REF!</definedName>
    <definedName name="АСОИсокрВ4">#REF!</definedName>
    <definedName name="АСОИсокрВ5">#REF!</definedName>
    <definedName name="АСОИсокрВГ1">#REF!</definedName>
    <definedName name="АСОИсокрВГ2">#REF!</definedName>
    <definedName name="АСОИсокрВГ3">#REF!</definedName>
    <definedName name="АСОИсокрВГ4">#REF!</definedName>
    <definedName name="АСОИсокрВГ5">#REF!</definedName>
    <definedName name="ВеснаБакДневноеРБ">#REF!</definedName>
    <definedName name="ВеснаБакДневноеРФ">#REF!</definedName>
    <definedName name="ВеснаБакЗаочноеРБ">#REF!</definedName>
    <definedName name="ВеснаМагДневноеРБ">#REF!</definedName>
    <definedName name="ВеснаМагЗаочноеРБ">#REF!</definedName>
    <definedName name="ДКонтингент">#REF!</definedName>
    <definedName name="ДПРБ">#REF!</definedName>
    <definedName name="ДПРФ">#REF!</definedName>
    <definedName name="_xlnm.Print_Titles" localSheetId="0">'Распределение РБ'!$A:$W,'Распределение РБ'!$5:$8</definedName>
    <definedName name="_xlnm.Print_Titles" localSheetId="1">'Распределение РФ'!$A:$W,'Распределение РФ'!$5:$8</definedName>
    <definedName name="_xlnm.Print_Titles" localSheetId="3">СведенияВесна!$A:$M,СведенияВесна!$1:$5</definedName>
    <definedName name="_xlnm.Print_Titles" localSheetId="2">СведенияОсень!$A:$M,СведенияОсень!$1:$5</definedName>
    <definedName name="ЗРБ1">#REF!</definedName>
    <definedName name="ЗРБ2">#REF!</definedName>
    <definedName name="ЗРБ3">#REF!</definedName>
    <definedName name="ЗРБ4">#REF!</definedName>
    <definedName name="ЗРБГ1">#REF!</definedName>
    <definedName name="ЗРБГ2">#REF!</definedName>
    <definedName name="ЗРБГ3">#REF!</definedName>
    <definedName name="ЗРБГ4">#REF!</definedName>
    <definedName name="ЗРВ1">#REF!</definedName>
    <definedName name="ЗРВ2">#REF!</definedName>
    <definedName name="ЗРВ3">#REF!</definedName>
    <definedName name="ЗРВ4">#REF!</definedName>
    <definedName name="ЗРВГ1">#REF!</definedName>
    <definedName name="ЗРВГ2">#REF!</definedName>
    <definedName name="ЗРВГ3">#REF!</definedName>
    <definedName name="ЗРВГ4">#REF!</definedName>
    <definedName name="ИВТ_17Б1">#REF!</definedName>
    <definedName name="ИВТ_17Б2">#REF!</definedName>
    <definedName name="ИВТ_17Б3">#REF!</definedName>
    <definedName name="ИВТ_17Б4">#REF!</definedName>
    <definedName name="ИВТ_17БГ1">#REF!</definedName>
    <definedName name="ИВТ_17БГ2">#REF!</definedName>
    <definedName name="ИВТ_17БГ3">#REF!</definedName>
    <definedName name="ИВТ_17БГ4">#REF!</definedName>
    <definedName name="ИВТ_17В1">#REF!</definedName>
    <definedName name="ИВТ_17В2">#REF!</definedName>
    <definedName name="ИВТ_17В3">#REF!</definedName>
    <definedName name="ИВТ_17В4">#REF!</definedName>
    <definedName name="ИВТ_17ВГ1">#REF!</definedName>
    <definedName name="ИВТ_17ВГ2">#REF!</definedName>
    <definedName name="ИВТ_17ВГ3">#REF!</definedName>
    <definedName name="ИВТ_17ВГ4">#REF!</definedName>
    <definedName name="ИВТ_20Б1">#REF!</definedName>
    <definedName name="ИВТ_20Б2">#REF!</definedName>
    <definedName name="ИВТ_20Б3">#REF!</definedName>
    <definedName name="ИВТ_20Б4">#REF!</definedName>
    <definedName name="ИВТ_20БГ1">#REF!</definedName>
    <definedName name="ИВТ_20БГ2">#REF!</definedName>
    <definedName name="ИВТ_20БГ3">#REF!</definedName>
    <definedName name="ИВТ_20БГ4">#REF!</definedName>
    <definedName name="ИВТ_20В1">#REF!</definedName>
    <definedName name="ИВТ_20В2">#REF!</definedName>
    <definedName name="ИВТ_20В3">#REF!</definedName>
    <definedName name="ИВТ_20В4">#REF!</definedName>
    <definedName name="ИВТ_20ВГ1">#REF!</definedName>
    <definedName name="ИВТ_20ВГ2">#REF!</definedName>
    <definedName name="ИВТ_20ВГ3">#REF!</definedName>
    <definedName name="ИВТ_20ВГ4">#REF!</definedName>
    <definedName name="ИСиТ_21Б1">#REF!</definedName>
    <definedName name="ИСиТ_21Б2">#REF!</definedName>
    <definedName name="ИСиТ_21Б3">#REF!</definedName>
    <definedName name="ИСиТ_21Б4">#REF!</definedName>
    <definedName name="ИСиТ_21БГ1">#REF!</definedName>
    <definedName name="ИСиТ_21БГ2">#REF!</definedName>
    <definedName name="ИСиТ_21БГ3">#REF!</definedName>
    <definedName name="ИСиТ_21БГ4">#REF!</definedName>
    <definedName name="ИСиТ_21В1">#REF!</definedName>
    <definedName name="ИСиТ_21В2">#REF!</definedName>
    <definedName name="ИСиТ_21В3">#REF!</definedName>
    <definedName name="ИСиТ_21В4">#REF!</definedName>
    <definedName name="ИСиТ_21ВГ1">#REF!</definedName>
    <definedName name="ИСиТ_21ВГ2">#REF!</definedName>
    <definedName name="ИСиТ_21ВГ3">#REF!</definedName>
    <definedName name="ИСиТ_21ВГ4">#REF!</definedName>
    <definedName name="ИСиТБ1">#REF!</definedName>
    <definedName name="ИСиТБ2">#REF!</definedName>
    <definedName name="ИСиТБ3">#REF!</definedName>
    <definedName name="ИСиТБ4">#REF!</definedName>
    <definedName name="ИСиТБГ1">#REF!</definedName>
    <definedName name="ИСиТБГ2">#REF!</definedName>
    <definedName name="ИСиТБГ3">#REF!</definedName>
    <definedName name="ИСиТБГ4">#REF!</definedName>
    <definedName name="ИСиТВ1">#REF!</definedName>
    <definedName name="ИСиТВ2">#REF!</definedName>
    <definedName name="ИСиТВ3">#REF!</definedName>
    <definedName name="ИСиТВ4">#REF!</definedName>
    <definedName name="ИСиТВГ1">#REF!</definedName>
    <definedName name="ИСиТВГ2">#REF!</definedName>
    <definedName name="ИСиТВГ3">#REF!</definedName>
    <definedName name="ИСиТВГ4">#REF!</definedName>
    <definedName name="ИСиТсокрБ1">#REF!</definedName>
    <definedName name="ИСиТсокрБ2">#REF!</definedName>
    <definedName name="ИСиТсокрБ3">#REF!</definedName>
    <definedName name="ИСиТсокрБ4">#REF!</definedName>
    <definedName name="ИСиТсокрБ5">#REF!</definedName>
    <definedName name="ИСиТсокрБГ1">#REF!</definedName>
    <definedName name="ИСиТсокрБГ2">#REF!</definedName>
    <definedName name="ИСиТсокрБГ3">#REF!</definedName>
    <definedName name="ИСиТсокрБГ4">#REF!</definedName>
    <definedName name="ИСиТсокрБГ5">#REF!</definedName>
    <definedName name="ИСиТсокрВ1">#REF!</definedName>
    <definedName name="ИСиТсокрВ2">#REF!</definedName>
    <definedName name="ИСиТсокрВ3">#REF!</definedName>
    <definedName name="ИСиТсокрВ4">#REF!</definedName>
    <definedName name="ИСиТсокрВ5">#REF!</definedName>
    <definedName name="ИСиТсокрВГ1">#REF!</definedName>
    <definedName name="ИСиТсокрВГ2">#REF!</definedName>
    <definedName name="ИСиТсокрВГ3">#REF!</definedName>
    <definedName name="ИСиТсокрВГ4">#REF!</definedName>
    <definedName name="ИСиТсокрВГ5">#REF!</definedName>
    <definedName name="КП">#REF!</definedName>
    <definedName name="КР">#REF!</definedName>
    <definedName name="КЧРБ">#REF!</definedName>
    <definedName name="КЧРФ">#REF!</definedName>
    <definedName name="МИРБ1">#REF!</definedName>
    <definedName name="МИРБ2">#REF!</definedName>
    <definedName name="МИРБ3">#REF!</definedName>
    <definedName name="МИРБ4">#REF!</definedName>
    <definedName name="МИРБГ1">#REF!</definedName>
    <definedName name="МИРБГ2">#REF!</definedName>
    <definedName name="МИРБГ3">#REF!</definedName>
    <definedName name="МИРБГ4">#REF!</definedName>
    <definedName name="МИРВ1">#REF!</definedName>
    <definedName name="МИРВ2">#REF!</definedName>
    <definedName name="МИРВ3">#REF!</definedName>
    <definedName name="МИРВ4">#REF!</definedName>
    <definedName name="МИРВГ1">#REF!</definedName>
    <definedName name="МИРВГ2">#REF!</definedName>
    <definedName name="МИРВГ3">#REF!</definedName>
    <definedName name="МИРВГ4">#REF!</definedName>
    <definedName name="МПКБ1">#REF!</definedName>
    <definedName name="МПКБ2">#REF!</definedName>
    <definedName name="МПКБ3">#REF!</definedName>
    <definedName name="МПКБ4">#REF!</definedName>
    <definedName name="МПКБГ1">#REF!</definedName>
    <definedName name="МПКБГ2">#REF!</definedName>
    <definedName name="МПКБГ3">#REF!</definedName>
    <definedName name="МПКБГ4">#REF!</definedName>
    <definedName name="МПКВ1">#REF!</definedName>
    <definedName name="МПКВ2">#REF!</definedName>
    <definedName name="МПКВ3">#REF!</definedName>
    <definedName name="МПКВ4">#REF!</definedName>
    <definedName name="МПКВГ1">#REF!</definedName>
    <definedName name="МПКВГ2">#REF!</definedName>
    <definedName name="МПКВГ3">#REF!</definedName>
    <definedName name="МПКВГ4">#REF!</definedName>
    <definedName name="НКРБ">#REF!</definedName>
    <definedName name="НКРФ">#REF!</definedName>
    <definedName name="_xlnm.Print_Area" localSheetId="1">'Распределение РФ'!$A$1:$X$722</definedName>
    <definedName name="ОсеньБакДневноеРБ">#REF!</definedName>
    <definedName name="ОсеньБакДневноеРФ">#REF!</definedName>
    <definedName name="ОсеньБакЗаочноеРБ">#REF!</definedName>
    <definedName name="ОсеньМагДневноеРБ">#REF!</definedName>
    <definedName name="ОсеньМагЗаочноеРБ">#REF!</definedName>
    <definedName name="ПИОТТБ1">#REF!</definedName>
    <definedName name="ПИОТТБ2">#REF!</definedName>
    <definedName name="ПИОТТБ3">#REF!</definedName>
    <definedName name="ПИОТТБ4">#REF!</definedName>
    <definedName name="ПИОТТБГ1">#REF!</definedName>
    <definedName name="ПИОТТБГ2">#REF!</definedName>
    <definedName name="ПИОТТБГ3">#REF!</definedName>
    <definedName name="ПИОТТБГ4">#REF!</definedName>
    <definedName name="ПИОТТВ1">#REF!</definedName>
    <definedName name="ПИОТТВ2">#REF!</definedName>
    <definedName name="ПИОТТВ3">#REF!</definedName>
    <definedName name="ПИОТТВ4">#REF!</definedName>
    <definedName name="ПИОТТВГ1">#REF!</definedName>
    <definedName name="ПИОТТВГ2">#REF!</definedName>
    <definedName name="ПИОТТВГ3">#REF!</definedName>
    <definedName name="ПИОТТВГ4">#REF!</definedName>
    <definedName name="ПИОТТзаоБ1">#REF!</definedName>
    <definedName name="ПИОТТзаоБ2">#REF!</definedName>
    <definedName name="ПИОТТзаоБ3">#REF!</definedName>
    <definedName name="ПИОТТзаоБ4">#REF!</definedName>
    <definedName name="ПИОТТзаоБ5">#REF!</definedName>
    <definedName name="ПИОТТзаоБГ1">#REF!</definedName>
    <definedName name="ПИОТТзаоБГ2">#REF!</definedName>
    <definedName name="ПИОТТзаоБГ3">#REF!</definedName>
    <definedName name="ПИОТТзаоБГ4">#REF!</definedName>
    <definedName name="ПИОТТзаоБГ5">#REF!</definedName>
    <definedName name="ПИОТТзаоВ1">#REF!</definedName>
    <definedName name="ПИОТТзаоВ2">#REF!</definedName>
    <definedName name="ПИОТТзаоВ3">#REF!</definedName>
    <definedName name="ПИОТТзаоВ4">#REF!</definedName>
    <definedName name="ПИОТТзаоВ5">#REF!</definedName>
    <definedName name="ПИОТТзаоВГ1">#REF!</definedName>
    <definedName name="ПИОТТзаоВГ2">#REF!</definedName>
    <definedName name="ПИОТТзаоВГ3">#REF!</definedName>
    <definedName name="ПИОТТзаоВГ4">#REF!</definedName>
    <definedName name="ПИОТТзаоВГ5">#REF!</definedName>
    <definedName name="ПИР_17Б1">#REF!</definedName>
    <definedName name="ПИР_17Б2">#REF!</definedName>
    <definedName name="ПИР_17Б3">#REF!</definedName>
    <definedName name="ПИР_17Б4">#REF!</definedName>
    <definedName name="ПИР_17БГ1">#REF!</definedName>
    <definedName name="ПИР_17БГ2">#REF!</definedName>
    <definedName name="ПИР_17БГ3">#REF!</definedName>
    <definedName name="ПИР_17БГ4">#REF!</definedName>
    <definedName name="ПИР_17В1">#REF!</definedName>
    <definedName name="ПИР_17В2">#REF!</definedName>
    <definedName name="ПИР_17В3">#REF!</definedName>
    <definedName name="ПИР_17В4">#REF!</definedName>
    <definedName name="ПИР_17ВГ1">#REF!</definedName>
    <definedName name="ПИР_17ВГ2">#REF!</definedName>
    <definedName name="ПИР_17ВГ3">#REF!</definedName>
    <definedName name="ПИР_17ВГ4">#REF!</definedName>
    <definedName name="ПИР_20Б1">#REF!</definedName>
    <definedName name="ПИР_20Б2">#REF!</definedName>
    <definedName name="ПИР_20Б3">#REF!</definedName>
    <definedName name="ПИР_20Б4">#REF!</definedName>
    <definedName name="ПИР_20БГ1">#REF!</definedName>
    <definedName name="ПИР_20БГ2">#REF!</definedName>
    <definedName name="ПИР_20БГ3">#REF!</definedName>
    <definedName name="ПИР_20БГ4">#REF!</definedName>
    <definedName name="ПИР_20В1">#REF!</definedName>
    <definedName name="ПИР_20В2">#REF!</definedName>
    <definedName name="ПИР_20В3">#REF!</definedName>
    <definedName name="ПИР_20В4">#REF!</definedName>
    <definedName name="ПИР_20ВГ1">#REF!</definedName>
    <definedName name="ПИР_20ВГ2">#REF!</definedName>
    <definedName name="ПИР_20ВГ3">#REF!</definedName>
    <definedName name="ПИР_20ВГ4">#REF!</definedName>
    <definedName name="ПМБ1">#REF!</definedName>
    <definedName name="ПМБ2">#REF!</definedName>
    <definedName name="ПМБ3">#REF!</definedName>
    <definedName name="ПМБ4">#REF!</definedName>
    <definedName name="ПМБГ1">#REF!</definedName>
    <definedName name="ПМБГ2">#REF!</definedName>
    <definedName name="ПМБГ3">#REF!</definedName>
    <definedName name="ПМБГ4">#REF!</definedName>
    <definedName name="ПМВ1">#REF!</definedName>
    <definedName name="ПМВ2">#REF!</definedName>
    <definedName name="ПМВ3">#REF!</definedName>
    <definedName name="ПМВ4">#REF!</definedName>
    <definedName name="ПМВГ1">#REF!</definedName>
    <definedName name="ПМВГ2">#REF!</definedName>
    <definedName name="ПМВГ3">#REF!</definedName>
    <definedName name="ПМВГ4">#REF!</definedName>
    <definedName name="ПреподавателиРБ">'Распределение РБ'!$A$9:$W$716</definedName>
    <definedName name="ПреподавателиРФ">'Распределение РФ'!$A$9:$W$715</definedName>
    <definedName name="РРБ">#REF!</definedName>
    <definedName name="РРФ">#REF!</definedName>
    <definedName name="СА1.5Б1">#REF!</definedName>
    <definedName name="СА1.5Б2">#REF!</definedName>
    <definedName name="СА1.5Б3">#REF!</definedName>
    <definedName name="СА1.5Б4">#REF!</definedName>
    <definedName name="СА1.5БГ1">#REF!</definedName>
    <definedName name="СА1.5БГ2">#REF!</definedName>
    <definedName name="СА1.5БГ3">#REF!</definedName>
    <definedName name="СА1.5БГ4">#REF!</definedName>
    <definedName name="СА1.5В1">#REF!</definedName>
    <definedName name="СА1.5В2">#REF!</definedName>
    <definedName name="СА1.5В3">#REF!</definedName>
    <definedName name="СА1.5В4">#REF!</definedName>
    <definedName name="СА1.5ВГ1">#REF!</definedName>
    <definedName name="СА1.5ВГ2">#REF!</definedName>
    <definedName name="СА1.5ВГ3">#REF!</definedName>
    <definedName name="СА1.5ВГ4">#REF!</definedName>
    <definedName name="СА1.75Б1">#REF!</definedName>
    <definedName name="СА1.75Б2">#REF!</definedName>
    <definedName name="СА1.75Б3">#REF!</definedName>
    <definedName name="СА1.75Б4">#REF!</definedName>
    <definedName name="СА1.75БГ1">#REF!</definedName>
    <definedName name="СА1.75БГ2">#REF!</definedName>
    <definedName name="СА1.75БГ3">#REF!</definedName>
    <definedName name="СА1.75БГ4">#REF!</definedName>
    <definedName name="СА1.75В1">#REF!</definedName>
    <definedName name="СА1.75В2">#REF!</definedName>
    <definedName name="СА1.75В3">#REF!</definedName>
    <definedName name="СА1.75В4">#REF!</definedName>
    <definedName name="СА1.75ВГ1">#REF!</definedName>
    <definedName name="СА1.75ВГ2">#REF!</definedName>
    <definedName name="СА1.75ВГ3">#REF!</definedName>
    <definedName name="СА1.75ВГ4">#REF!</definedName>
    <definedName name="СА2.0_19заоБ1">#REF!</definedName>
    <definedName name="СА2.0_19заоБ2">#REF!</definedName>
    <definedName name="СА2.0_19заоБ3">#REF!</definedName>
    <definedName name="СА2.0_19заоБ4">#REF!</definedName>
    <definedName name="СА2.0_19заоБ5">#REF!</definedName>
    <definedName name="СА2.0_19заоБГ1">#REF!</definedName>
    <definedName name="СА2.0_19заоБГ2">#REF!</definedName>
    <definedName name="СА2.0_19заоБГ3">#REF!</definedName>
    <definedName name="СА2.0_19заоБГ4">#REF!</definedName>
    <definedName name="СА2.0_19заоБГ5">#REF!</definedName>
    <definedName name="СА2.0_19заоВ1">#REF!</definedName>
    <definedName name="СА2.0_19заоВ2">#REF!</definedName>
    <definedName name="СА2.0_19заоВ3">#REF!</definedName>
    <definedName name="СА2.0_19заоВ4">#REF!</definedName>
    <definedName name="СА2.0_19заоВ5">#REF!</definedName>
    <definedName name="СА2.0_19заоВГ1">#REF!</definedName>
    <definedName name="СА2.0_19заоВГ2">#REF!</definedName>
    <definedName name="СА2.0_19заоВГ3">#REF!</definedName>
    <definedName name="СА2.0_19заоВГ4">#REF!</definedName>
    <definedName name="СА2.0_19заоВГ5">#REF!</definedName>
    <definedName name="САУиОДБ1">#REF!</definedName>
    <definedName name="САУиОДБ2">#REF!</definedName>
    <definedName name="САУиОДБ3">#REF!</definedName>
    <definedName name="САУиОДБ4">#REF!</definedName>
    <definedName name="САУиОДБГ1">#REF!</definedName>
    <definedName name="САУиОДБГ2">#REF!</definedName>
    <definedName name="САУиОДБГ3">#REF!</definedName>
    <definedName name="САУиОДБГ4">#REF!</definedName>
    <definedName name="САУиОДВ1">#REF!</definedName>
    <definedName name="САУиОДВ2">#REF!</definedName>
    <definedName name="САУиОДВ3">#REF!</definedName>
    <definedName name="САУиОДВ4">#REF!</definedName>
    <definedName name="САУиОДВГ1">#REF!</definedName>
    <definedName name="САУиОДВГ2">#REF!</definedName>
    <definedName name="САУиОДВГ3">#REF!</definedName>
    <definedName name="САУиОДВГ4">#REF!</definedName>
    <definedName name="СПБ1">#REF!</definedName>
    <definedName name="СПБ2">#REF!</definedName>
    <definedName name="СПБ3">#REF!</definedName>
    <definedName name="СПБ4">#REF!</definedName>
    <definedName name="СПБГ1">#REF!</definedName>
    <definedName name="СПБГ2">#REF!</definedName>
    <definedName name="СПБГ3">#REF!</definedName>
    <definedName name="СПБГ4">#REF!</definedName>
    <definedName name="СПВ1">#REF!</definedName>
    <definedName name="СПВ2">#REF!</definedName>
    <definedName name="СПВ3">#REF!</definedName>
    <definedName name="СПВ4">#REF!</definedName>
    <definedName name="СПВГ1">#REF!</definedName>
    <definedName name="СПВГ2">#REF!</definedName>
    <definedName name="СПВГ3">#REF!</definedName>
    <definedName name="СПВГ4">#REF!</definedName>
    <definedName name="СПзаоБ1">#REF!</definedName>
    <definedName name="СПзаоБ2">#REF!</definedName>
    <definedName name="СПзаоБ3">#REF!</definedName>
    <definedName name="СПзаоБ4">#REF!</definedName>
    <definedName name="СПзаоБ5">#REF!</definedName>
    <definedName name="СПзаоБГ1">#REF!</definedName>
    <definedName name="СПзаоБГ2">#REF!</definedName>
    <definedName name="СПзаоБГ3">#REF!</definedName>
    <definedName name="СПзаоБГ4">#REF!</definedName>
    <definedName name="СПзаоБГ5">#REF!</definedName>
    <definedName name="СПзаоВ1">#REF!</definedName>
    <definedName name="СПзаоВ2">#REF!</definedName>
    <definedName name="СПзаоВ3">#REF!</definedName>
    <definedName name="СПзаоВ4">#REF!</definedName>
    <definedName name="СПзаоВ5">#REF!</definedName>
    <definedName name="СПзаоВГ1">#REF!</definedName>
    <definedName name="СПзаоВГ2">#REF!</definedName>
    <definedName name="СПзаоВГ3">#REF!</definedName>
    <definedName name="СПзаоВГ4">#REF!</definedName>
    <definedName name="СПзаоВГ5">#REF!</definedName>
    <definedName name="СПсокрБ1">#REF!</definedName>
    <definedName name="СПсокрБ2">#REF!</definedName>
    <definedName name="СПсокрБ3">#REF!</definedName>
    <definedName name="СПсокрБ4">#REF!</definedName>
    <definedName name="СПсокрБ5">#REF!</definedName>
    <definedName name="СПсокрБГ1">#REF!</definedName>
    <definedName name="СПсокрБГ2">#REF!</definedName>
    <definedName name="СПсокрБГ3">#REF!</definedName>
    <definedName name="СПсокрБГ4">#REF!</definedName>
    <definedName name="СПсокрБГ5">#REF!</definedName>
    <definedName name="СПсокрВ1">#REF!</definedName>
    <definedName name="СПсокрВ2">#REF!</definedName>
    <definedName name="СПсокрВ3">#REF!</definedName>
    <definedName name="СПсокрВ4">#REF!</definedName>
    <definedName name="СПсокрВ5">#REF!</definedName>
    <definedName name="СПсокрВГ1">#REF!</definedName>
    <definedName name="СПсокрВГ2">#REF!</definedName>
    <definedName name="СПсокрВГ3">#REF!</definedName>
    <definedName name="СПсокрВГ4">#REF!</definedName>
    <definedName name="СПсокрВГ5">#REF!</definedName>
    <definedName name="ТМБ1">#REF!</definedName>
    <definedName name="ТМБ2">#REF!</definedName>
    <definedName name="ТМБ3">#REF!</definedName>
    <definedName name="ТМБ4">#REF!</definedName>
    <definedName name="ТМБГ1">#REF!</definedName>
    <definedName name="ТМБГ2">#REF!</definedName>
    <definedName name="ТМБГ3">#REF!</definedName>
    <definedName name="ТМБГ4">#REF!</definedName>
    <definedName name="ТМВ1">#REF!</definedName>
    <definedName name="ТМВ2">#REF!</definedName>
    <definedName name="ТМВ3">#REF!</definedName>
    <definedName name="ТМВ4">#REF!</definedName>
    <definedName name="ТМВГ1">#REF!</definedName>
    <definedName name="ТМВГ2">#REF!</definedName>
    <definedName name="ТМВГ3">#REF!</definedName>
    <definedName name="ТМВГ4">#REF!</definedName>
    <definedName name="ТМзаоБ1">#REF!</definedName>
    <definedName name="ТМзаоБ2">#REF!</definedName>
    <definedName name="ТМзаоБ3">#REF!</definedName>
    <definedName name="ТМзаоБ4">#REF!</definedName>
    <definedName name="ТМзаоБ5">#REF!</definedName>
    <definedName name="ТМзаоБГ1">#REF!</definedName>
    <definedName name="ТМзаоБГ2">#REF!</definedName>
    <definedName name="ТМзаоБГ3">#REF!</definedName>
    <definedName name="ТМзаоБГ4">#REF!</definedName>
    <definedName name="ТМзаоБГ5">#REF!</definedName>
    <definedName name="ТМзаоВ1">#REF!</definedName>
    <definedName name="ТМзаоВ2">#REF!</definedName>
    <definedName name="ТМзаоВ3">#REF!</definedName>
    <definedName name="ТМзаоВ4">#REF!</definedName>
    <definedName name="ТМзаоВ5">#REF!</definedName>
    <definedName name="ТМзаоВГ1">#REF!</definedName>
    <definedName name="ТМзаоВГ2">#REF!</definedName>
    <definedName name="ТМзаоВГ3">#REF!</definedName>
    <definedName name="ТМзаоВГ4">#REF!</definedName>
    <definedName name="ТМзаоВГ5">#REF!</definedName>
    <definedName name="ТМсокрБ1">#REF!</definedName>
    <definedName name="ТМсокрБ2">#REF!</definedName>
    <definedName name="ТМсокрБ3">#REF!</definedName>
    <definedName name="ТМсокрБ4">#REF!</definedName>
    <definedName name="ТМсокрБ5">#REF!</definedName>
    <definedName name="ТМсокрБГ1">#REF!</definedName>
    <definedName name="ТМсокрБГ2">#REF!</definedName>
    <definedName name="ТМсокрБГ3">#REF!</definedName>
    <definedName name="ТМсокрБГ4">#REF!</definedName>
    <definedName name="ТМсокрБГ5">#REF!</definedName>
    <definedName name="ТМсокрВ1">#REF!</definedName>
    <definedName name="ТМсокрВ2">#REF!</definedName>
    <definedName name="ТМсокрВ3">#REF!</definedName>
    <definedName name="ТМсокрВ4">#REF!</definedName>
    <definedName name="ТМсокрВ5">#REF!</definedName>
    <definedName name="ТМсокрВГ1">#REF!</definedName>
    <definedName name="ТМсокрВГ2">#REF!</definedName>
    <definedName name="ТМсокрВГ3">#REF!</definedName>
    <definedName name="ТМсокрВГ4">#REF!</definedName>
    <definedName name="ТМсокрВГ5">#REF!</definedName>
    <definedName name="ТОМПБ1">#REF!</definedName>
    <definedName name="ТОМПБ2">#REF!</definedName>
    <definedName name="ТОМПБ3">#REF!</definedName>
    <definedName name="ТОМПБ4">#REF!</definedName>
    <definedName name="ТОМПБГ1">#REF!</definedName>
    <definedName name="ТОМПБГ2">#REF!</definedName>
    <definedName name="ТОМПБГ3">#REF!</definedName>
    <definedName name="ТОМПБГ4">#REF!</definedName>
    <definedName name="ТОМПВ1">#REF!</definedName>
    <definedName name="ТОМПВ2">#REF!</definedName>
    <definedName name="ТОМПВ3">#REF!</definedName>
    <definedName name="ТОМПВ4">#REF!</definedName>
    <definedName name="ТОМПВГ1">#REF!</definedName>
    <definedName name="ТОМПВГ2">#REF!</definedName>
    <definedName name="ТОМПВГ3">#REF!</definedName>
    <definedName name="ТОМПВГ4">#REF!</definedName>
    <definedName name="ТОМПсокрБ1">#REF!</definedName>
    <definedName name="ТОМПсокрБ2">#REF!</definedName>
    <definedName name="ТОМПсокрБ3">#REF!</definedName>
    <definedName name="ТОМПсокрБ4">#REF!</definedName>
    <definedName name="ТОМПсокрБ5">#REF!</definedName>
    <definedName name="ТОМПсокрБГ1">#REF!</definedName>
    <definedName name="ТОМПсокрБГ2">#REF!</definedName>
    <definedName name="ТОМПсокрБГ3">#REF!</definedName>
    <definedName name="ТОМПсокрБГ4">#REF!</definedName>
    <definedName name="ТОМПсокрБГ5">#REF!</definedName>
    <definedName name="ТОМПсокрВ1">#REF!</definedName>
    <definedName name="ТОМПсокрВ2">#REF!</definedName>
    <definedName name="ТОМПсокрВ3">#REF!</definedName>
    <definedName name="ТОМПсокрВ4">#REF!</definedName>
    <definedName name="ТОМПсокрВ5">#REF!</definedName>
    <definedName name="ТОМПсокрВГ1">#REF!</definedName>
    <definedName name="ТОМПсокрВГ2">#REF!</definedName>
    <definedName name="ТОМПсокрВГ3">#REF!</definedName>
    <definedName name="ТОМПсокрВГ4">#REF!</definedName>
    <definedName name="ТОМПсокрВГ5">#REF!</definedName>
    <definedName name="УРБ">#REF!</definedName>
    <definedName name="УРФ">#REF!</definedName>
    <definedName name="ФКБ1">#REF!</definedName>
    <definedName name="ФКБ2">#REF!</definedName>
    <definedName name="ФКБ3">#REF!</definedName>
    <definedName name="ФКБ4">#REF!</definedName>
    <definedName name="ФКБГ1">#REF!</definedName>
    <definedName name="ФКБГ2">#REF!</definedName>
    <definedName name="ФКБГ3">#REF!</definedName>
    <definedName name="ФКБГ4">#REF!</definedName>
    <definedName name="ФКВ1">#REF!</definedName>
    <definedName name="ФКВ2">#REF!</definedName>
    <definedName name="ФКВ3">#REF!</definedName>
    <definedName name="ФКВ4">#REF!</definedName>
    <definedName name="ФКВГ1">#REF!</definedName>
    <definedName name="ФКВГ2">#REF!</definedName>
    <definedName name="ФКВГ3">#REF!</definedName>
    <definedName name="ФКВГ4">#REF!</definedName>
    <definedName name="ФКзаоБ1">#REF!</definedName>
    <definedName name="ФКзаоБ2">#REF!</definedName>
    <definedName name="ФКзаоБ3">#REF!</definedName>
    <definedName name="ФКзаоБ4">#REF!</definedName>
    <definedName name="ФКзаоБ5">#REF!</definedName>
    <definedName name="ФКзаоБГ1">#REF!</definedName>
    <definedName name="ФКзаоБГ2">#REF!</definedName>
    <definedName name="ФКзаоБГ3">#REF!</definedName>
    <definedName name="ФКзаоБГ4">#REF!</definedName>
    <definedName name="ФКзаоБГ5">#REF!</definedName>
    <definedName name="ФКзаоВ1">#REF!</definedName>
    <definedName name="ФКзаоВ2">#REF!</definedName>
    <definedName name="ФКзаоВ3">#REF!</definedName>
    <definedName name="ФКзаоВ4">#REF!</definedName>
    <definedName name="ФКзаоВ5">#REF!</definedName>
    <definedName name="ФКзаоВГ1">#REF!</definedName>
    <definedName name="ФКзаоВГ2">#REF!</definedName>
    <definedName name="ФКзаоВГ3">#REF!</definedName>
    <definedName name="ФКзаоВГ4">#REF!</definedName>
    <definedName name="ФКзаоВГ5">#REF!</definedName>
    <definedName name="ФКсокрБ1">#REF!</definedName>
    <definedName name="ФКсокрБ2">#REF!</definedName>
    <definedName name="ФКсокрБ3">#REF!</definedName>
    <definedName name="ФКсокрБ4">#REF!</definedName>
    <definedName name="ФКсокрБ5">#REF!</definedName>
    <definedName name="ФКсокрБГ1">#REF!</definedName>
    <definedName name="ФКсокрБГ2">#REF!</definedName>
    <definedName name="ФКсокрБГ3">#REF!</definedName>
    <definedName name="ФКсокрБГ4">#REF!</definedName>
    <definedName name="ФКсокрБГ5">#REF!</definedName>
    <definedName name="ФКсокрВ1">#REF!</definedName>
    <definedName name="ФКсокрВ2">#REF!</definedName>
    <definedName name="ФКсокрВ3">#REF!</definedName>
    <definedName name="ФКсокрВ4">#REF!</definedName>
    <definedName name="ФКсокрВ5">#REF!</definedName>
    <definedName name="ФКсокрВГ1">#REF!</definedName>
    <definedName name="ФКсокрВГ2">#REF!</definedName>
    <definedName name="ФКсокрВГ3">#REF!</definedName>
    <definedName name="ФКсокрВГ4">#REF!</definedName>
    <definedName name="ФКсокрВГ5">#REF!</definedName>
    <definedName name="ЭМБ1">#REF!</definedName>
    <definedName name="ЭМБ2">#REF!</definedName>
    <definedName name="ЭМБ3">#REF!</definedName>
    <definedName name="ЭМБ4">#REF!</definedName>
    <definedName name="ЭМБГ1">#REF!</definedName>
    <definedName name="ЭМБГ2">#REF!</definedName>
    <definedName name="ЭМБГ3">#REF!</definedName>
    <definedName name="ЭМБГ4">#REF!</definedName>
    <definedName name="ЭМВ1">#REF!</definedName>
    <definedName name="ЭМВ2">#REF!</definedName>
    <definedName name="ЭМВ3">#REF!</definedName>
    <definedName name="ЭМВ4">#REF!</definedName>
    <definedName name="ЭМВГ1">#REF!</definedName>
    <definedName name="ЭМВГ2">#REF!</definedName>
    <definedName name="ЭМВГ3">#REF!</definedName>
    <definedName name="ЭМВГ4">#REF!</definedName>
    <definedName name="ЭМзаоБ1">#REF!</definedName>
    <definedName name="ЭМзаоБ2">#REF!</definedName>
    <definedName name="ЭМзаоБ3">#REF!</definedName>
    <definedName name="ЭМзаоБ4">#REF!</definedName>
    <definedName name="ЭМзаоБ5">#REF!</definedName>
    <definedName name="ЭМзаоБГ1">#REF!</definedName>
    <definedName name="ЭМзаоБГ2">#REF!</definedName>
    <definedName name="ЭМзаоБГ3">#REF!</definedName>
    <definedName name="ЭМзаоБГ4">#REF!</definedName>
    <definedName name="ЭМзаоБГ5">#REF!</definedName>
    <definedName name="ЭМзаоВ1">#REF!</definedName>
    <definedName name="ЭМзаоВ2">#REF!</definedName>
    <definedName name="ЭМзаоВ3">#REF!</definedName>
    <definedName name="ЭМзаоВ4">#REF!</definedName>
    <definedName name="ЭМзаоВ5">#REF!</definedName>
    <definedName name="ЭМзаоВГ1">#REF!</definedName>
    <definedName name="ЭМзаоВГ2">#REF!</definedName>
    <definedName name="ЭМзаоВГ3">#REF!</definedName>
    <definedName name="ЭМзаоВГ4">#REF!</definedName>
    <definedName name="ЭМзаоВГ5">#REF!</definedName>
    <definedName name="ЭМсокрБ1">#REF!</definedName>
    <definedName name="ЭМсокрБ2">#REF!</definedName>
    <definedName name="ЭМсокрБ3">#REF!</definedName>
    <definedName name="ЭМсокрБ4">#REF!</definedName>
    <definedName name="ЭМсокрБ5">#REF!</definedName>
    <definedName name="ЭМсокрБГ1">#REF!</definedName>
    <definedName name="ЭМсокрБГ2">#REF!</definedName>
    <definedName name="ЭМсокрБГ3">#REF!</definedName>
    <definedName name="ЭМсокрБГ4">#REF!</definedName>
    <definedName name="ЭМсокрБГ5">#REF!</definedName>
    <definedName name="ЭМсокрВ1">#REF!</definedName>
    <definedName name="ЭМсокрВ2">#REF!</definedName>
    <definedName name="ЭМсокрВ3">#REF!</definedName>
    <definedName name="ЭМсокрВ4">#REF!</definedName>
    <definedName name="ЭМсокрВ5">#REF!</definedName>
    <definedName name="ЭМсокрВГ1">#REF!</definedName>
    <definedName name="ЭМсокрВГ2">#REF!</definedName>
    <definedName name="ЭМсокрВГ3">#REF!</definedName>
    <definedName name="ЭМсокрВГ4">#REF!</definedName>
    <definedName name="ЭМсокрВГ5">#REF!</definedName>
  </definedNames>
  <calcPr calcId="162913"/>
</workbook>
</file>

<file path=xl/calcChain.xml><?xml version="1.0" encoding="utf-8"?>
<calcChain xmlns="http://schemas.openxmlformats.org/spreadsheetml/2006/main">
  <c r="V50" i="36" l="1"/>
  <c r="F654" i="36" l="1"/>
  <c r="F653" i="36"/>
  <c r="F717" i="36" s="1"/>
  <c r="N118" i="36" l="1"/>
  <c r="V705" i="36" l="1"/>
  <c r="V694" i="36"/>
  <c r="F692" i="38" l="1"/>
  <c r="F691" i="38"/>
  <c r="V28" i="36" l="1"/>
  <c r="V27" i="36"/>
  <c r="V26" i="36"/>
  <c r="V25" i="36"/>
  <c r="V191" i="36"/>
  <c r="V192" i="36"/>
  <c r="V193" i="36"/>
  <c r="V194" i="36"/>
  <c r="V29" i="36"/>
  <c r="V30" i="36"/>
  <c r="F718" i="36"/>
  <c r="V618" i="36"/>
  <c r="V617" i="36"/>
  <c r="V616" i="36"/>
  <c r="V615" i="36"/>
  <c r="V614" i="36"/>
  <c r="V613" i="36"/>
  <c r="V612" i="36"/>
  <c r="V611" i="36"/>
  <c r="V610" i="36"/>
  <c r="V609" i="36"/>
  <c r="V608" i="36"/>
  <c r="V607" i="36"/>
  <c r="V606" i="36"/>
  <c r="V605" i="36"/>
  <c r="V604" i="36"/>
  <c r="V603" i="36"/>
  <c r="V602" i="36"/>
  <c r="V600" i="36"/>
  <c r="V599" i="36"/>
  <c r="V598" i="36"/>
  <c r="V597" i="36"/>
  <c r="V596" i="36"/>
  <c r="V595" i="36"/>
  <c r="V594" i="36"/>
  <c r="V593" i="36"/>
  <c r="V592" i="36"/>
  <c r="V591" i="36"/>
  <c r="U590" i="36"/>
  <c r="T590" i="36"/>
  <c r="S590" i="36"/>
  <c r="R590" i="36"/>
  <c r="Q590" i="36"/>
  <c r="P590" i="36"/>
  <c r="O590" i="36"/>
  <c r="N590" i="36"/>
  <c r="M590" i="36"/>
  <c r="L590" i="36"/>
  <c r="K590" i="36"/>
  <c r="J590" i="36"/>
  <c r="I590" i="36"/>
  <c r="H590" i="36"/>
  <c r="G590" i="36"/>
  <c r="U589" i="36"/>
  <c r="T589" i="36"/>
  <c r="S589" i="36"/>
  <c r="R589" i="36"/>
  <c r="Q589" i="36"/>
  <c r="P589" i="36"/>
  <c r="O589" i="36"/>
  <c r="N589" i="36"/>
  <c r="M589" i="36"/>
  <c r="L589" i="36"/>
  <c r="K589" i="36"/>
  <c r="J589" i="36"/>
  <c r="I589" i="36"/>
  <c r="H589" i="36"/>
  <c r="G589" i="36"/>
  <c r="V586" i="36"/>
  <c r="V585" i="36"/>
  <c r="V584" i="36"/>
  <c r="V583" i="36"/>
  <c r="V582" i="36"/>
  <c r="V581" i="36"/>
  <c r="V580" i="36"/>
  <c r="V579" i="36"/>
  <c r="V578" i="36"/>
  <c r="V577" i="36"/>
  <c r="V576" i="36"/>
  <c r="V575" i="36"/>
  <c r="V574" i="36"/>
  <c r="V573" i="36"/>
  <c r="V572" i="36"/>
  <c r="V571" i="36"/>
  <c r="V570" i="36"/>
  <c r="V568" i="36"/>
  <c r="V567" i="36"/>
  <c r="V566" i="36"/>
  <c r="V565" i="36"/>
  <c r="V564" i="36"/>
  <c r="V563" i="36"/>
  <c r="V562" i="36"/>
  <c r="V561" i="36"/>
  <c r="V560" i="36"/>
  <c r="V559" i="36"/>
  <c r="U558" i="36"/>
  <c r="T558" i="36"/>
  <c r="S558" i="36"/>
  <c r="R558" i="36"/>
  <c r="Q558" i="36"/>
  <c r="P558" i="36"/>
  <c r="O558" i="36"/>
  <c r="N558" i="36"/>
  <c r="M558" i="36"/>
  <c r="L558" i="36"/>
  <c r="K558" i="36"/>
  <c r="J558" i="36"/>
  <c r="I558" i="36"/>
  <c r="H558" i="36"/>
  <c r="G558" i="36"/>
  <c r="U557" i="36"/>
  <c r="T557" i="36"/>
  <c r="S557" i="36"/>
  <c r="R557" i="36"/>
  <c r="Q557" i="36"/>
  <c r="P557" i="36"/>
  <c r="O557" i="36"/>
  <c r="N557" i="36"/>
  <c r="M557" i="36"/>
  <c r="L557" i="36"/>
  <c r="K557" i="36"/>
  <c r="J557" i="36"/>
  <c r="I557" i="36"/>
  <c r="H557" i="36"/>
  <c r="G557" i="36"/>
  <c r="V190" i="36"/>
  <c r="V195" i="36"/>
  <c r="V22" i="36"/>
  <c r="V23" i="36"/>
  <c r="V24" i="36"/>
  <c r="V31" i="36"/>
  <c r="V32" i="36"/>
  <c r="U661" i="38"/>
  <c r="T661" i="38"/>
  <c r="S661" i="38"/>
  <c r="R661" i="38"/>
  <c r="Q661" i="38"/>
  <c r="P661" i="38"/>
  <c r="O661" i="38"/>
  <c r="N661" i="38"/>
  <c r="M661" i="38"/>
  <c r="L661" i="38"/>
  <c r="K661" i="38"/>
  <c r="J661" i="38"/>
  <c r="I661" i="38"/>
  <c r="H661" i="38"/>
  <c r="G661" i="38"/>
  <c r="U660" i="38"/>
  <c r="T660" i="38"/>
  <c r="S660" i="38"/>
  <c r="R660" i="38"/>
  <c r="Q660" i="38"/>
  <c r="P660" i="38"/>
  <c r="O660" i="38"/>
  <c r="N660" i="38"/>
  <c r="M660" i="38"/>
  <c r="L660" i="38"/>
  <c r="K660" i="38"/>
  <c r="J660" i="38"/>
  <c r="I660" i="38"/>
  <c r="H660" i="38"/>
  <c r="G660" i="38"/>
  <c r="U630" i="38"/>
  <c r="T630" i="38"/>
  <c r="S630" i="38"/>
  <c r="R630" i="38"/>
  <c r="Q630" i="38"/>
  <c r="P630" i="38"/>
  <c r="O630" i="38"/>
  <c r="N630" i="38"/>
  <c r="M630" i="38"/>
  <c r="L630" i="38"/>
  <c r="K630" i="38"/>
  <c r="J630" i="38"/>
  <c r="I630" i="38"/>
  <c r="H630" i="38"/>
  <c r="G630" i="38"/>
  <c r="U629" i="38"/>
  <c r="T629" i="38"/>
  <c r="S629" i="38"/>
  <c r="R629" i="38"/>
  <c r="Q629" i="38"/>
  <c r="P629" i="38"/>
  <c r="O629" i="38"/>
  <c r="N629" i="38"/>
  <c r="M629" i="38"/>
  <c r="L629" i="38"/>
  <c r="K629" i="38"/>
  <c r="J629" i="38"/>
  <c r="I629" i="38"/>
  <c r="H629" i="38"/>
  <c r="G629" i="38"/>
  <c r="U599" i="38"/>
  <c r="T599" i="38"/>
  <c r="S599" i="38"/>
  <c r="R599" i="38"/>
  <c r="Q599" i="38"/>
  <c r="P599" i="38"/>
  <c r="O599" i="38"/>
  <c r="N599" i="38"/>
  <c r="M599" i="38"/>
  <c r="L599" i="38"/>
  <c r="K599" i="38"/>
  <c r="J599" i="38"/>
  <c r="I599" i="38"/>
  <c r="H599" i="38"/>
  <c r="G599" i="38"/>
  <c r="U598" i="38"/>
  <c r="T598" i="38"/>
  <c r="S598" i="38"/>
  <c r="R598" i="38"/>
  <c r="Q598" i="38"/>
  <c r="P598" i="38"/>
  <c r="O598" i="38"/>
  <c r="N598" i="38"/>
  <c r="M598" i="38"/>
  <c r="L598" i="38"/>
  <c r="K598" i="38"/>
  <c r="J598" i="38"/>
  <c r="I598" i="38"/>
  <c r="H598" i="38"/>
  <c r="G598" i="38"/>
  <c r="U568" i="38"/>
  <c r="T568" i="38"/>
  <c r="S568" i="38"/>
  <c r="R568" i="38"/>
  <c r="Q568" i="38"/>
  <c r="P568" i="38"/>
  <c r="O568" i="38"/>
  <c r="N568" i="38"/>
  <c r="M568" i="38"/>
  <c r="L568" i="38"/>
  <c r="K568" i="38"/>
  <c r="J568" i="38"/>
  <c r="I568" i="38"/>
  <c r="H568" i="38"/>
  <c r="G568" i="38"/>
  <c r="U567" i="38"/>
  <c r="T567" i="38"/>
  <c r="S567" i="38"/>
  <c r="R567" i="38"/>
  <c r="Q567" i="38"/>
  <c r="P567" i="38"/>
  <c r="O567" i="38"/>
  <c r="N567" i="38"/>
  <c r="M567" i="38"/>
  <c r="L567" i="38"/>
  <c r="K567" i="38"/>
  <c r="J567" i="38"/>
  <c r="I567" i="38"/>
  <c r="H567" i="38"/>
  <c r="G567" i="38"/>
  <c r="U622" i="36"/>
  <c r="T622" i="36"/>
  <c r="S622" i="36"/>
  <c r="R622" i="36"/>
  <c r="Q622" i="36"/>
  <c r="P622" i="36"/>
  <c r="O622" i="36"/>
  <c r="N622" i="36"/>
  <c r="M622" i="36"/>
  <c r="L622" i="36"/>
  <c r="K622" i="36"/>
  <c r="J622" i="36"/>
  <c r="I622" i="36"/>
  <c r="H622" i="36"/>
  <c r="G622" i="36"/>
  <c r="U621" i="36"/>
  <c r="T621" i="36"/>
  <c r="S621" i="36"/>
  <c r="R621" i="36"/>
  <c r="Q621" i="36"/>
  <c r="P621" i="36"/>
  <c r="O621" i="36"/>
  <c r="N621" i="36"/>
  <c r="M621" i="36"/>
  <c r="L621" i="36"/>
  <c r="K621" i="36"/>
  <c r="J621" i="36"/>
  <c r="I621" i="36"/>
  <c r="H621" i="36"/>
  <c r="G621" i="36"/>
  <c r="U537" i="38"/>
  <c r="T537" i="38"/>
  <c r="S537" i="38"/>
  <c r="R537" i="38"/>
  <c r="Q537" i="38"/>
  <c r="P537" i="38"/>
  <c r="O537" i="38"/>
  <c r="N537" i="38"/>
  <c r="M537" i="38"/>
  <c r="L537" i="38"/>
  <c r="K537" i="38"/>
  <c r="J537" i="38"/>
  <c r="I537" i="38"/>
  <c r="H537" i="38"/>
  <c r="G537" i="38"/>
  <c r="U536" i="38"/>
  <c r="T536" i="38"/>
  <c r="S536" i="38"/>
  <c r="R536" i="38"/>
  <c r="Q536" i="38"/>
  <c r="P536" i="38"/>
  <c r="O536" i="38"/>
  <c r="N536" i="38"/>
  <c r="M536" i="38"/>
  <c r="L536" i="38"/>
  <c r="K536" i="38"/>
  <c r="J536" i="38"/>
  <c r="I536" i="38"/>
  <c r="H536" i="38"/>
  <c r="G536" i="38"/>
  <c r="U258" i="38"/>
  <c r="T258" i="38"/>
  <c r="S258" i="38"/>
  <c r="R258" i="38"/>
  <c r="Q258" i="38"/>
  <c r="P258" i="38"/>
  <c r="O258" i="38"/>
  <c r="N258" i="38"/>
  <c r="M258" i="38"/>
  <c r="L258" i="38"/>
  <c r="K258" i="38"/>
  <c r="J258" i="38"/>
  <c r="I258" i="38"/>
  <c r="H258" i="38"/>
  <c r="G258" i="38"/>
  <c r="U257" i="38"/>
  <c r="T257" i="38"/>
  <c r="S257" i="38"/>
  <c r="R257" i="38"/>
  <c r="Q257" i="38"/>
  <c r="P257" i="38"/>
  <c r="O257" i="38"/>
  <c r="N257" i="38"/>
  <c r="M257" i="38"/>
  <c r="L257" i="38"/>
  <c r="K257" i="38"/>
  <c r="J257" i="38"/>
  <c r="I257" i="38"/>
  <c r="H257" i="38"/>
  <c r="G257" i="38"/>
  <c r="U227" i="38"/>
  <c r="T227" i="38"/>
  <c r="S227" i="38"/>
  <c r="R227" i="38"/>
  <c r="Q227" i="38"/>
  <c r="P227" i="38"/>
  <c r="O227" i="38"/>
  <c r="N227" i="38"/>
  <c r="M227" i="38"/>
  <c r="L227" i="38"/>
  <c r="K227" i="38"/>
  <c r="J227" i="38"/>
  <c r="I227" i="38"/>
  <c r="H227" i="38"/>
  <c r="G227" i="38"/>
  <c r="U226" i="38"/>
  <c r="T226" i="38"/>
  <c r="S226" i="38"/>
  <c r="R226" i="38"/>
  <c r="Q226" i="38"/>
  <c r="P226" i="38"/>
  <c r="O226" i="38"/>
  <c r="N226" i="38"/>
  <c r="M226" i="38"/>
  <c r="L226" i="38"/>
  <c r="K226" i="38"/>
  <c r="J226" i="38"/>
  <c r="I226" i="38"/>
  <c r="H226" i="38"/>
  <c r="G226" i="38"/>
  <c r="U527" i="36"/>
  <c r="T527" i="36"/>
  <c r="S527" i="36"/>
  <c r="R527" i="36"/>
  <c r="Q527" i="36"/>
  <c r="P527" i="36"/>
  <c r="O527" i="36"/>
  <c r="N527" i="36"/>
  <c r="M527" i="36"/>
  <c r="L527" i="36"/>
  <c r="K527" i="36"/>
  <c r="J527" i="36"/>
  <c r="I527" i="36"/>
  <c r="H527" i="36"/>
  <c r="G527" i="36"/>
  <c r="U526" i="36"/>
  <c r="T526" i="36"/>
  <c r="S526" i="36"/>
  <c r="R526" i="36"/>
  <c r="Q526" i="36"/>
  <c r="P526" i="36"/>
  <c r="O526" i="36"/>
  <c r="N526" i="36"/>
  <c r="M526" i="36"/>
  <c r="L526" i="36"/>
  <c r="K526" i="36"/>
  <c r="J526" i="36"/>
  <c r="I526" i="36"/>
  <c r="H526" i="36"/>
  <c r="G526" i="36"/>
  <c r="G656" i="36"/>
  <c r="H656" i="36"/>
  <c r="I656" i="36"/>
  <c r="J656" i="36"/>
  <c r="K656" i="36"/>
  <c r="L656" i="36"/>
  <c r="M656" i="36"/>
  <c r="N656" i="36"/>
  <c r="O656" i="36"/>
  <c r="P656" i="36"/>
  <c r="Q656" i="36"/>
  <c r="R656" i="36"/>
  <c r="S656" i="36"/>
  <c r="T656" i="36"/>
  <c r="U656" i="36"/>
  <c r="G657" i="36"/>
  <c r="H657" i="36"/>
  <c r="I657" i="36"/>
  <c r="J657" i="36"/>
  <c r="K657" i="36"/>
  <c r="L657" i="36"/>
  <c r="M657" i="36"/>
  <c r="N657" i="36"/>
  <c r="O657" i="36"/>
  <c r="P657" i="36"/>
  <c r="Q657" i="36"/>
  <c r="R657" i="36"/>
  <c r="S657" i="36"/>
  <c r="T657" i="36"/>
  <c r="U657" i="36"/>
  <c r="V700" i="38"/>
  <c r="V701" i="38"/>
  <c r="V702" i="38"/>
  <c r="V703" i="38"/>
  <c r="U496" i="36"/>
  <c r="T496" i="36"/>
  <c r="S496" i="36"/>
  <c r="R496" i="36"/>
  <c r="Q496" i="36"/>
  <c r="P496" i="36"/>
  <c r="O496" i="36"/>
  <c r="N496" i="36"/>
  <c r="M496" i="36"/>
  <c r="L496" i="36"/>
  <c r="K496" i="36"/>
  <c r="J496" i="36"/>
  <c r="I496" i="36"/>
  <c r="H496" i="36"/>
  <c r="G496" i="36"/>
  <c r="U495" i="36"/>
  <c r="T495" i="36"/>
  <c r="S495" i="36"/>
  <c r="R495" i="36"/>
  <c r="Q495" i="36"/>
  <c r="P495" i="36"/>
  <c r="O495" i="36"/>
  <c r="N495" i="36"/>
  <c r="M495" i="36"/>
  <c r="L495" i="36"/>
  <c r="K495" i="36"/>
  <c r="J495" i="36"/>
  <c r="I495" i="36"/>
  <c r="H495" i="36"/>
  <c r="G495" i="36"/>
  <c r="S84" i="36"/>
  <c r="G84" i="36"/>
  <c r="H84" i="36"/>
  <c r="I84" i="36"/>
  <c r="J84" i="36"/>
  <c r="K84" i="36"/>
  <c r="L84" i="36"/>
  <c r="M84" i="36"/>
  <c r="N84" i="36"/>
  <c r="O84" i="36"/>
  <c r="P84" i="36"/>
  <c r="Q84" i="36"/>
  <c r="R84" i="36"/>
  <c r="T84" i="36"/>
  <c r="U84" i="36"/>
  <c r="F716" i="38"/>
  <c r="F717" i="38"/>
  <c r="V565" i="38"/>
  <c r="V564" i="38"/>
  <c r="V563" i="38"/>
  <c r="V562" i="38"/>
  <c r="V561" i="38"/>
  <c r="V560" i="38"/>
  <c r="V559" i="38"/>
  <c r="V558" i="38"/>
  <c r="V557" i="38"/>
  <c r="V556" i="38"/>
  <c r="V555" i="38"/>
  <c r="V554" i="38"/>
  <c r="V553" i="38"/>
  <c r="V552" i="38"/>
  <c r="V551" i="38"/>
  <c r="V550" i="38"/>
  <c r="V549" i="38"/>
  <c r="V547" i="38"/>
  <c r="V546" i="38"/>
  <c r="V545" i="38"/>
  <c r="V544" i="38"/>
  <c r="V543" i="38"/>
  <c r="V542" i="38"/>
  <c r="V541" i="38"/>
  <c r="V540" i="38"/>
  <c r="V539" i="38"/>
  <c r="V538" i="38"/>
  <c r="V534" i="38"/>
  <c r="V533" i="38"/>
  <c r="V532" i="38"/>
  <c r="V531" i="38"/>
  <c r="V530" i="38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6" i="38"/>
  <c r="V515" i="38"/>
  <c r="V514" i="38"/>
  <c r="V513" i="38"/>
  <c r="V512" i="38"/>
  <c r="V511" i="38"/>
  <c r="V510" i="38"/>
  <c r="V509" i="38"/>
  <c r="V508" i="38"/>
  <c r="V507" i="38"/>
  <c r="U506" i="38"/>
  <c r="T506" i="38"/>
  <c r="S506" i="38"/>
  <c r="R506" i="38"/>
  <c r="Q506" i="38"/>
  <c r="P506" i="38"/>
  <c r="O506" i="38"/>
  <c r="N506" i="38"/>
  <c r="M506" i="38"/>
  <c r="L506" i="38"/>
  <c r="K506" i="38"/>
  <c r="J506" i="38"/>
  <c r="I506" i="38"/>
  <c r="H506" i="38"/>
  <c r="G506" i="38"/>
  <c r="U505" i="38"/>
  <c r="T505" i="38"/>
  <c r="S505" i="38"/>
  <c r="R505" i="38"/>
  <c r="Q505" i="38"/>
  <c r="P505" i="38"/>
  <c r="O505" i="38"/>
  <c r="N505" i="38"/>
  <c r="M505" i="38"/>
  <c r="L505" i="38"/>
  <c r="K505" i="38"/>
  <c r="J505" i="38"/>
  <c r="I505" i="38"/>
  <c r="H505" i="38"/>
  <c r="G505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V489" i="38"/>
  <c r="V488" i="38"/>
  <c r="V487" i="38"/>
  <c r="V485" i="38"/>
  <c r="V484" i="38"/>
  <c r="V483" i="38"/>
  <c r="V482" i="38"/>
  <c r="V481" i="38"/>
  <c r="V480" i="38"/>
  <c r="V479" i="38"/>
  <c r="V478" i="38"/>
  <c r="V477" i="38"/>
  <c r="V476" i="38"/>
  <c r="U475" i="38"/>
  <c r="T475" i="38"/>
  <c r="S475" i="38"/>
  <c r="R475" i="38"/>
  <c r="Q475" i="38"/>
  <c r="P475" i="38"/>
  <c r="O475" i="38"/>
  <c r="N475" i="38"/>
  <c r="M475" i="38"/>
  <c r="L475" i="38"/>
  <c r="K475" i="38"/>
  <c r="J475" i="38"/>
  <c r="I475" i="38"/>
  <c r="H475" i="38"/>
  <c r="G475" i="38"/>
  <c r="U474" i="38"/>
  <c r="T474" i="38"/>
  <c r="S474" i="38"/>
  <c r="R474" i="38"/>
  <c r="Q474" i="38"/>
  <c r="P474" i="38"/>
  <c r="O474" i="38"/>
  <c r="N474" i="38"/>
  <c r="M474" i="38"/>
  <c r="L474" i="38"/>
  <c r="K474" i="38"/>
  <c r="J474" i="38"/>
  <c r="I474" i="38"/>
  <c r="H474" i="38"/>
  <c r="G474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4" i="38"/>
  <c r="V453" i="38"/>
  <c r="V452" i="38"/>
  <c r="V451" i="38"/>
  <c r="V450" i="38"/>
  <c r="V449" i="38"/>
  <c r="V448" i="38"/>
  <c r="V447" i="38"/>
  <c r="V446" i="38"/>
  <c r="V445" i="38"/>
  <c r="U444" i="38"/>
  <c r="T444" i="38"/>
  <c r="S444" i="38"/>
  <c r="R444" i="38"/>
  <c r="Q444" i="38"/>
  <c r="P444" i="38"/>
  <c r="O444" i="38"/>
  <c r="N444" i="38"/>
  <c r="M444" i="38"/>
  <c r="L444" i="38"/>
  <c r="K444" i="38"/>
  <c r="J444" i="38"/>
  <c r="I444" i="38"/>
  <c r="H444" i="38"/>
  <c r="G444" i="38"/>
  <c r="U443" i="38"/>
  <c r="T443" i="38"/>
  <c r="S443" i="38"/>
  <c r="R443" i="38"/>
  <c r="Q443" i="38"/>
  <c r="P443" i="38"/>
  <c r="O443" i="38"/>
  <c r="N443" i="38"/>
  <c r="M443" i="38"/>
  <c r="L443" i="38"/>
  <c r="K443" i="38"/>
  <c r="J443" i="38"/>
  <c r="I443" i="38"/>
  <c r="H443" i="38"/>
  <c r="G443" i="38"/>
  <c r="V441" i="38"/>
  <c r="V440" i="38"/>
  <c r="V439" i="38"/>
  <c r="V438" i="38"/>
  <c r="V437" i="38"/>
  <c r="V436" i="38"/>
  <c r="V435" i="38"/>
  <c r="V434" i="38"/>
  <c r="V433" i="38"/>
  <c r="V432" i="38"/>
  <c r="V431" i="38"/>
  <c r="V430" i="38"/>
  <c r="V429" i="38"/>
  <c r="V428" i="38"/>
  <c r="V427" i="38"/>
  <c r="V426" i="38"/>
  <c r="V425" i="38"/>
  <c r="V423" i="38"/>
  <c r="V422" i="38"/>
  <c r="V421" i="38"/>
  <c r="V420" i="38"/>
  <c r="V419" i="38"/>
  <c r="V418" i="38"/>
  <c r="V417" i="38"/>
  <c r="V416" i="38"/>
  <c r="V415" i="38"/>
  <c r="V414" i="38"/>
  <c r="U413" i="38"/>
  <c r="T413" i="38"/>
  <c r="S413" i="38"/>
  <c r="R413" i="38"/>
  <c r="Q413" i="38"/>
  <c r="P413" i="38"/>
  <c r="O413" i="38"/>
  <c r="N413" i="38"/>
  <c r="M413" i="38"/>
  <c r="L413" i="38"/>
  <c r="K413" i="38"/>
  <c r="J413" i="38"/>
  <c r="I413" i="38"/>
  <c r="H413" i="38"/>
  <c r="G413" i="38"/>
  <c r="U412" i="38"/>
  <c r="T412" i="38"/>
  <c r="S412" i="38"/>
  <c r="R412" i="38"/>
  <c r="Q412" i="38"/>
  <c r="P412" i="38"/>
  <c r="O412" i="38"/>
  <c r="N412" i="38"/>
  <c r="M412" i="38"/>
  <c r="L412" i="38"/>
  <c r="K412" i="38"/>
  <c r="J412" i="38"/>
  <c r="I412" i="38"/>
  <c r="H412" i="38"/>
  <c r="G412" i="38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V394" i="38"/>
  <c r="V392" i="38"/>
  <c r="V391" i="38"/>
  <c r="V390" i="38"/>
  <c r="V389" i="38"/>
  <c r="V388" i="38"/>
  <c r="V387" i="38"/>
  <c r="V386" i="38"/>
  <c r="V385" i="38"/>
  <c r="V384" i="38"/>
  <c r="V383" i="38"/>
  <c r="U382" i="38"/>
  <c r="T382" i="38"/>
  <c r="S382" i="38"/>
  <c r="R382" i="38"/>
  <c r="Q382" i="38"/>
  <c r="P382" i="38"/>
  <c r="O382" i="38"/>
  <c r="N382" i="38"/>
  <c r="M382" i="38"/>
  <c r="L382" i="38"/>
  <c r="K382" i="38"/>
  <c r="J382" i="38"/>
  <c r="I382" i="38"/>
  <c r="H382" i="38"/>
  <c r="G382" i="38"/>
  <c r="U381" i="38"/>
  <c r="T381" i="38"/>
  <c r="S381" i="38"/>
  <c r="R381" i="38"/>
  <c r="Q381" i="38"/>
  <c r="P381" i="38"/>
  <c r="O381" i="38"/>
  <c r="N381" i="38"/>
  <c r="M381" i="38"/>
  <c r="L381" i="38"/>
  <c r="K381" i="38"/>
  <c r="J381" i="38"/>
  <c r="I381" i="38"/>
  <c r="H381" i="38"/>
  <c r="G381" i="38"/>
  <c r="V379" i="38"/>
  <c r="V378" i="38"/>
  <c r="V377" i="38"/>
  <c r="V376" i="38"/>
  <c r="V375" i="38"/>
  <c r="V374" i="38"/>
  <c r="V373" i="38"/>
  <c r="V372" i="38"/>
  <c r="V371" i="38"/>
  <c r="V370" i="38"/>
  <c r="V369" i="38"/>
  <c r="V368" i="38"/>
  <c r="V367" i="38"/>
  <c r="V366" i="38"/>
  <c r="V365" i="38"/>
  <c r="V364" i="38"/>
  <c r="V363" i="38"/>
  <c r="V361" i="38"/>
  <c r="V360" i="38"/>
  <c r="V359" i="38"/>
  <c r="V358" i="38"/>
  <c r="V357" i="38"/>
  <c r="V356" i="38"/>
  <c r="V355" i="38"/>
  <c r="V354" i="38"/>
  <c r="V353" i="38"/>
  <c r="V352" i="38"/>
  <c r="U351" i="38"/>
  <c r="T351" i="38"/>
  <c r="S351" i="38"/>
  <c r="R351" i="38"/>
  <c r="Q351" i="38"/>
  <c r="P351" i="38"/>
  <c r="O351" i="38"/>
  <c r="N351" i="38"/>
  <c r="M351" i="38"/>
  <c r="L351" i="38"/>
  <c r="K351" i="38"/>
  <c r="J351" i="38"/>
  <c r="I351" i="38"/>
  <c r="H351" i="38"/>
  <c r="G351" i="38"/>
  <c r="U350" i="38"/>
  <c r="T350" i="38"/>
  <c r="S350" i="38"/>
  <c r="R350" i="38"/>
  <c r="Q350" i="38"/>
  <c r="P350" i="38"/>
  <c r="O350" i="38"/>
  <c r="N350" i="38"/>
  <c r="M350" i="38"/>
  <c r="L350" i="38"/>
  <c r="K350" i="38"/>
  <c r="J350" i="38"/>
  <c r="I350" i="38"/>
  <c r="H350" i="38"/>
  <c r="G350" i="38"/>
  <c r="V348" i="38"/>
  <c r="V347" i="38"/>
  <c r="V346" i="38"/>
  <c r="V345" i="38"/>
  <c r="V344" i="38"/>
  <c r="V343" i="38"/>
  <c r="V342" i="38"/>
  <c r="V341" i="38"/>
  <c r="V340" i="38"/>
  <c r="V339" i="38"/>
  <c r="V338" i="38"/>
  <c r="V337" i="38"/>
  <c r="V336" i="38"/>
  <c r="V335" i="38"/>
  <c r="V334" i="38"/>
  <c r="V333" i="38"/>
  <c r="V332" i="38"/>
  <c r="V330" i="38"/>
  <c r="V329" i="38"/>
  <c r="V328" i="38"/>
  <c r="V327" i="38"/>
  <c r="V326" i="38"/>
  <c r="V325" i="38"/>
  <c r="V324" i="38"/>
  <c r="V323" i="38"/>
  <c r="V322" i="38"/>
  <c r="V321" i="38"/>
  <c r="U320" i="38"/>
  <c r="T320" i="38"/>
  <c r="S320" i="38"/>
  <c r="R320" i="38"/>
  <c r="Q320" i="38"/>
  <c r="P320" i="38"/>
  <c r="O320" i="38"/>
  <c r="N320" i="38"/>
  <c r="M320" i="38"/>
  <c r="L320" i="38"/>
  <c r="K320" i="38"/>
  <c r="J320" i="38"/>
  <c r="I320" i="38"/>
  <c r="H320" i="38"/>
  <c r="G320" i="38"/>
  <c r="U319" i="38"/>
  <c r="T319" i="38"/>
  <c r="S319" i="38"/>
  <c r="R319" i="38"/>
  <c r="Q319" i="38"/>
  <c r="P319" i="38"/>
  <c r="O319" i="38"/>
  <c r="N319" i="38"/>
  <c r="M319" i="38"/>
  <c r="L319" i="38"/>
  <c r="K319" i="38"/>
  <c r="J319" i="38"/>
  <c r="I319" i="38"/>
  <c r="H319" i="38"/>
  <c r="G319" i="38"/>
  <c r="V317" i="38"/>
  <c r="V316" i="38"/>
  <c r="V315" i="38"/>
  <c r="V314" i="38"/>
  <c r="V313" i="38"/>
  <c r="V312" i="38"/>
  <c r="V311" i="38"/>
  <c r="V310" i="38"/>
  <c r="V309" i="38"/>
  <c r="V308" i="38"/>
  <c r="V307" i="38"/>
  <c r="V306" i="38"/>
  <c r="V305" i="38"/>
  <c r="V304" i="38"/>
  <c r="V303" i="38"/>
  <c r="V302" i="38"/>
  <c r="V301" i="38"/>
  <c r="V299" i="38"/>
  <c r="V298" i="38"/>
  <c r="V297" i="38"/>
  <c r="V296" i="38"/>
  <c r="V295" i="38"/>
  <c r="V294" i="38"/>
  <c r="V293" i="38"/>
  <c r="V292" i="38"/>
  <c r="V291" i="38"/>
  <c r="V290" i="38"/>
  <c r="U289" i="38"/>
  <c r="T289" i="38"/>
  <c r="S289" i="38"/>
  <c r="R289" i="38"/>
  <c r="Q289" i="38"/>
  <c r="P289" i="38"/>
  <c r="O289" i="38"/>
  <c r="N289" i="38"/>
  <c r="M289" i="38"/>
  <c r="L289" i="38"/>
  <c r="K289" i="38"/>
  <c r="J289" i="38"/>
  <c r="I289" i="38"/>
  <c r="H289" i="38"/>
  <c r="G289" i="38"/>
  <c r="U288" i="38"/>
  <c r="T288" i="38"/>
  <c r="S288" i="38"/>
  <c r="R288" i="38"/>
  <c r="Q288" i="38"/>
  <c r="P288" i="38"/>
  <c r="O288" i="38"/>
  <c r="N288" i="38"/>
  <c r="M288" i="38"/>
  <c r="L288" i="38"/>
  <c r="K288" i="38"/>
  <c r="J288" i="38"/>
  <c r="I288" i="38"/>
  <c r="H288" i="38"/>
  <c r="G288" i="38"/>
  <c r="V286" i="38"/>
  <c r="V285" i="38"/>
  <c r="V284" i="38"/>
  <c r="V283" i="38"/>
  <c r="V282" i="38"/>
  <c r="V281" i="38"/>
  <c r="V280" i="38"/>
  <c r="V279" i="38"/>
  <c r="V278" i="38"/>
  <c r="V277" i="38"/>
  <c r="V276" i="38"/>
  <c r="V275" i="38"/>
  <c r="V274" i="38"/>
  <c r="V273" i="38"/>
  <c r="V272" i="38"/>
  <c r="V271" i="38"/>
  <c r="V270" i="38"/>
  <c r="V268" i="38"/>
  <c r="V267" i="38"/>
  <c r="V266" i="38"/>
  <c r="V265" i="38"/>
  <c r="V264" i="38"/>
  <c r="V263" i="38"/>
  <c r="V262" i="38"/>
  <c r="V261" i="38"/>
  <c r="V260" i="38"/>
  <c r="V259" i="38"/>
  <c r="V255" i="38"/>
  <c r="V254" i="38"/>
  <c r="V253" i="38"/>
  <c r="V252" i="38"/>
  <c r="V251" i="38"/>
  <c r="V250" i="38"/>
  <c r="V249" i="38"/>
  <c r="V248" i="38"/>
  <c r="V247" i="38"/>
  <c r="V246" i="38"/>
  <c r="V245" i="38"/>
  <c r="V244" i="38"/>
  <c r="V243" i="38"/>
  <c r="V242" i="38"/>
  <c r="V241" i="38"/>
  <c r="V240" i="38"/>
  <c r="V239" i="38"/>
  <c r="V237" i="38"/>
  <c r="V236" i="38"/>
  <c r="V235" i="38"/>
  <c r="V234" i="38"/>
  <c r="V233" i="38"/>
  <c r="V232" i="38"/>
  <c r="V231" i="38"/>
  <c r="V230" i="38"/>
  <c r="V229" i="38"/>
  <c r="V228" i="38"/>
  <c r="V224" i="38"/>
  <c r="V223" i="38"/>
  <c r="V222" i="38"/>
  <c r="V221" i="38"/>
  <c r="V220" i="38"/>
  <c r="V219" i="38"/>
  <c r="V218" i="38"/>
  <c r="V217" i="38"/>
  <c r="V216" i="38"/>
  <c r="V215" i="38"/>
  <c r="V214" i="38"/>
  <c r="V213" i="38"/>
  <c r="V212" i="38"/>
  <c r="V211" i="38"/>
  <c r="V210" i="38"/>
  <c r="V209" i="38"/>
  <c r="V208" i="38"/>
  <c r="V206" i="38"/>
  <c r="V205" i="38"/>
  <c r="V204" i="38"/>
  <c r="V203" i="38"/>
  <c r="V202" i="38"/>
  <c r="V201" i="38"/>
  <c r="V200" i="38"/>
  <c r="V199" i="38"/>
  <c r="V198" i="38"/>
  <c r="V197" i="38"/>
  <c r="U196" i="38"/>
  <c r="T196" i="38"/>
  <c r="S196" i="38"/>
  <c r="R196" i="38"/>
  <c r="Q196" i="38"/>
  <c r="P196" i="38"/>
  <c r="O196" i="38"/>
  <c r="N196" i="38"/>
  <c r="M196" i="38"/>
  <c r="L196" i="38"/>
  <c r="K196" i="38"/>
  <c r="J196" i="38"/>
  <c r="I196" i="38"/>
  <c r="H196" i="38"/>
  <c r="G196" i="38"/>
  <c r="U195" i="38"/>
  <c r="T195" i="38"/>
  <c r="S195" i="38"/>
  <c r="R195" i="38"/>
  <c r="Q195" i="38"/>
  <c r="P195" i="38"/>
  <c r="O195" i="38"/>
  <c r="N195" i="38"/>
  <c r="M195" i="38"/>
  <c r="L195" i="38"/>
  <c r="K195" i="38"/>
  <c r="J195" i="38"/>
  <c r="I195" i="38"/>
  <c r="H195" i="38"/>
  <c r="G195" i="38"/>
  <c r="V193" i="38"/>
  <c r="V192" i="38"/>
  <c r="V191" i="38"/>
  <c r="V190" i="38"/>
  <c r="V189" i="38"/>
  <c r="V188" i="38"/>
  <c r="V187" i="38"/>
  <c r="V186" i="38"/>
  <c r="V185" i="38"/>
  <c r="V184" i="38"/>
  <c r="V183" i="38"/>
  <c r="V182" i="38"/>
  <c r="V181" i="38"/>
  <c r="V180" i="38"/>
  <c r="V179" i="38"/>
  <c r="V178" i="38"/>
  <c r="V177" i="38"/>
  <c r="V175" i="38"/>
  <c r="V174" i="38"/>
  <c r="V173" i="38"/>
  <c r="V172" i="38"/>
  <c r="V171" i="38"/>
  <c r="V170" i="38"/>
  <c r="V169" i="38"/>
  <c r="V168" i="38"/>
  <c r="V167" i="38"/>
  <c r="V166" i="38"/>
  <c r="U165" i="38"/>
  <c r="T165" i="38"/>
  <c r="S165" i="38"/>
  <c r="R165" i="38"/>
  <c r="Q165" i="38"/>
  <c r="P165" i="38"/>
  <c r="O165" i="38"/>
  <c r="N165" i="38"/>
  <c r="M165" i="38"/>
  <c r="L165" i="38"/>
  <c r="K165" i="38"/>
  <c r="J165" i="38"/>
  <c r="I165" i="38"/>
  <c r="H165" i="38"/>
  <c r="G165" i="38"/>
  <c r="U164" i="38"/>
  <c r="T164" i="38"/>
  <c r="S164" i="38"/>
  <c r="R164" i="38"/>
  <c r="Q164" i="38"/>
  <c r="P164" i="38"/>
  <c r="O164" i="38"/>
  <c r="N164" i="38"/>
  <c r="M164" i="38"/>
  <c r="L164" i="38"/>
  <c r="K164" i="38"/>
  <c r="J164" i="38"/>
  <c r="I164" i="38"/>
  <c r="H164" i="38"/>
  <c r="G164" i="38"/>
  <c r="V162" i="38"/>
  <c r="V161" i="38"/>
  <c r="V160" i="38"/>
  <c r="V159" i="38"/>
  <c r="V158" i="38"/>
  <c r="V157" i="38"/>
  <c r="V156" i="38"/>
  <c r="V155" i="38"/>
  <c r="V154" i="38"/>
  <c r="V153" i="38"/>
  <c r="V152" i="38"/>
  <c r="V151" i="38"/>
  <c r="V150" i="38"/>
  <c r="V149" i="38"/>
  <c r="V148" i="38"/>
  <c r="V147" i="38"/>
  <c r="V146" i="38"/>
  <c r="V144" i="38"/>
  <c r="V143" i="38"/>
  <c r="V142" i="38"/>
  <c r="V141" i="38"/>
  <c r="V140" i="38"/>
  <c r="V139" i="38"/>
  <c r="V138" i="38"/>
  <c r="V137" i="38"/>
  <c r="V136" i="38"/>
  <c r="V135" i="38"/>
  <c r="U134" i="38"/>
  <c r="T134" i="38"/>
  <c r="S134" i="38"/>
  <c r="R134" i="38"/>
  <c r="Q134" i="38"/>
  <c r="P134" i="38"/>
  <c r="O134" i="38"/>
  <c r="N134" i="38"/>
  <c r="M134" i="38"/>
  <c r="L134" i="38"/>
  <c r="K134" i="38"/>
  <c r="J134" i="38"/>
  <c r="I134" i="38"/>
  <c r="H134" i="38"/>
  <c r="G134" i="38"/>
  <c r="U133" i="38"/>
  <c r="T133" i="38"/>
  <c r="S133" i="38"/>
  <c r="R133" i="38"/>
  <c r="Q133" i="38"/>
  <c r="P133" i="38"/>
  <c r="O133" i="38"/>
  <c r="N133" i="38"/>
  <c r="M133" i="38"/>
  <c r="L133" i="38"/>
  <c r="K133" i="38"/>
  <c r="J133" i="38"/>
  <c r="I133" i="38"/>
  <c r="H133" i="38"/>
  <c r="G133" i="38"/>
  <c r="V131" i="38"/>
  <c r="V130" i="38"/>
  <c r="V129" i="38"/>
  <c r="V128" i="38"/>
  <c r="V127" i="38"/>
  <c r="V126" i="38"/>
  <c r="V125" i="38"/>
  <c r="V124" i="38"/>
  <c r="V123" i="38"/>
  <c r="V122" i="38"/>
  <c r="V121" i="38"/>
  <c r="V120" i="38"/>
  <c r="V119" i="38"/>
  <c r="V118" i="38"/>
  <c r="V117" i="38"/>
  <c r="V116" i="38"/>
  <c r="V115" i="38"/>
  <c r="V113" i="38"/>
  <c r="V112" i="38"/>
  <c r="V111" i="38"/>
  <c r="V110" i="38"/>
  <c r="V109" i="38"/>
  <c r="V108" i="38"/>
  <c r="V107" i="38"/>
  <c r="V106" i="38"/>
  <c r="V105" i="38"/>
  <c r="V104" i="38"/>
  <c r="U103" i="38"/>
  <c r="T103" i="38"/>
  <c r="S103" i="38"/>
  <c r="R103" i="38"/>
  <c r="Q103" i="38"/>
  <c r="P103" i="38"/>
  <c r="O103" i="38"/>
  <c r="N103" i="38"/>
  <c r="M103" i="38"/>
  <c r="L103" i="38"/>
  <c r="K103" i="38"/>
  <c r="J103" i="38"/>
  <c r="I103" i="38"/>
  <c r="H103" i="38"/>
  <c r="G103" i="38"/>
  <c r="U102" i="38"/>
  <c r="T102" i="38"/>
  <c r="S102" i="38"/>
  <c r="R102" i="38"/>
  <c r="Q102" i="38"/>
  <c r="P102" i="38"/>
  <c r="O102" i="38"/>
  <c r="N102" i="38"/>
  <c r="M102" i="38"/>
  <c r="L102" i="38"/>
  <c r="K102" i="38"/>
  <c r="J102" i="38"/>
  <c r="I102" i="38"/>
  <c r="H102" i="38"/>
  <c r="G102" i="38"/>
  <c r="V555" i="36"/>
  <c r="V554" i="36"/>
  <c r="V553" i="36"/>
  <c r="V552" i="36"/>
  <c r="V551" i="36"/>
  <c r="V550" i="36"/>
  <c r="V549" i="36"/>
  <c r="V548" i="36"/>
  <c r="V547" i="36"/>
  <c r="V546" i="36"/>
  <c r="V545" i="36"/>
  <c r="V544" i="36"/>
  <c r="V543" i="36"/>
  <c r="V542" i="36"/>
  <c r="V541" i="36"/>
  <c r="V540" i="36"/>
  <c r="V539" i="36"/>
  <c r="V537" i="36"/>
  <c r="V536" i="36"/>
  <c r="V535" i="36"/>
  <c r="V534" i="36"/>
  <c r="V533" i="36"/>
  <c r="V532" i="36"/>
  <c r="V531" i="36"/>
  <c r="V530" i="36"/>
  <c r="V529" i="36"/>
  <c r="V528" i="36"/>
  <c r="V524" i="36"/>
  <c r="V523" i="36"/>
  <c r="V522" i="36"/>
  <c r="V521" i="36"/>
  <c r="V520" i="36"/>
  <c r="V519" i="36"/>
  <c r="V518" i="36"/>
  <c r="V517" i="36"/>
  <c r="V516" i="36"/>
  <c r="V515" i="36"/>
  <c r="V514" i="36"/>
  <c r="V513" i="36"/>
  <c r="V512" i="36"/>
  <c r="V511" i="36"/>
  <c r="V510" i="36"/>
  <c r="V509" i="36"/>
  <c r="V508" i="36"/>
  <c r="V506" i="36"/>
  <c r="V505" i="36"/>
  <c r="V504" i="36"/>
  <c r="V503" i="36"/>
  <c r="V502" i="36"/>
  <c r="V501" i="36"/>
  <c r="V500" i="36"/>
  <c r="V499" i="36"/>
  <c r="V498" i="36"/>
  <c r="V497" i="36"/>
  <c r="V493" i="36"/>
  <c r="V492" i="36"/>
  <c r="V491" i="36"/>
  <c r="V490" i="36"/>
  <c r="V489" i="36"/>
  <c r="V488" i="36"/>
  <c r="V487" i="36"/>
  <c r="V486" i="36"/>
  <c r="V485" i="36"/>
  <c r="V484" i="36"/>
  <c r="V483" i="36"/>
  <c r="V482" i="36"/>
  <c r="V481" i="36"/>
  <c r="V480" i="36"/>
  <c r="V479" i="36"/>
  <c r="V478" i="36"/>
  <c r="V477" i="36"/>
  <c r="V475" i="36"/>
  <c r="V474" i="36"/>
  <c r="V473" i="36"/>
  <c r="V472" i="36"/>
  <c r="V471" i="36"/>
  <c r="V470" i="36"/>
  <c r="V469" i="36"/>
  <c r="V468" i="36"/>
  <c r="V467" i="36"/>
  <c r="V466" i="36"/>
  <c r="U465" i="36"/>
  <c r="T465" i="36"/>
  <c r="S465" i="36"/>
  <c r="R465" i="36"/>
  <c r="Q465" i="36"/>
  <c r="P465" i="36"/>
  <c r="O465" i="36"/>
  <c r="N465" i="36"/>
  <c r="M465" i="36"/>
  <c r="L465" i="36"/>
  <c r="K465" i="36"/>
  <c r="J465" i="36"/>
  <c r="I465" i="36"/>
  <c r="H465" i="36"/>
  <c r="G465" i="36"/>
  <c r="U464" i="36"/>
  <c r="T464" i="36"/>
  <c r="S464" i="36"/>
  <c r="R464" i="36"/>
  <c r="Q464" i="36"/>
  <c r="P464" i="36"/>
  <c r="O464" i="36"/>
  <c r="N464" i="36"/>
  <c r="M464" i="36"/>
  <c r="L464" i="36"/>
  <c r="K464" i="36"/>
  <c r="J464" i="36"/>
  <c r="I464" i="36"/>
  <c r="H464" i="36"/>
  <c r="G464" i="36"/>
  <c r="V462" i="36"/>
  <c r="V461" i="36"/>
  <c r="V460" i="36"/>
  <c r="V459" i="36"/>
  <c r="V458" i="36"/>
  <c r="V457" i="36"/>
  <c r="V456" i="36"/>
  <c r="V455" i="36"/>
  <c r="V454" i="36"/>
  <c r="V453" i="36"/>
  <c r="V452" i="36"/>
  <c r="V451" i="36"/>
  <c r="V450" i="36"/>
  <c r="V449" i="36"/>
  <c r="V448" i="36"/>
  <c r="V447" i="36"/>
  <c r="V446" i="36"/>
  <c r="V444" i="36"/>
  <c r="V443" i="36"/>
  <c r="V442" i="36"/>
  <c r="V441" i="36"/>
  <c r="V440" i="36"/>
  <c r="V439" i="36"/>
  <c r="V438" i="36"/>
  <c r="V437" i="36"/>
  <c r="V436" i="36"/>
  <c r="V435" i="36"/>
  <c r="U434" i="36"/>
  <c r="T434" i="36"/>
  <c r="S434" i="36"/>
  <c r="R434" i="36"/>
  <c r="Q434" i="36"/>
  <c r="P434" i="36"/>
  <c r="O434" i="36"/>
  <c r="N434" i="36"/>
  <c r="M434" i="36"/>
  <c r="L434" i="36"/>
  <c r="K434" i="36"/>
  <c r="J434" i="36"/>
  <c r="I434" i="36"/>
  <c r="H434" i="36"/>
  <c r="G434" i="36"/>
  <c r="U433" i="36"/>
  <c r="T433" i="36"/>
  <c r="S433" i="36"/>
  <c r="R433" i="36"/>
  <c r="Q433" i="36"/>
  <c r="P433" i="36"/>
  <c r="O433" i="36"/>
  <c r="N433" i="36"/>
  <c r="M433" i="36"/>
  <c r="L433" i="36"/>
  <c r="K433" i="36"/>
  <c r="J433" i="36"/>
  <c r="I433" i="36"/>
  <c r="H433" i="36"/>
  <c r="G433" i="36"/>
  <c r="V400" i="36"/>
  <c r="V399" i="36"/>
  <c r="V398" i="36"/>
  <c r="V397" i="36"/>
  <c r="V396" i="36"/>
  <c r="V395" i="36"/>
  <c r="V394" i="36"/>
  <c r="V393" i="36"/>
  <c r="V392" i="36"/>
  <c r="V391" i="36"/>
  <c r="V390" i="36"/>
  <c r="V389" i="36"/>
  <c r="V388" i="36"/>
  <c r="V387" i="36"/>
  <c r="V386" i="36"/>
  <c r="V385" i="36"/>
  <c r="V384" i="36"/>
  <c r="V382" i="36"/>
  <c r="V381" i="36"/>
  <c r="V380" i="36"/>
  <c r="V379" i="36"/>
  <c r="V378" i="36"/>
  <c r="V377" i="36"/>
  <c r="V376" i="36"/>
  <c r="V375" i="36"/>
  <c r="V374" i="36"/>
  <c r="V373" i="36"/>
  <c r="U372" i="36"/>
  <c r="T372" i="36"/>
  <c r="S372" i="36"/>
  <c r="R372" i="36"/>
  <c r="Q372" i="36"/>
  <c r="P372" i="36"/>
  <c r="O372" i="36"/>
  <c r="N372" i="36"/>
  <c r="M372" i="36"/>
  <c r="L372" i="36"/>
  <c r="K372" i="36"/>
  <c r="J372" i="36"/>
  <c r="I372" i="36"/>
  <c r="H372" i="36"/>
  <c r="G372" i="36"/>
  <c r="U371" i="36"/>
  <c r="T371" i="36"/>
  <c r="S371" i="36"/>
  <c r="R371" i="36"/>
  <c r="Q371" i="36"/>
  <c r="P371" i="36"/>
  <c r="O371" i="36"/>
  <c r="N371" i="36"/>
  <c r="M371" i="36"/>
  <c r="L371" i="36"/>
  <c r="K371" i="36"/>
  <c r="J371" i="36"/>
  <c r="I371" i="36"/>
  <c r="H371" i="36"/>
  <c r="G371" i="36"/>
  <c r="V369" i="36"/>
  <c r="V368" i="36"/>
  <c r="V367" i="36"/>
  <c r="V366" i="36"/>
  <c r="V365" i="36"/>
  <c r="V364" i="36"/>
  <c r="V363" i="36"/>
  <c r="V362" i="36"/>
  <c r="V361" i="36"/>
  <c r="V360" i="36"/>
  <c r="V359" i="36"/>
  <c r="V358" i="36"/>
  <c r="V357" i="36"/>
  <c r="V356" i="36"/>
  <c r="V355" i="36"/>
  <c r="V354" i="36"/>
  <c r="V353" i="36"/>
  <c r="V351" i="36"/>
  <c r="V350" i="36"/>
  <c r="V349" i="36"/>
  <c r="V348" i="36"/>
  <c r="V347" i="36"/>
  <c r="V346" i="36"/>
  <c r="V345" i="36"/>
  <c r="V344" i="36"/>
  <c r="V343" i="36"/>
  <c r="V342" i="36"/>
  <c r="U341" i="36"/>
  <c r="T341" i="36"/>
  <c r="S341" i="36"/>
  <c r="R341" i="36"/>
  <c r="Q341" i="36"/>
  <c r="P341" i="36"/>
  <c r="O341" i="36"/>
  <c r="N341" i="36"/>
  <c r="M341" i="36"/>
  <c r="L341" i="36"/>
  <c r="K341" i="36"/>
  <c r="J341" i="36"/>
  <c r="I341" i="36"/>
  <c r="H341" i="36"/>
  <c r="G341" i="36"/>
  <c r="U340" i="36"/>
  <c r="T340" i="36"/>
  <c r="S340" i="36"/>
  <c r="R340" i="36"/>
  <c r="Q340" i="36"/>
  <c r="P340" i="36"/>
  <c r="O340" i="36"/>
  <c r="N340" i="36"/>
  <c r="M340" i="36"/>
  <c r="L340" i="36"/>
  <c r="K340" i="36"/>
  <c r="J340" i="36"/>
  <c r="I340" i="36"/>
  <c r="H340" i="36"/>
  <c r="G340" i="36"/>
  <c r="V431" i="36"/>
  <c r="V430" i="36"/>
  <c r="V429" i="36"/>
  <c r="V428" i="36"/>
  <c r="V427" i="36"/>
  <c r="V426" i="36"/>
  <c r="V425" i="36"/>
  <c r="V424" i="36"/>
  <c r="V423" i="36"/>
  <c r="V422" i="36"/>
  <c r="V421" i="36"/>
  <c r="V420" i="36"/>
  <c r="V419" i="36"/>
  <c r="V418" i="36"/>
  <c r="V417" i="36"/>
  <c r="V416" i="36"/>
  <c r="V415" i="36"/>
  <c r="V413" i="36"/>
  <c r="V412" i="36"/>
  <c r="V411" i="36"/>
  <c r="V410" i="36"/>
  <c r="V409" i="36"/>
  <c r="V408" i="36"/>
  <c r="V407" i="36"/>
  <c r="V406" i="36"/>
  <c r="V405" i="36"/>
  <c r="V404" i="36"/>
  <c r="U403" i="36"/>
  <c r="T403" i="36"/>
  <c r="S403" i="36"/>
  <c r="R403" i="36"/>
  <c r="Q403" i="36"/>
  <c r="P403" i="36"/>
  <c r="O403" i="36"/>
  <c r="N403" i="36"/>
  <c r="M403" i="36"/>
  <c r="L403" i="36"/>
  <c r="K403" i="36"/>
  <c r="J403" i="36"/>
  <c r="I403" i="36"/>
  <c r="H403" i="36"/>
  <c r="G403" i="36"/>
  <c r="U402" i="36"/>
  <c r="T402" i="36"/>
  <c r="S402" i="36"/>
  <c r="R402" i="36"/>
  <c r="Q402" i="36"/>
  <c r="P402" i="36"/>
  <c r="O402" i="36"/>
  <c r="N402" i="36"/>
  <c r="M402" i="36"/>
  <c r="L402" i="36"/>
  <c r="K402" i="36"/>
  <c r="J402" i="36"/>
  <c r="I402" i="36"/>
  <c r="H402" i="36"/>
  <c r="G402" i="36"/>
  <c r="V338" i="36"/>
  <c r="V337" i="36"/>
  <c r="V336" i="36"/>
  <c r="V335" i="36"/>
  <c r="V334" i="36"/>
  <c r="V333" i="36"/>
  <c r="V332" i="36"/>
  <c r="V331" i="36"/>
  <c r="V330" i="36"/>
  <c r="V329" i="36"/>
  <c r="V328" i="36"/>
  <c r="V327" i="36"/>
  <c r="V326" i="36"/>
  <c r="V325" i="36"/>
  <c r="V324" i="36"/>
  <c r="V323" i="36"/>
  <c r="V322" i="36"/>
  <c r="V320" i="36"/>
  <c r="V319" i="36"/>
  <c r="V318" i="36"/>
  <c r="V317" i="36"/>
  <c r="V316" i="36"/>
  <c r="V315" i="36"/>
  <c r="V314" i="36"/>
  <c r="V313" i="36"/>
  <c r="V312" i="36"/>
  <c r="V311" i="36"/>
  <c r="U310" i="36"/>
  <c r="T310" i="36"/>
  <c r="S310" i="36"/>
  <c r="R310" i="36"/>
  <c r="Q310" i="36"/>
  <c r="P310" i="36"/>
  <c r="O310" i="36"/>
  <c r="N310" i="36"/>
  <c r="M310" i="36"/>
  <c r="L310" i="36"/>
  <c r="K310" i="36"/>
  <c r="J310" i="36"/>
  <c r="I310" i="36"/>
  <c r="H310" i="36"/>
  <c r="G310" i="36"/>
  <c r="U309" i="36"/>
  <c r="T309" i="36"/>
  <c r="S309" i="36"/>
  <c r="R309" i="36"/>
  <c r="Q309" i="36"/>
  <c r="P309" i="36"/>
  <c r="O309" i="36"/>
  <c r="N309" i="36"/>
  <c r="M309" i="36"/>
  <c r="L309" i="36"/>
  <c r="K309" i="36"/>
  <c r="J309" i="36"/>
  <c r="I309" i="36"/>
  <c r="H309" i="36"/>
  <c r="G309" i="36"/>
  <c r="V245" i="36"/>
  <c r="V244" i="36"/>
  <c r="V243" i="36"/>
  <c r="V242" i="36"/>
  <c r="V241" i="36"/>
  <c r="V240" i="36"/>
  <c r="V239" i="36"/>
  <c r="V238" i="36"/>
  <c r="V237" i="36"/>
  <c r="V236" i="36"/>
  <c r="V235" i="36"/>
  <c r="V234" i="36"/>
  <c r="V233" i="36"/>
  <c r="V232" i="36"/>
  <c r="V231" i="36"/>
  <c r="V230" i="36"/>
  <c r="V229" i="36"/>
  <c r="V227" i="36"/>
  <c r="V226" i="36"/>
  <c r="V225" i="36"/>
  <c r="V224" i="36"/>
  <c r="V223" i="36"/>
  <c r="V222" i="36"/>
  <c r="V221" i="36"/>
  <c r="V220" i="36"/>
  <c r="V219" i="36"/>
  <c r="V218" i="36"/>
  <c r="U217" i="36"/>
  <c r="T217" i="36"/>
  <c r="S217" i="36"/>
  <c r="R217" i="36"/>
  <c r="Q217" i="36"/>
  <c r="P217" i="36"/>
  <c r="O217" i="36"/>
  <c r="N217" i="36"/>
  <c r="M217" i="36"/>
  <c r="L217" i="36"/>
  <c r="K217" i="36"/>
  <c r="J217" i="36"/>
  <c r="I217" i="36"/>
  <c r="H217" i="36"/>
  <c r="G217" i="36"/>
  <c r="U216" i="36"/>
  <c r="T216" i="36"/>
  <c r="S216" i="36"/>
  <c r="R216" i="36"/>
  <c r="Q216" i="36"/>
  <c r="P216" i="36"/>
  <c r="O216" i="36"/>
  <c r="N216" i="36"/>
  <c r="M216" i="36"/>
  <c r="L216" i="36"/>
  <c r="K216" i="36"/>
  <c r="J216" i="36"/>
  <c r="I216" i="36"/>
  <c r="H216" i="36"/>
  <c r="G216" i="36"/>
  <c r="V276" i="36"/>
  <c r="V275" i="36"/>
  <c r="V274" i="36"/>
  <c r="V273" i="36"/>
  <c r="V272" i="36"/>
  <c r="V271" i="36"/>
  <c r="V270" i="36"/>
  <c r="V269" i="36"/>
  <c r="V268" i="36"/>
  <c r="V267" i="36"/>
  <c r="V266" i="36"/>
  <c r="V265" i="36"/>
  <c r="V264" i="36"/>
  <c r="V263" i="36"/>
  <c r="V262" i="36"/>
  <c r="V261" i="36"/>
  <c r="V260" i="36"/>
  <c r="V258" i="36"/>
  <c r="V257" i="36"/>
  <c r="V256" i="36"/>
  <c r="V255" i="36"/>
  <c r="V254" i="36"/>
  <c r="V253" i="36"/>
  <c r="V252" i="36"/>
  <c r="V251" i="36"/>
  <c r="V250" i="36"/>
  <c r="V249" i="36"/>
  <c r="U248" i="36"/>
  <c r="T248" i="36"/>
  <c r="S248" i="36"/>
  <c r="R248" i="36"/>
  <c r="Q248" i="36"/>
  <c r="P248" i="36"/>
  <c r="O248" i="36"/>
  <c r="N248" i="36"/>
  <c r="M248" i="36"/>
  <c r="L248" i="36"/>
  <c r="K248" i="36"/>
  <c r="J248" i="36"/>
  <c r="I248" i="36"/>
  <c r="H248" i="36"/>
  <c r="G248" i="36"/>
  <c r="U247" i="36"/>
  <c r="T247" i="36"/>
  <c r="S247" i="36"/>
  <c r="R247" i="36"/>
  <c r="Q247" i="36"/>
  <c r="P247" i="36"/>
  <c r="O247" i="36"/>
  <c r="N247" i="36"/>
  <c r="M247" i="36"/>
  <c r="L247" i="36"/>
  <c r="K247" i="36"/>
  <c r="J247" i="36"/>
  <c r="I247" i="36"/>
  <c r="H247" i="36"/>
  <c r="G247" i="36"/>
  <c r="V307" i="36"/>
  <c r="V306" i="36"/>
  <c r="V305" i="36"/>
  <c r="V304" i="36"/>
  <c r="V303" i="36"/>
  <c r="V302" i="36"/>
  <c r="V301" i="36"/>
  <c r="V300" i="36"/>
  <c r="V299" i="36"/>
  <c r="V298" i="36"/>
  <c r="V297" i="36"/>
  <c r="V296" i="36"/>
  <c r="V295" i="36"/>
  <c r="V294" i="36"/>
  <c r="V293" i="36"/>
  <c r="V292" i="36"/>
  <c r="V291" i="36"/>
  <c r="V289" i="36"/>
  <c r="V288" i="36"/>
  <c r="V287" i="36"/>
  <c r="V286" i="36"/>
  <c r="V285" i="36"/>
  <c r="V284" i="36"/>
  <c r="V283" i="36"/>
  <c r="V282" i="36"/>
  <c r="V281" i="36"/>
  <c r="V280" i="36"/>
  <c r="U279" i="36"/>
  <c r="T279" i="36"/>
  <c r="S279" i="36"/>
  <c r="R279" i="36"/>
  <c r="Q279" i="36"/>
  <c r="P279" i="36"/>
  <c r="O279" i="36"/>
  <c r="N279" i="36"/>
  <c r="M279" i="36"/>
  <c r="L279" i="36"/>
  <c r="K279" i="36"/>
  <c r="J279" i="36"/>
  <c r="I279" i="36"/>
  <c r="H279" i="36"/>
  <c r="G279" i="36"/>
  <c r="U278" i="36"/>
  <c r="T278" i="36"/>
  <c r="S278" i="36"/>
  <c r="R278" i="36"/>
  <c r="Q278" i="36"/>
  <c r="P278" i="36"/>
  <c r="O278" i="36"/>
  <c r="N278" i="36"/>
  <c r="M278" i="36"/>
  <c r="L278" i="36"/>
  <c r="K278" i="36"/>
  <c r="J278" i="36"/>
  <c r="I278" i="36"/>
  <c r="H278" i="36"/>
  <c r="G278" i="36"/>
  <c r="V650" i="36"/>
  <c r="V649" i="36"/>
  <c r="V648" i="36"/>
  <c r="V647" i="36"/>
  <c r="V646" i="36"/>
  <c r="V645" i="36"/>
  <c r="V644" i="36"/>
  <c r="V643" i="36"/>
  <c r="V642" i="36"/>
  <c r="V641" i="36"/>
  <c r="V640" i="36"/>
  <c r="V639" i="36"/>
  <c r="V638" i="36"/>
  <c r="V637" i="36"/>
  <c r="V636" i="36"/>
  <c r="V635" i="36"/>
  <c r="V634" i="36"/>
  <c r="V632" i="36"/>
  <c r="V631" i="36"/>
  <c r="V630" i="36"/>
  <c r="V629" i="36"/>
  <c r="V628" i="36"/>
  <c r="V627" i="36"/>
  <c r="V626" i="36"/>
  <c r="V625" i="36"/>
  <c r="V624" i="36"/>
  <c r="V623" i="36"/>
  <c r="V97" i="36"/>
  <c r="V96" i="36"/>
  <c r="V95" i="36"/>
  <c r="V94" i="36"/>
  <c r="V93" i="36"/>
  <c r="V92" i="36"/>
  <c r="V91" i="36"/>
  <c r="V90" i="36"/>
  <c r="V89" i="36"/>
  <c r="V88" i="36"/>
  <c r="V87" i="36"/>
  <c r="V86" i="36"/>
  <c r="V85" i="36"/>
  <c r="U83" i="36"/>
  <c r="T83" i="36"/>
  <c r="S83" i="36"/>
  <c r="R83" i="36"/>
  <c r="Q83" i="36"/>
  <c r="P83" i="36"/>
  <c r="O83" i="36"/>
  <c r="N83" i="36"/>
  <c r="M83" i="36"/>
  <c r="L83" i="36"/>
  <c r="K83" i="36"/>
  <c r="J83" i="36"/>
  <c r="I83" i="36"/>
  <c r="H83" i="36"/>
  <c r="G83" i="36"/>
  <c r="V59" i="38"/>
  <c r="V60" i="38"/>
  <c r="V61" i="38"/>
  <c r="V62" i="38"/>
  <c r="V63" i="38"/>
  <c r="V11" i="36"/>
  <c r="V12" i="36"/>
  <c r="V13" i="36"/>
  <c r="V34" i="36"/>
  <c r="V35" i="36"/>
  <c r="V36" i="36"/>
  <c r="V37" i="36"/>
  <c r="V38" i="36"/>
  <c r="V39" i="36"/>
  <c r="V40" i="36"/>
  <c r="V41" i="36"/>
  <c r="V42" i="36"/>
  <c r="V54" i="36"/>
  <c r="V65" i="36"/>
  <c r="V66" i="36"/>
  <c r="V67" i="36"/>
  <c r="V68" i="36"/>
  <c r="V69" i="36"/>
  <c r="V70" i="36"/>
  <c r="V71" i="36"/>
  <c r="V72" i="36"/>
  <c r="V73" i="36"/>
  <c r="V74" i="36"/>
  <c r="V75" i="36"/>
  <c r="V76" i="36"/>
  <c r="V44" i="38"/>
  <c r="V11" i="38"/>
  <c r="J9" i="36"/>
  <c r="I9" i="36"/>
  <c r="H9" i="36"/>
  <c r="G9" i="36"/>
  <c r="V45" i="36"/>
  <c r="V44" i="36"/>
  <c r="V670" i="36"/>
  <c r="V671" i="36"/>
  <c r="V672" i="36"/>
  <c r="V673" i="36"/>
  <c r="V674" i="36"/>
  <c r="V675" i="36"/>
  <c r="V676" i="36"/>
  <c r="V677" i="36"/>
  <c r="V678" i="36"/>
  <c r="V679" i="36"/>
  <c r="V680" i="36"/>
  <c r="V681" i="36"/>
  <c r="V682" i="36"/>
  <c r="V683" i="36"/>
  <c r="V684" i="36"/>
  <c r="V685" i="36"/>
  <c r="V659" i="36"/>
  <c r="V660" i="36"/>
  <c r="V661" i="36"/>
  <c r="V662" i="36"/>
  <c r="V663" i="36"/>
  <c r="V664" i="36"/>
  <c r="V665" i="36"/>
  <c r="V666" i="36"/>
  <c r="V667" i="36"/>
  <c r="V162" i="36"/>
  <c r="V163" i="36"/>
  <c r="V164" i="36"/>
  <c r="V165" i="36"/>
  <c r="V166" i="36"/>
  <c r="V167" i="36"/>
  <c r="V168" i="36"/>
  <c r="V169" i="36"/>
  <c r="V170" i="36"/>
  <c r="V171" i="36"/>
  <c r="V172" i="36"/>
  <c r="V173" i="36"/>
  <c r="V174" i="36"/>
  <c r="V175" i="36"/>
  <c r="V176" i="36"/>
  <c r="V177" i="36"/>
  <c r="V151" i="36"/>
  <c r="V152" i="36"/>
  <c r="V153" i="36"/>
  <c r="V154" i="36"/>
  <c r="V155" i="36"/>
  <c r="V156" i="36"/>
  <c r="V157" i="36"/>
  <c r="V158" i="36"/>
  <c r="V159" i="36"/>
  <c r="V15" i="36"/>
  <c r="V17" i="36"/>
  <c r="V43" i="36"/>
  <c r="V14" i="36"/>
  <c r="V77" i="36"/>
  <c r="V78" i="36"/>
  <c r="V79" i="36"/>
  <c r="V80" i="36"/>
  <c r="V81" i="36"/>
  <c r="V55" i="36"/>
  <c r="V56" i="36"/>
  <c r="V57" i="36"/>
  <c r="V58" i="36"/>
  <c r="V59" i="36"/>
  <c r="V60" i="36"/>
  <c r="V61" i="36"/>
  <c r="V62" i="36"/>
  <c r="V63" i="36"/>
  <c r="V46" i="36"/>
  <c r="V47" i="36"/>
  <c r="V48" i="36"/>
  <c r="V49" i="36"/>
  <c r="V18" i="36"/>
  <c r="V19" i="36"/>
  <c r="V20" i="36"/>
  <c r="V21" i="36"/>
  <c r="R41" i="38"/>
  <c r="V713" i="38"/>
  <c r="V714" i="38"/>
  <c r="V712" i="38"/>
  <c r="V710" i="38"/>
  <c r="G707" i="38"/>
  <c r="V709" i="38"/>
  <c r="V27" i="38"/>
  <c r="V613" i="38"/>
  <c r="V28" i="38"/>
  <c r="V150" i="36"/>
  <c r="U180" i="36"/>
  <c r="T180" i="36"/>
  <c r="S180" i="36"/>
  <c r="R180" i="36"/>
  <c r="Q180" i="36"/>
  <c r="P180" i="36"/>
  <c r="O180" i="36"/>
  <c r="N180" i="36"/>
  <c r="M180" i="36"/>
  <c r="L180" i="36"/>
  <c r="K180" i="36"/>
  <c r="J180" i="36"/>
  <c r="I180" i="36"/>
  <c r="H180" i="36"/>
  <c r="G180" i="36"/>
  <c r="U179" i="36"/>
  <c r="T179" i="36"/>
  <c r="S179" i="36"/>
  <c r="R179" i="36"/>
  <c r="Q179" i="36"/>
  <c r="P179" i="36"/>
  <c r="O179" i="36"/>
  <c r="N179" i="36"/>
  <c r="M179" i="36"/>
  <c r="L179" i="36"/>
  <c r="K179" i="36"/>
  <c r="J179" i="36"/>
  <c r="I179" i="36"/>
  <c r="H179" i="36"/>
  <c r="G179" i="36"/>
  <c r="U149" i="36"/>
  <c r="T149" i="36"/>
  <c r="S149" i="36"/>
  <c r="R149" i="36"/>
  <c r="Q149" i="36"/>
  <c r="P149" i="36"/>
  <c r="O149" i="36"/>
  <c r="N149" i="36"/>
  <c r="M149" i="36"/>
  <c r="L149" i="36"/>
  <c r="K149" i="36"/>
  <c r="J149" i="36"/>
  <c r="I149" i="36"/>
  <c r="H149" i="36"/>
  <c r="G149" i="36"/>
  <c r="U148" i="36"/>
  <c r="T148" i="36"/>
  <c r="S148" i="36"/>
  <c r="R148" i="36"/>
  <c r="Q148" i="36"/>
  <c r="P148" i="36"/>
  <c r="O148" i="36"/>
  <c r="N148" i="36"/>
  <c r="M148" i="36"/>
  <c r="L148" i="36"/>
  <c r="K148" i="36"/>
  <c r="J148" i="36"/>
  <c r="I148" i="36"/>
  <c r="H148" i="36"/>
  <c r="G148" i="36"/>
  <c r="U118" i="36"/>
  <c r="T118" i="36"/>
  <c r="S118" i="36"/>
  <c r="R118" i="36"/>
  <c r="Q118" i="36"/>
  <c r="P118" i="36"/>
  <c r="O118" i="36"/>
  <c r="M118" i="36"/>
  <c r="L118" i="36"/>
  <c r="K118" i="36"/>
  <c r="J118" i="36"/>
  <c r="I118" i="36"/>
  <c r="H118" i="36"/>
  <c r="G118" i="36"/>
  <c r="U117" i="36"/>
  <c r="T117" i="36"/>
  <c r="S117" i="36"/>
  <c r="R117" i="36"/>
  <c r="Q117" i="36"/>
  <c r="P117" i="36"/>
  <c r="O117" i="36"/>
  <c r="N117" i="36"/>
  <c r="M117" i="36"/>
  <c r="L117" i="36"/>
  <c r="K117" i="36"/>
  <c r="J117" i="36"/>
  <c r="I117" i="36"/>
  <c r="H117" i="36"/>
  <c r="G117" i="36"/>
  <c r="U53" i="36"/>
  <c r="T53" i="36"/>
  <c r="S53" i="36"/>
  <c r="R53" i="36"/>
  <c r="Q53" i="36"/>
  <c r="P53" i="36"/>
  <c r="O53" i="36"/>
  <c r="N53" i="36"/>
  <c r="M53" i="36"/>
  <c r="L53" i="36"/>
  <c r="K53" i="36"/>
  <c r="J53" i="36"/>
  <c r="I53" i="36"/>
  <c r="H53" i="36"/>
  <c r="G53" i="36"/>
  <c r="U52" i="36"/>
  <c r="T52" i="36"/>
  <c r="S52" i="36"/>
  <c r="R52" i="36"/>
  <c r="Q52" i="36"/>
  <c r="P52" i="36"/>
  <c r="O52" i="36"/>
  <c r="N52" i="36"/>
  <c r="M52" i="36"/>
  <c r="L52" i="36"/>
  <c r="K52" i="36"/>
  <c r="J52" i="36"/>
  <c r="I52" i="36"/>
  <c r="H52" i="36"/>
  <c r="G52" i="36"/>
  <c r="V701" i="36"/>
  <c r="V702" i="36"/>
  <c r="V703" i="36"/>
  <c r="V704" i="36"/>
  <c r="V706" i="36"/>
  <c r="V707" i="36"/>
  <c r="V708" i="36"/>
  <c r="V709" i="36"/>
  <c r="V710" i="36"/>
  <c r="V711" i="36"/>
  <c r="V712" i="36"/>
  <c r="V713" i="36"/>
  <c r="V714" i="36"/>
  <c r="V715" i="36"/>
  <c r="V700" i="36"/>
  <c r="V698" i="36"/>
  <c r="V697" i="36"/>
  <c r="V696" i="36"/>
  <c r="V695" i="36"/>
  <c r="V693" i="36"/>
  <c r="V692" i="36"/>
  <c r="V691" i="36"/>
  <c r="V690" i="36"/>
  <c r="V689" i="36"/>
  <c r="U688" i="36"/>
  <c r="T688" i="36"/>
  <c r="S688" i="36"/>
  <c r="R688" i="36"/>
  <c r="Q688" i="36"/>
  <c r="P688" i="36"/>
  <c r="O688" i="36"/>
  <c r="N688" i="36"/>
  <c r="M688" i="36"/>
  <c r="L688" i="36"/>
  <c r="K688" i="36"/>
  <c r="J688" i="36"/>
  <c r="I688" i="36"/>
  <c r="H688" i="36"/>
  <c r="G688" i="36"/>
  <c r="U687" i="36"/>
  <c r="T687" i="36"/>
  <c r="S687" i="36"/>
  <c r="R687" i="36"/>
  <c r="Q687" i="36"/>
  <c r="P687" i="36"/>
  <c r="O687" i="36"/>
  <c r="N687" i="36"/>
  <c r="M687" i="36"/>
  <c r="L687" i="36"/>
  <c r="K687" i="36"/>
  <c r="J687" i="36"/>
  <c r="I687" i="36"/>
  <c r="H687" i="36"/>
  <c r="G687" i="36"/>
  <c r="V658" i="36"/>
  <c r="H708" i="38"/>
  <c r="I708" i="38"/>
  <c r="J708" i="38"/>
  <c r="K708" i="38"/>
  <c r="L708" i="38"/>
  <c r="M708" i="38"/>
  <c r="N708" i="38"/>
  <c r="O708" i="38"/>
  <c r="P708" i="38"/>
  <c r="Q708" i="38"/>
  <c r="R708" i="38"/>
  <c r="S708" i="38"/>
  <c r="T708" i="38"/>
  <c r="U708" i="38"/>
  <c r="G708" i="38"/>
  <c r="H707" i="38"/>
  <c r="I707" i="38"/>
  <c r="J707" i="38"/>
  <c r="K707" i="38"/>
  <c r="L707" i="38"/>
  <c r="M707" i="38"/>
  <c r="N707" i="38"/>
  <c r="O707" i="38"/>
  <c r="P707" i="38"/>
  <c r="Q707" i="38"/>
  <c r="R707" i="38"/>
  <c r="S707" i="38"/>
  <c r="T707" i="38"/>
  <c r="U707" i="38"/>
  <c r="H695" i="38"/>
  <c r="I695" i="38"/>
  <c r="J695" i="38"/>
  <c r="K695" i="38"/>
  <c r="L695" i="38"/>
  <c r="M695" i="38"/>
  <c r="N695" i="38"/>
  <c r="O695" i="38"/>
  <c r="P695" i="38"/>
  <c r="Q695" i="38"/>
  <c r="R695" i="38"/>
  <c r="S695" i="38"/>
  <c r="T695" i="38"/>
  <c r="U695" i="38"/>
  <c r="G695" i="38"/>
  <c r="I694" i="38"/>
  <c r="J694" i="38"/>
  <c r="K694" i="38"/>
  <c r="L694" i="38"/>
  <c r="M694" i="38"/>
  <c r="N694" i="38"/>
  <c r="O694" i="38"/>
  <c r="P694" i="38"/>
  <c r="Q694" i="38"/>
  <c r="R694" i="38"/>
  <c r="S694" i="38"/>
  <c r="T694" i="38"/>
  <c r="U694" i="38"/>
  <c r="H694" i="38"/>
  <c r="G694" i="38"/>
  <c r="V699" i="38"/>
  <c r="V704" i="38"/>
  <c r="V705" i="38"/>
  <c r="V706" i="38"/>
  <c r="U72" i="38"/>
  <c r="T72" i="38"/>
  <c r="S72" i="38"/>
  <c r="R72" i="38"/>
  <c r="Q72" i="38"/>
  <c r="P72" i="38"/>
  <c r="O72" i="38"/>
  <c r="N72" i="38"/>
  <c r="M72" i="38"/>
  <c r="L72" i="38"/>
  <c r="K72" i="38"/>
  <c r="J72" i="38"/>
  <c r="I72" i="38"/>
  <c r="H72" i="38"/>
  <c r="G72" i="38"/>
  <c r="U71" i="38"/>
  <c r="T71" i="38"/>
  <c r="S71" i="38"/>
  <c r="R71" i="38"/>
  <c r="Q71" i="38"/>
  <c r="P71" i="38"/>
  <c r="O71" i="38"/>
  <c r="N71" i="38"/>
  <c r="M71" i="38"/>
  <c r="L71" i="38"/>
  <c r="K71" i="38"/>
  <c r="J71" i="38"/>
  <c r="I71" i="38"/>
  <c r="H71" i="38"/>
  <c r="G71" i="38"/>
  <c r="U41" i="38"/>
  <c r="T41" i="38"/>
  <c r="S41" i="38"/>
  <c r="Q41" i="38"/>
  <c r="P41" i="38"/>
  <c r="O41" i="38"/>
  <c r="N41" i="38"/>
  <c r="M41" i="38"/>
  <c r="L41" i="38"/>
  <c r="K41" i="38"/>
  <c r="J41" i="38"/>
  <c r="I41" i="38"/>
  <c r="H41" i="38"/>
  <c r="G41" i="38"/>
  <c r="U40" i="38"/>
  <c r="T40" i="38"/>
  <c r="S40" i="38"/>
  <c r="R40" i="38"/>
  <c r="Q40" i="38"/>
  <c r="P40" i="38"/>
  <c r="O40" i="38"/>
  <c r="N40" i="38"/>
  <c r="M40" i="38"/>
  <c r="L40" i="38"/>
  <c r="K40" i="38"/>
  <c r="J40" i="38"/>
  <c r="I40" i="38"/>
  <c r="H40" i="38"/>
  <c r="G40" i="38"/>
  <c r="U10" i="38"/>
  <c r="Q10" i="38"/>
  <c r="I10" i="38"/>
  <c r="H10" i="38"/>
  <c r="G10" i="38"/>
  <c r="U9" i="38"/>
  <c r="T9" i="38"/>
  <c r="S9" i="38"/>
  <c r="R9" i="38"/>
  <c r="Q9" i="38"/>
  <c r="P9" i="38"/>
  <c r="O9" i="38"/>
  <c r="N9" i="38"/>
  <c r="M9" i="38"/>
  <c r="L9" i="38"/>
  <c r="K9" i="38"/>
  <c r="J9" i="38"/>
  <c r="I9" i="38"/>
  <c r="H9" i="38"/>
  <c r="G9" i="38"/>
  <c r="U10" i="36"/>
  <c r="T10" i="36"/>
  <c r="S10" i="36"/>
  <c r="R10" i="36"/>
  <c r="Q10" i="36"/>
  <c r="P10" i="36"/>
  <c r="O10" i="36"/>
  <c r="N10" i="36"/>
  <c r="M10" i="36"/>
  <c r="L10" i="36"/>
  <c r="K10" i="36"/>
  <c r="J10" i="36"/>
  <c r="I10" i="36"/>
  <c r="H10" i="36"/>
  <c r="G10" i="36"/>
  <c r="U9" i="36"/>
  <c r="T9" i="36"/>
  <c r="S9" i="36"/>
  <c r="R9" i="36"/>
  <c r="Q9" i="36"/>
  <c r="P9" i="36"/>
  <c r="O9" i="36"/>
  <c r="N9" i="36"/>
  <c r="M9" i="36"/>
  <c r="L9" i="36"/>
  <c r="K9" i="36"/>
  <c r="V689" i="38"/>
  <c r="V688" i="38"/>
  <c r="V687" i="38"/>
  <c r="V686" i="38"/>
  <c r="V685" i="38"/>
  <c r="V684" i="38"/>
  <c r="V683" i="38"/>
  <c r="V682" i="38"/>
  <c r="V681" i="38"/>
  <c r="V680" i="38"/>
  <c r="V679" i="38"/>
  <c r="V678" i="38"/>
  <c r="V677" i="38"/>
  <c r="V676" i="38"/>
  <c r="V675" i="38"/>
  <c r="V674" i="38"/>
  <c r="V673" i="38"/>
  <c r="V671" i="38"/>
  <c r="V670" i="38"/>
  <c r="V669" i="38"/>
  <c r="V668" i="38"/>
  <c r="V667" i="38"/>
  <c r="V666" i="38"/>
  <c r="V665" i="38"/>
  <c r="V664" i="38"/>
  <c r="V663" i="38"/>
  <c r="V662" i="38"/>
  <c r="V658" i="38"/>
  <c r="V657" i="38"/>
  <c r="V656" i="38"/>
  <c r="V655" i="38"/>
  <c r="V654" i="38"/>
  <c r="V653" i="38"/>
  <c r="V652" i="38"/>
  <c r="V651" i="38"/>
  <c r="V650" i="38"/>
  <c r="V649" i="38"/>
  <c r="V648" i="38"/>
  <c r="V647" i="38"/>
  <c r="V646" i="38"/>
  <c r="V645" i="38"/>
  <c r="V644" i="38"/>
  <c r="V643" i="38"/>
  <c r="V642" i="38"/>
  <c r="V640" i="38"/>
  <c r="V639" i="38"/>
  <c r="V638" i="38"/>
  <c r="V637" i="38"/>
  <c r="V636" i="38"/>
  <c r="V635" i="38"/>
  <c r="V634" i="38"/>
  <c r="V633" i="38"/>
  <c r="V632" i="38"/>
  <c r="V631" i="38"/>
  <c r="V627" i="38"/>
  <c r="V626" i="38"/>
  <c r="V625" i="38"/>
  <c r="V624" i="38"/>
  <c r="V623" i="38"/>
  <c r="V622" i="38"/>
  <c r="V621" i="38"/>
  <c r="V620" i="38"/>
  <c r="V619" i="38"/>
  <c r="V618" i="38"/>
  <c r="V617" i="38"/>
  <c r="V616" i="38"/>
  <c r="V615" i="38"/>
  <c r="V614" i="38"/>
  <c r="V612" i="38"/>
  <c r="V611" i="38"/>
  <c r="V609" i="38"/>
  <c r="V608" i="38"/>
  <c r="V607" i="38"/>
  <c r="V606" i="38"/>
  <c r="V605" i="38"/>
  <c r="V604" i="38"/>
  <c r="V603" i="38"/>
  <c r="V602" i="38"/>
  <c r="V601" i="38"/>
  <c r="V600" i="38"/>
  <c r="V596" i="38"/>
  <c r="V595" i="38"/>
  <c r="V594" i="38"/>
  <c r="V593" i="38"/>
  <c r="V592" i="38"/>
  <c r="V591" i="38"/>
  <c r="V590" i="38"/>
  <c r="V589" i="38"/>
  <c r="V588" i="38"/>
  <c r="V587" i="38"/>
  <c r="V586" i="38"/>
  <c r="V585" i="38"/>
  <c r="V584" i="38"/>
  <c r="V583" i="38"/>
  <c r="V582" i="38"/>
  <c r="V581" i="38"/>
  <c r="V580" i="38"/>
  <c r="V578" i="38"/>
  <c r="V577" i="38"/>
  <c r="V576" i="38"/>
  <c r="V575" i="38"/>
  <c r="V574" i="38"/>
  <c r="V573" i="38"/>
  <c r="V572" i="38"/>
  <c r="V571" i="38"/>
  <c r="V570" i="38"/>
  <c r="V569" i="38"/>
  <c r="V100" i="38"/>
  <c r="V99" i="38"/>
  <c r="V98" i="38"/>
  <c r="V97" i="38"/>
  <c r="V96" i="38"/>
  <c r="V95" i="38"/>
  <c r="V94" i="38"/>
  <c r="V93" i="38"/>
  <c r="V92" i="38"/>
  <c r="V91" i="38"/>
  <c r="V90" i="38"/>
  <c r="V89" i="38"/>
  <c r="V88" i="38"/>
  <c r="V87" i="38"/>
  <c r="V86" i="38"/>
  <c r="V85" i="38"/>
  <c r="V84" i="38"/>
  <c r="V82" i="38"/>
  <c r="V81" i="38"/>
  <c r="V80" i="38"/>
  <c r="V79" i="38"/>
  <c r="V78" i="38"/>
  <c r="V77" i="38"/>
  <c r="V76" i="38"/>
  <c r="V75" i="38"/>
  <c r="V74" i="38"/>
  <c r="V73" i="38"/>
  <c r="V69" i="38"/>
  <c r="V68" i="38"/>
  <c r="V67" i="38"/>
  <c r="V66" i="38"/>
  <c r="V65" i="38"/>
  <c r="V64" i="38"/>
  <c r="V58" i="38"/>
  <c r="V57" i="38"/>
  <c r="V56" i="38"/>
  <c r="V55" i="38"/>
  <c r="V54" i="38"/>
  <c r="V53" i="38"/>
  <c r="V51" i="38"/>
  <c r="V50" i="38"/>
  <c r="V49" i="38"/>
  <c r="V48" i="38"/>
  <c r="V47" i="38"/>
  <c r="V46" i="38"/>
  <c r="V45" i="38"/>
  <c r="V43" i="38"/>
  <c r="V42" i="38"/>
  <c r="V30" i="38"/>
  <c r="V31" i="38"/>
  <c r="V32" i="38"/>
  <c r="V33" i="38"/>
  <c r="V34" i="38"/>
  <c r="V35" i="38"/>
  <c r="V36" i="38"/>
  <c r="V37" i="38"/>
  <c r="V38" i="38"/>
  <c r="V13" i="38"/>
  <c r="V14" i="38"/>
  <c r="V15" i="38"/>
  <c r="V16" i="38"/>
  <c r="V17" i="38"/>
  <c r="V18" i="38"/>
  <c r="V19" i="38"/>
  <c r="V20" i="38"/>
  <c r="V214" i="36"/>
  <c r="V213" i="36"/>
  <c r="V212" i="36"/>
  <c r="V211" i="36"/>
  <c r="V210" i="36"/>
  <c r="V209" i="36"/>
  <c r="V208" i="36"/>
  <c r="V207" i="36"/>
  <c r="V206" i="36"/>
  <c r="V205" i="36"/>
  <c r="V204" i="36"/>
  <c r="V203" i="36"/>
  <c r="V202" i="36"/>
  <c r="V201" i="36"/>
  <c r="V200" i="36"/>
  <c r="V199" i="36"/>
  <c r="V198" i="36"/>
  <c r="V196" i="36"/>
  <c r="V189" i="36"/>
  <c r="V188" i="36"/>
  <c r="V187" i="36"/>
  <c r="V186" i="36"/>
  <c r="V185" i="36"/>
  <c r="V184" i="36"/>
  <c r="V183" i="36"/>
  <c r="V182" i="36"/>
  <c r="V181" i="36"/>
  <c r="V161" i="36"/>
  <c r="V146" i="36"/>
  <c r="V145" i="36"/>
  <c r="V144" i="36"/>
  <c r="V143" i="36"/>
  <c r="V142" i="36"/>
  <c r="V141" i="36"/>
  <c r="V140" i="36"/>
  <c r="V139" i="36"/>
  <c r="V138" i="36"/>
  <c r="V137" i="36"/>
  <c r="V136" i="36"/>
  <c r="V135" i="36"/>
  <c r="V134" i="36"/>
  <c r="V133" i="36"/>
  <c r="V132" i="36"/>
  <c r="V131" i="36"/>
  <c r="V130" i="36"/>
  <c r="V128" i="36"/>
  <c r="V127" i="36"/>
  <c r="V126" i="36"/>
  <c r="V125" i="36"/>
  <c r="V124" i="36"/>
  <c r="V123" i="36"/>
  <c r="V122" i="36"/>
  <c r="V121" i="36"/>
  <c r="V120" i="36"/>
  <c r="V119" i="36"/>
  <c r="V115" i="36"/>
  <c r="V114" i="36"/>
  <c r="V113" i="36"/>
  <c r="V112" i="36"/>
  <c r="V111" i="36"/>
  <c r="V110" i="36"/>
  <c r="V109" i="36"/>
  <c r="V108" i="36"/>
  <c r="V107" i="36"/>
  <c r="V106" i="36"/>
  <c r="V105" i="36"/>
  <c r="V104" i="36"/>
  <c r="V103" i="36"/>
  <c r="V102" i="36"/>
  <c r="V101" i="36"/>
  <c r="V100" i="36"/>
  <c r="V99" i="36"/>
  <c r="V16" i="36"/>
  <c r="J10" i="38"/>
  <c r="K10" i="38"/>
  <c r="L10" i="38"/>
  <c r="M10" i="38"/>
  <c r="N10" i="38"/>
  <c r="O10" i="38"/>
  <c r="P10" i="38"/>
  <c r="R10" i="38"/>
  <c r="S10" i="38"/>
  <c r="T10" i="38"/>
  <c r="V12" i="38"/>
  <c r="V22" i="38"/>
  <c r="V23" i="38"/>
  <c r="V24" i="38"/>
  <c r="V25" i="38"/>
  <c r="V26" i="38"/>
  <c r="V29" i="38"/>
  <c r="V696" i="38"/>
  <c r="V697" i="38"/>
  <c r="V669" i="36"/>
  <c r="H654" i="36" l="1"/>
  <c r="H718" i="36" s="1"/>
  <c r="J654" i="36"/>
  <c r="J718" i="36" s="1"/>
  <c r="L654" i="36"/>
  <c r="L718" i="36" s="1"/>
  <c r="N654" i="36"/>
  <c r="N718" i="36" s="1"/>
  <c r="P654" i="36"/>
  <c r="P718" i="36" s="1"/>
  <c r="R654" i="36"/>
  <c r="R718" i="36" s="1"/>
  <c r="T654" i="36"/>
  <c r="T718" i="36" s="1"/>
  <c r="K653" i="36"/>
  <c r="K717" i="36" s="1"/>
  <c r="M653" i="36"/>
  <c r="M717" i="36" s="1"/>
  <c r="O653" i="36"/>
  <c r="O717" i="36" s="1"/>
  <c r="Q653" i="36"/>
  <c r="Q717" i="36" s="1"/>
  <c r="S653" i="36"/>
  <c r="S717" i="36" s="1"/>
  <c r="U653" i="36"/>
  <c r="U717" i="36" s="1"/>
  <c r="L653" i="36"/>
  <c r="L717" i="36" s="1"/>
  <c r="N653" i="36"/>
  <c r="N717" i="36" s="1"/>
  <c r="P653" i="36"/>
  <c r="P717" i="36" s="1"/>
  <c r="R653" i="36"/>
  <c r="R717" i="36" s="1"/>
  <c r="T653" i="36"/>
  <c r="T717" i="36" s="1"/>
  <c r="G654" i="36"/>
  <c r="G718" i="36" s="1"/>
  <c r="I654" i="36"/>
  <c r="I718" i="36" s="1"/>
  <c r="K654" i="36"/>
  <c r="K718" i="36" s="1"/>
  <c r="M654" i="36"/>
  <c r="M718" i="36" s="1"/>
  <c r="O654" i="36"/>
  <c r="O718" i="36" s="1"/>
  <c r="Q654" i="36"/>
  <c r="Q718" i="36" s="1"/>
  <c r="S654" i="36"/>
  <c r="S718" i="36" s="1"/>
  <c r="U654" i="36"/>
  <c r="U718" i="36" s="1"/>
  <c r="G653" i="36"/>
  <c r="G717" i="36" s="1"/>
  <c r="I653" i="36"/>
  <c r="I717" i="36" s="1"/>
  <c r="H653" i="36"/>
  <c r="H717" i="36" s="1"/>
  <c r="J653" i="36"/>
  <c r="J717" i="36" s="1"/>
  <c r="Q692" i="38"/>
  <c r="Q717" i="38" s="1"/>
  <c r="I691" i="38"/>
  <c r="I716" i="38" s="1"/>
  <c r="M691" i="38"/>
  <c r="M716" i="38" s="1"/>
  <c r="Q691" i="38"/>
  <c r="Q716" i="38" s="1"/>
  <c r="U691" i="38"/>
  <c r="U716" i="38" s="1"/>
  <c r="T692" i="38"/>
  <c r="T717" i="38" s="1"/>
  <c r="O692" i="38"/>
  <c r="O717" i="38" s="1"/>
  <c r="K692" i="38"/>
  <c r="K717" i="38" s="1"/>
  <c r="R692" i="38"/>
  <c r="R717" i="38" s="1"/>
  <c r="J691" i="38"/>
  <c r="J716" i="38" s="1"/>
  <c r="N691" i="38"/>
  <c r="N716" i="38" s="1"/>
  <c r="R691" i="38"/>
  <c r="R716" i="38" s="1"/>
  <c r="H692" i="38"/>
  <c r="H717" i="38" s="1"/>
  <c r="P692" i="38"/>
  <c r="P717" i="38" s="1"/>
  <c r="L692" i="38"/>
  <c r="L717" i="38" s="1"/>
  <c r="G691" i="38"/>
  <c r="G716" i="38" s="1"/>
  <c r="K691" i="38"/>
  <c r="K716" i="38" s="1"/>
  <c r="O691" i="38"/>
  <c r="O716" i="38" s="1"/>
  <c r="S691" i="38"/>
  <c r="S716" i="38" s="1"/>
  <c r="G692" i="38"/>
  <c r="G717" i="38" s="1"/>
  <c r="U692" i="38"/>
  <c r="U717" i="38" s="1"/>
  <c r="M692" i="38"/>
  <c r="M717" i="38" s="1"/>
  <c r="I692" i="38"/>
  <c r="I717" i="38" s="1"/>
  <c r="H691" i="38"/>
  <c r="H716" i="38" s="1"/>
  <c r="L691" i="38"/>
  <c r="L716" i="38" s="1"/>
  <c r="P691" i="38"/>
  <c r="P716" i="38" s="1"/>
  <c r="T691" i="38"/>
  <c r="T716" i="38" s="1"/>
  <c r="S692" i="38"/>
  <c r="S717" i="38" s="1"/>
  <c r="S720" i="38" s="1"/>
  <c r="N692" i="38"/>
  <c r="N717" i="38" s="1"/>
  <c r="J692" i="38"/>
  <c r="J717" i="38" s="1"/>
  <c r="V707" i="38"/>
  <c r="F719" i="36"/>
  <c r="V134" i="38"/>
  <c r="V557" i="36"/>
  <c r="V656" i="36"/>
  <c r="V83" i="36"/>
  <c r="V9" i="36"/>
  <c r="V537" i="38"/>
  <c r="V694" i="38"/>
  <c r="V660" i="38"/>
  <c r="V72" i="38"/>
  <c r="V657" i="36"/>
  <c r="F718" i="38"/>
  <c r="V495" i="36"/>
  <c r="V599" i="38"/>
  <c r="V629" i="38"/>
  <c r="V40" i="38"/>
  <c r="V568" i="38"/>
  <c r="V279" i="36"/>
  <c r="V216" i="36"/>
  <c r="V310" i="36"/>
  <c r="V341" i="36"/>
  <c r="V433" i="36"/>
  <c r="V102" i="38"/>
  <c r="V196" i="38"/>
  <c r="V257" i="38"/>
  <c r="V319" i="38"/>
  <c r="V350" i="38"/>
  <c r="V413" i="38"/>
  <c r="V506" i="38"/>
  <c r="V558" i="36"/>
  <c r="V695" i="38"/>
  <c r="V567" i="38"/>
  <c r="V536" i="38"/>
  <c r="V505" i="38"/>
  <c r="V444" i="38"/>
  <c r="V443" i="38"/>
  <c r="V412" i="38"/>
  <c r="V382" i="38"/>
  <c r="V381" i="38"/>
  <c r="V289" i="38"/>
  <c r="V288" i="38"/>
  <c r="V227" i="38"/>
  <c r="V195" i="38"/>
  <c r="V165" i="38"/>
  <c r="V164" i="38"/>
  <c r="V133" i="38"/>
  <c r="V103" i="38"/>
  <c r="V688" i="36"/>
  <c r="V622" i="36"/>
  <c r="V589" i="36"/>
  <c r="V526" i="36"/>
  <c r="V496" i="36"/>
  <c r="V465" i="36"/>
  <c r="V434" i="36"/>
  <c r="V402" i="36"/>
  <c r="V371" i="36"/>
  <c r="V278" i="36"/>
  <c r="V247" i="36"/>
  <c r="V217" i="36"/>
  <c r="V180" i="36"/>
  <c r="V52" i="36"/>
  <c r="V474" i="38"/>
  <c r="V475" i="38"/>
  <c r="V117" i="36"/>
  <c r="V661" i="38"/>
  <c r="V687" i="36"/>
  <c r="V464" i="36"/>
  <c r="V527" i="36"/>
  <c r="V179" i="36"/>
  <c r="V84" i="36"/>
  <c r="V149" i="36"/>
  <c r="V71" i="38"/>
  <c r="V118" i="36"/>
  <c r="V9" i="38"/>
  <c r="V41" i="38"/>
  <c r="V598" i="38"/>
  <c r="V630" i="38"/>
  <c r="V708" i="38"/>
  <c r="V10" i="38"/>
  <c r="V10" i="36"/>
  <c r="V53" i="36"/>
  <c r="V403" i="36"/>
  <c r="V309" i="36"/>
  <c r="V340" i="36"/>
  <c r="V226" i="38"/>
  <c r="V621" i="36"/>
  <c r="V248" i="36"/>
  <c r="V372" i="36"/>
  <c r="V258" i="38"/>
  <c r="V320" i="38"/>
  <c r="V351" i="38"/>
  <c r="V590" i="36"/>
  <c r="V148" i="36"/>
  <c r="V654" i="36" l="1"/>
  <c r="V718" i="36" s="1"/>
  <c r="V653" i="36"/>
  <c r="V717" i="36" s="1"/>
  <c r="V691" i="38"/>
  <c r="V692" i="38"/>
  <c r="V717" i="38" s="1"/>
  <c r="W707" i="38"/>
  <c r="W195" i="38"/>
  <c r="W567" i="38"/>
  <c r="W133" i="38"/>
  <c r="W40" i="38"/>
  <c r="W621" i="36"/>
  <c r="W495" i="36"/>
  <c r="W9" i="38"/>
  <c r="W402" i="36"/>
  <c r="W536" i="38"/>
  <c r="W257" i="38"/>
  <c r="W660" i="38"/>
  <c r="W505" i="38"/>
  <c r="U718" i="38"/>
  <c r="W656" i="36"/>
  <c r="W589" i="36"/>
  <c r="W557" i="36"/>
  <c r="W309" i="36"/>
  <c r="W278" i="36"/>
  <c r="W179" i="36"/>
  <c r="W340" i="36"/>
  <c r="W216" i="36"/>
  <c r="W433" i="36"/>
  <c r="W247" i="36"/>
  <c r="W83" i="36"/>
  <c r="W52" i="36"/>
  <c r="W9" i="36"/>
  <c r="W687" i="36"/>
  <c r="W526" i="36"/>
  <c r="W464" i="36"/>
  <c r="W371" i="36"/>
  <c r="G719" i="36"/>
  <c r="J719" i="36"/>
  <c r="U719" i="36"/>
  <c r="R719" i="36"/>
  <c r="I719" i="36"/>
  <c r="M719" i="36"/>
  <c r="S719" i="36"/>
  <c r="O719" i="36"/>
  <c r="N719" i="36"/>
  <c r="H719" i="36"/>
  <c r="K719" i="36"/>
  <c r="L719" i="36"/>
  <c r="T719" i="36"/>
  <c r="W319" i="38"/>
  <c r="W694" i="38"/>
  <c r="W381" i="38"/>
  <c r="W350" i="38"/>
  <c r="W288" i="38"/>
  <c r="W102" i="38"/>
  <c r="W71" i="38"/>
  <c r="Q718" i="38"/>
  <c r="J718" i="38"/>
  <c r="W629" i="38"/>
  <c r="W598" i="38"/>
  <c r="S718" i="38"/>
  <c r="W226" i="38"/>
  <c r="K718" i="38"/>
  <c r="M718" i="38"/>
  <c r="H718" i="38"/>
  <c r="L718" i="38"/>
  <c r="T718" i="38"/>
  <c r="I718" i="38"/>
  <c r="G718" i="38"/>
  <c r="O718" i="38"/>
  <c r="P718" i="38"/>
  <c r="W443" i="38"/>
  <c r="Q719" i="36"/>
  <c r="R718" i="38"/>
  <c r="R720" i="38" s="1"/>
  <c r="N718" i="38"/>
  <c r="W164" i="38"/>
  <c r="W412" i="38"/>
  <c r="W148" i="36"/>
  <c r="P719" i="36"/>
  <c r="W474" i="38"/>
  <c r="W117" i="36"/>
  <c r="W691" i="38" l="1"/>
  <c r="V716" i="38"/>
  <c r="V718" i="38" s="1"/>
  <c r="W653" i="36"/>
  <c r="V719" i="36"/>
  <c r="W717" i="36"/>
  <c r="W716" i="38" l="1"/>
</calcChain>
</file>

<file path=xl/sharedStrings.xml><?xml version="1.0" encoding="utf-8"?>
<sst xmlns="http://schemas.openxmlformats.org/spreadsheetml/2006/main" count="1225" uniqueCount="309">
  <si>
    <t>Экзамены</t>
  </si>
  <si>
    <t>Зачеты</t>
  </si>
  <si>
    <t>Всего по кафедре</t>
  </si>
  <si>
    <t>Дипломное проектирование</t>
  </si>
  <si>
    <t>Фамилия, имя, отчество (полностью)</t>
  </si>
  <si>
    <t>Лекции</t>
  </si>
  <si>
    <t>Курсовое проектирование</t>
  </si>
  <si>
    <t>Доц.</t>
  </si>
  <si>
    <t>Итого по кафедре</t>
  </si>
  <si>
    <t>Доцент</t>
  </si>
  <si>
    <t>Консультации</t>
  </si>
  <si>
    <t>Рецензирование</t>
  </si>
  <si>
    <t>Ш</t>
  </si>
  <si>
    <t>Модульно-рейтинговая система</t>
  </si>
  <si>
    <t>Практика</t>
  </si>
  <si>
    <t>Б</t>
  </si>
  <si>
    <t>№ п/п</t>
  </si>
  <si>
    <t>Должность</t>
  </si>
  <si>
    <t>Штатный, совместительъ</t>
  </si>
  <si>
    <t>Бюджет, внебюджет</t>
  </si>
  <si>
    <t>Кол. ставок</t>
  </si>
  <si>
    <t>Кол-во лаб. часов всего</t>
  </si>
  <si>
    <t>Кол-во пр. часов всего</t>
  </si>
  <si>
    <t>ГЭК / ГАК</t>
  </si>
  <si>
    <t>Всего уч. часов по семестрам</t>
  </si>
  <si>
    <t>Учебная</t>
  </si>
  <si>
    <t>Производственная</t>
  </si>
  <si>
    <t>Осен.</t>
  </si>
  <si>
    <t>Вес.</t>
  </si>
  <si>
    <t>Весна</t>
  </si>
  <si>
    <t>Итого уч. часов за год</t>
  </si>
  <si>
    <t>Зав. кафедрой</t>
  </si>
  <si>
    <t>Ст. препод.</t>
  </si>
  <si>
    <t>К</t>
  </si>
  <si>
    <t>С</t>
  </si>
  <si>
    <t>П</t>
  </si>
  <si>
    <t>Всего распределенной нагрузки</t>
  </si>
  <si>
    <t>Почасовая нагрузка дополнительная</t>
  </si>
  <si>
    <t>Почасовая обязательная</t>
  </si>
  <si>
    <t>УТВЕРЖДАЮ</t>
  </si>
  <si>
    <t>Белорусско-Российский университет</t>
  </si>
  <si>
    <t>Ректор университета</t>
  </si>
  <si>
    <t>РАСПРЕДЕЛЕНИЕ</t>
  </si>
  <si>
    <t>учебной нагрузки преподавательского состава</t>
  </si>
  <si>
    <t>Белорусский бюджет</t>
  </si>
  <si>
    <t>Российский бюджет</t>
  </si>
  <si>
    <t xml:space="preserve"> </t>
  </si>
  <si>
    <t xml:space="preserve">Зав. кафедрой "Автоматизированные системы управления" </t>
  </si>
  <si>
    <t>А.И. Якимов</t>
  </si>
  <si>
    <t xml:space="preserve">Зав. кафедрой "Авомаизированные системы управления" </t>
  </si>
  <si>
    <t>Электротехнический факультет</t>
  </si>
  <si>
    <t>С.В.Болотов</t>
  </si>
  <si>
    <t>Инд. Задания, АКР</t>
  </si>
  <si>
    <t>Декан электротехнического факультета</t>
  </si>
  <si>
    <t>по кафедре "Автоматизированные системы управления"</t>
  </si>
  <si>
    <t>Электроехнический факультет</t>
  </si>
  <si>
    <t>М.Е.Лустенков</t>
  </si>
  <si>
    <t>С.В. Болотов</t>
  </si>
  <si>
    <t>Аспирантура, Маг</t>
  </si>
  <si>
    <t>Аспирантура, Маг.</t>
  </si>
  <si>
    <t>Ассистент</t>
  </si>
  <si>
    <t>Ассист</t>
  </si>
  <si>
    <t>Почасовая дополнительная</t>
  </si>
  <si>
    <t>"____"_________2021 г.</t>
  </si>
  <si>
    <t>Математические модели информационных процессов и управления (АСОИ_14)</t>
  </si>
  <si>
    <t>Системный анализ и исследование операций (АСОИ_14)</t>
  </si>
  <si>
    <t>Компьютерная графика (АСОИ_14)</t>
  </si>
  <si>
    <t>Аппаратное и программное обеспечение ЭВМ и сетей (АСОИ_14)</t>
  </si>
  <si>
    <t>Случайные процессы и статистические методы обработки данных (АСОИ_14)</t>
  </si>
  <si>
    <t>Современные системы программирования (АСОИ_14)</t>
  </si>
  <si>
    <t>Компьютерные сети (ИСиТ)</t>
  </si>
  <si>
    <t>Архитектура ЭВМ (ИСиТ)</t>
  </si>
  <si>
    <t>Дискретная и прикладная математика (ИСиТ)</t>
  </si>
  <si>
    <t>Программирование сетевых приложений (ИСиТ)</t>
  </si>
  <si>
    <t>Информатика (ТМ)</t>
  </si>
  <si>
    <t>Информатика (ТОМП)</t>
  </si>
  <si>
    <t>Информатика (СП)</t>
  </si>
  <si>
    <t>Информатика и компьютерная графика (ПИОТТ)</t>
  </si>
  <si>
    <t>Информатика (МПК)</t>
  </si>
  <si>
    <t>Компьютерные информационные технологии (ФК)</t>
  </si>
  <si>
    <t>Дискретная математика (АСОИ_21)</t>
  </si>
  <si>
    <t>Администрирование и программирование распределенных приложений (АСОИ_14)</t>
  </si>
  <si>
    <t>Архитектура ЭВМ (АСОИ_14)</t>
  </si>
  <si>
    <t>Интегрированные информационные системы предприятий (АСОИ_14)</t>
  </si>
  <si>
    <t>Технологическая практика (АСОИ_14)</t>
  </si>
  <si>
    <t>Преддипломная практика (АСОИ_14)</t>
  </si>
  <si>
    <t>Дипломное проектирование (АСОИ_14)</t>
  </si>
  <si>
    <t>Председатель ГЭК (АСОИ_14)</t>
  </si>
  <si>
    <t>Члены ГЭК (АСОИ_14)</t>
  </si>
  <si>
    <t>Нормоконтроль ДП (АСОИ_14)</t>
  </si>
  <si>
    <t>Утверждение ДП (АСОИ_14)</t>
  </si>
  <si>
    <t>Рецензирование ДП (АСОИ_14)</t>
  </si>
  <si>
    <t>Визуальные средства разработки программных приложений (ИСиТ)</t>
  </si>
  <si>
    <t>Основы сетевых технологий  (ЭМ)</t>
  </si>
  <si>
    <t>Распределенные системы обработки информации (ЭМ)</t>
  </si>
  <si>
    <t>Дискретная математика (АСОИзао)</t>
  </si>
  <si>
    <t>Архитектура ЭВМ (АСОИзао)</t>
  </si>
  <si>
    <t>Основы защиты информации (АСОИзао)</t>
  </si>
  <si>
    <t>Математические модели информационных процессов и управления (АСОИзао)</t>
  </si>
  <si>
    <t>Системный анализ и исследование операций (АСОИзао)</t>
  </si>
  <si>
    <t>Аппаратное и программное обеспечение ЭВМ и сетей (АСОИзао)</t>
  </si>
  <si>
    <t>Интегрированные информационные системы предприятий (АСОИзао)</t>
  </si>
  <si>
    <t>Современные системы программирования (АСОИзао)</t>
  </si>
  <si>
    <t>Вычислительная математика и теория алгоритмов (АСОИсокр)</t>
  </si>
  <si>
    <t>Системный анализ и исследование операций (АСОИсокр)</t>
  </si>
  <si>
    <t>Основы защиты информации (АСОИсокр)</t>
  </si>
  <si>
    <t>Случайные процессы и статистические методы обработки данных (АСОИсокр)</t>
  </si>
  <si>
    <t>Современные системы программирования (АСОИсокр)</t>
  </si>
  <si>
    <t>Преддипломная практика (АСОИсокр)</t>
  </si>
  <si>
    <t>Основы защиты информации (ИСиТсокр)</t>
  </si>
  <si>
    <t>Дискретная и прикладная математика (ИСиТсокр)</t>
  </si>
  <si>
    <t>Визуальные средства разработки программных приложений (ИСиТсокр)</t>
  </si>
  <si>
    <t>Основы сетевых технологий  (ЭМсокр)</t>
  </si>
  <si>
    <t>Информатика (ТМзао)</t>
  </si>
  <si>
    <t>Информатика (ТМсокр)</t>
  </si>
  <si>
    <t>Информатика (СПзао)</t>
  </si>
  <si>
    <t>Информатика (СПсокр)</t>
  </si>
  <si>
    <t>Информатика и компьютерная графика (ПИОТТзао)</t>
  </si>
  <si>
    <t>Вычислительная математика и теория алгоритмов (АСОИзао)</t>
  </si>
  <si>
    <t>Компьютерная графика (АСОИзао)</t>
  </si>
  <si>
    <t>Администрирование и программирование распределенных приложений (АСОИзао)</t>
  </si>
  <si>
    <t>Технологическая практика (АСОИзао)</t>
  </si>
  <si>
    <t>Преддипломная практика (АСОИзао)</t>
  </si>
  <si>
    <t>Дипломное проектирование (АСОИзао)</t>
  </si>
  <si>
    <t>Председатель ГЭК (АСОИзао)</t>
  </si>
  <si>
    <t>Члены ГЭК (АСОИзао)</t>
  </si>
  <si>
    <t>Нормоконтроль ДП (АСОИзао)</t>
  </si>
  <si>
    <t>Утверждение ДП (АСОИзао)</t>
  </si>
  <si>
    <t>Рецензирование ДП (АСОИзао)</t>
  </si>
  <si>
    <t>Компьютерная графика (АСОИсокр)</t>
  </si>
  <si>
    <t>Математические модели информационных процессов и управления (АСОИсокр)</t>
  </si>
  <si>
    <t>Администрирование и программирование распределенных приложений (АСОИсокр)</t>
  </si>
  <si>
    <t>Аппаратное и программное обеспечение ЭВМ и сетей (АСОИсокр)</t>
  </si>
  <si>
    <t>Технологическая практика (АСОИсокр)</t>
  </si>
  <si>
    <t>Дипломное проектирование (АСОИсокр)</t>
  </si>
  <si>
    <t>Председатель ГЭК (АСОИсокр)</t>
  </si>
  <si>
    <t>Члены ГЭК (АСОИсокр)</t>
  </si>
  <si>
    <t>Нормоконтроль ДП (АСОИсокр)</t>
  </si>
  <si>
    <t>Утверждение ДП (АСОИсокр)</t>
  </si>
  <si>
    <t>Рецензирование ДП (АСОИсокр)</t>
  </si>
  <si>
    <t>Программирование сетевых приложений (ИСиТсокр)</t>
  </si>
  <si>
    <t>Распределенные системы обработки информации (ЭМсокр)</t>
  </si>
  <si>
    <t>Компьютерные информационные технологии (ФКзао)</t>
  </si>
  <si>
    <t>Эконометрика и экономико математические методы и модели (ФКзао)</t>
  </si>
  <si>
    <t>Эконометрика и экономико математические методы и модели (ФКсокр)</t>
  </si>
  <si>
    <t>Модели и методы подждержки принятия решений (СА1.75)</t>
  </si>
  <si>
    <t>Случайные процессы в системах обработки информации (СА1.75)</t>
  </si>
  <si>
    <t>Руководство магистрантами (СА1.75)</t>
  </si>
  <si>
    <t>Теория оптимальных систем (СА1.75)</t>
  </si>
  <si>
    <t>Мультиагентные системы / Функциональное программирование (СА1.5)</t>
  </si>
  <si>
    <t>Научно-исследовательский семинар (СА1.5)</t>
  </si>
  <si>
    <t>Системы аналитического программирования (СА1.5)</t>
  </si>
  <si>
    <t>Руководство магистрантами (СА1.5)</t>
  </si>
  <si>
    <t>Неклассические логики (СА1.75)</t>
  </si>
  <si>
    <t>Системы аналитического программирования (СА1.75)</t>
  </si>
  <si>
    <t>Экономико-математические методы в системном анализе (СА1.75)</t>
  </si>
  <si>
    <t>Научно-исследовательский семинар (СА1.75)</t>
  </si>
  <si>
    <t>Председатель ГЭК (СА1.5)</t>
  </si>
  <si>
    <t>Члены ГЭК (СА1.5)</t>
  </si>
  <si>
    <t>Нормоконтроль МД (СА1.5)</t>
  </si>
  <si>
    <t>Утверждение МД (СА1.5)</t>
  </si>
  <si>
    <t>Рецензирование МД (СА1.5)</t>
  </si>
  <si>
    <t>Руководство магистрантами (СА2.0_19зао)</t>
  </si>
  <si>
    <t>Мультиагентные системы / Функциональное программирование (СА2.0_19зао)</t>
  </si>
  <si>
    <t>Научно-исследовательский семинар (СА2.0_19зао)</t>
  </si>
  <si>
    <t>Системы аналитического программирования (СА2.0_19зао)</t>
  </si>
  <si>
    <t>Практика технологическая (СА2.0_19зао)</t>
  </si>
  <si>
    <t>Управление стартап-проектами (СА2.0_19зао)</t>
  </si>
  <si>
    <t>Модели и методы поддержки принятия решений (СА2.0_19зао)</t>
  </si>
  <si>
    <t>Председатель ГЭК (СА2.0_19зао)</t>
  </si>
  <si>
    <t>Члены ГЭК (СА2.0_19зао)</t>
  </si>
  <si>
    <t>Нормоконтроль МД (СА2.0_19зао)</t>
  </si>
  <si>
    <t>Утверждение МД (СА2.0_19зао)</t>
  </si>
  <si>
    <t>Рецензирование МД (СА2.0_19зао)</t>
  </si>
  <si>
    <t>Теоретическая информатика (ПИР_20)</t>
  </si>
  <si>
    <t>Компьютерная графика (ПИР_20)</t>
  </si>
  <si>
    <t>Типы и структуры данных (ПИР_20)</t>
  </si>
  <si>
    <t>Сети и телекоммуникации (ПИР_17)</t>
  </si>
  <si>
    <t>Теория информации/Методы оптимизации (ПИР_17)</t>
  </si>
  <si>
    <t>Основы WEB-программирования (ПИР_17)</t>
  </si>
  <si>
    <t>Математическое моделирование/Имитационное моделирование систем (ПИР_17)</t>
  </si>
  <si>
    <t>Компьютерные информационные технологии (ИВТ_20)</t>
  </si>
  <si>
    <t>Компьютерная графика (ИВТ_20)</t>
  </si>
  <si>
    <t>Теория информации/Методы оптимизации (ИВТ_17)</t>
  </si>
  <si>
    <t>Сети и телекоммуникации (ИВТ_17)</t>
  </si>
  <si>
    <t>Математическое моделирование/Имитационное моделирование систем (ИВТ_17)</t>
  </si>
  <si>
    <t>Дискретная математика (ПИР_20)</t>
  </si>
  <si>
    <t>Логика и теория алгоритмов (ПИР_20)</t>
  </si>
  <si>
    <t>Исследование операций (ПИР_17)</t>
  </si>
  <si>
    <t>Интегрированные информационные системы предприятий/Современные системы программирования (ПИР_17)</t>
  </si>
  <si>
    <t>Администрирование Linux-серверов/Администрирование Windows-серверов (ПИР_17)</t>
  </si>
  <si>
    <t>Дискретная математика (ИВТ_20)</t>
  </si>
  <si>
    <t>Логика и теория алгоритмов (ИВТ_20)</t>
  </si>
  <si>
    <t>Современные системы программирования (ИВТ_17)</t>
  </si>
  <si>
    <t>Контроль и диагностика сложных систем/Администрирование серверов (ИВТ_17)</t>
  </si>
  <si>
    <t>Дискретная математика (МИР)</t>
  </si>
  <si>
    <t>Якимов А.И.</t>
  </si>
  <si>
    <t>Столяров Ю.Д.</t>
  </si>
  <si>
    <t>Ковальчук В.М.</t>
  </si>
  <si>
    <t>Шилов А.В.</t>
  </si>
  <si>
    <t>Широченко В.А.</t>
  </si>
  <si>
    <t>Шебан Т.Л.</t>
  </si>
  <si>
    <t>Беккер И.А.</t>
  </si>
  <si>
    <t>Тимашкова Л.А.</t>
  </si>
  <si>
    <t>Выговская Н.В.</t>
  </si>
  <si>
    <t>Скрылев Н.П.</t>
  </si>
  <si>
    <t>Акиншева И.В.</t>
  </si>
  <si>
    <t>Венберг А.В.</t>
  </si>
  <si>
    <t>Садовский В.Т.</t>
  </si>
  <si>
    <t>Борчик Е.М.</t>
  </si>
  <si>
    <t>Ливинская В.А.</t>
  </si>
  <si>
    <t>Плиско И.Г.</t>
  </si>
  <si>
    <t>Якимов Е.А.</t>
  </si>
  <si>
    <t>Вакансия2</t>
  </si>
  <si>
    <t>Вакансия3</t>
  </si>
  <si>
    <t>Вакансия5</t>
  </si>
  <si>
    <t>Денисевич Д.А.</t>
  </si>
  <si>
    <t>Вакансия6</t>
  </si>
  <si>
    <t>Вакансия7</t>
  </si>
  <si>
    <t>Вакансия8</t>
  </si>
  <si>
    <t>Вакансия9</t>
  </si>
  <si>
    <t>Вакансия10</t>
  </si>
  <si>
    <t>Вакансия11</t>
  </si>
  <si>
    <t>д\б</t>
  </si>
  <si>
    <t>з\б</t>
  </si>
  <si>
    <t>д\м</t>
  </si>
  <si>
    <t>з\м</t>
  </si>
  <si>
    <t>№</t>
  </si>
  <si>
    <t>Информационные системы и технологии (АСОИ_21)</t>
  </si>
  <si>
    <t>Архитектура ЭВМ (АСОИ_21)</t>
  </si>
  <si>
    <t>Случайные процессы и статистические методы обработки данных (АСОИзао)</t>
  </si>
  <si>
    <t>Дискретная математика (АСОИсокр)</t>
  </si>
  <si>
    <t>Построение и анализ алгоритмов (АСОИ_21)</t>
  </si>
  <si>
    <t>Технологии поиска, передачи и защиты данных / Факторный и компонентный анализ (СА1.75)</t>
  </si>
  <si>
    <t>Управление стартап-проектами (СА1.75)</t>
  </si>
  <si>
    <t>Основы управления интеллектуальной собственностью (АСОИ_21)</t>
  </si>
  <si>
    <t>Типы и структуры данных (ИВТ_20)</t>
  </si>
  <si>
    <t>Технологии разработки программного обеспечения (ИСиТ_21)</t>
  </si>
  <si>
    <t>Дискретная математика (ИСиТ_21)</t>
  </si>
  <si>
    <t>Курс 1</t>
  </si>
  <si>
    <t>ст.препод, Шебан Т.Л.</t>
  </si>
  <si>
    <t>доцент, Столяров Ю.Д.</t>
  </si>
  <si>
    <t>ст.препод, Плиско И.Г.</t>
  </si>
  <si>
    <t>доцент, Широченко В.А.</t>
  </si>
  <si>
    <t>доцент, Ковальчук В.М.</t>
  </si>
  <si>
    <t>Курс 2</t>
  </si>
  <si>
    <t>доцент, Якимов А.И.</t>
  </si>
  <si>
    <t>Курс 3</t>
  </si>
  <si>
    <t>Курс 4</t>
  </si>
  <si>
    <t>ст.препод, Выговская Н.В.</t>
  </si>
  <si>
    <t>С В Е Д Е Н И Я</t>
  </si>
  <si>
    <t>Кафедра</t>
  </si>
  <si>
    <t>"Автоматизированные системы управления"</t>
  </si>
  <si>
    <t>Краткое наимен. дисципл.</t>
  </si>
  <si>
    <t>Номер группы</t>
  </si>
  <si>
    <t>ЛЕК.</t>
  </si>
  <si>
    <t>Ауд.</t>
  </si>
  <si>
    <t>Должность, ФИО</t>
  </si>
  <si>
    <t>ЛАБ.</t>
  </si>
  <si>
    <t>ПРАКТ.</t>
  </si>
  <si>
    <t>Примечание</t>
  </si>
  <si>
    <t>, Почасовая нагрузка дополнительная</t>
  </si>
  <si>
    <t>к составлению рассписания на осенний семестр 2021-2022 уч. года</t>
  </si>
  <si>
    <t>к составлению рассписания на весенний семестр 2021-2022 уч. года</t>
  </si>
  <si>
    <t>АСОИ_21-211</t>
  </si>
  <si>
    <t>1,5</t>
  </si>
  <si>
    <t>1-курс группа 1</t>
  </si>
  <si>
    <t>ст.препод, Денисевич Д.А.</t>
  </si>
  <si>
    <t>ИСиТ_21-211</t>
  </si>
  <si>
    <t>ТМ-211</t>
  </si>
  <si>
    <t>ТОМП-211</t>
  </si>
  <si>
    <t>СП-211</t>
  </si>
  <si>
    <t>доцент, Шилов А.В.</t>
  </si>
  <si>
    <t>ПИОТТ-211</t>
  </si>
  <si>
    <t>МПК-211</t>
  </si>
  <si>
    <t>ФК-211</t>
  </si>
  <si>
    <t>АСОИ_14-201</t>
  </si>
  <si>
    <t>ст.препод, Садовский В.Т.</t>
  </si>
  <si>
    <t>ИСиТ-201</t>
  </si>
  <si>
    <t>ассистент, Скрылев Н.П.</t>
  </si>
  <si>
    <t>доцент, Борчик Е.М.</t>
  </si>
  <si>
    <t>2-курс группа 1</t>
  </si>
  <si>
    <t>АСОИ_14-191</t>
  </si>
  <si>
    <t>АСОИ_14-192</t>
  </si>
  <si>
    <t>доцент, Акиншева И.В.</t>
  </si>
  <si>
    <t>ИСиТ-191</t>
  </si>
  <si>
    <t>АСОИ_14-181</t>
  </si>
  <si>
    <t>АСОИ_14-182</t>
  </si>
  <si>
    <t>доцент, Ливинская В.А.</t>
  </si>
  <si>
    <t>ст.препод, Беккер И.А.</t>
  </si>
  <si>
    <t>СА1.75-211</t>
  </si>
  <si>
    <t>доцент, Венберг А.В.</t>
  </si>
  <si>
    <t>0,5</t>
  </si>
  <si>
    <t>СА1.5-201</t>
  </si>
  <si>
    <t>ПИР_20-211</t>
  </si>
  <si>
    <t>ПИР_20-212</t>
  </si>
  <si>
    <t>ИВТ_20-211</t>
  </si>
  <si>
    <t>ПИР_20-201</t>
  </si>
  <si>
    <t>ИВТ_20-201</t>
  </si>
  <si>
    <t>ПИР_17-191</t>
  </si>
  <si>
    <t>ИВТ_17-191</t>
  </si>
  <si>
    <t>ПИР_17-181</t>
  </si>
  <si>
    <t>ИВТ_17-181</t>
  </si>
  <si>
    <t>ЭМ-201</t>
  </si>
  <si>
    <t>ст.препод, Тимашкова Л.А.</t>
  </si>
  <si>
    <t>ЭМ-191</t>
  </si>
  <si>
    <t>2,5</t>
  </si>
  <si>
    <t>МИР-211</t>
  </si>
  <si>
    <t>, Почасовая дополнительная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</si>
</sst>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8" x14ac:knownFonts="1">
    <font>
      <sz val="10"/>
      <name val="Arial Cyr"/>
    </font>
    <font>
      <sz val="11"/>
      <color theme="1"/>
      <name val="Calibri"/>
      <family val="2"/>
      <charset val="204"/>
      <scheme val="minor"/>
    </font>
    <font>
      <sz val="8"/>
      <name val="Times New Roman Cyr"/>
      <family val="1"/>
      <charset val="204"/>
    </font>
    <font>
      <sz val="10"/>
      <name val="Times New Roman Cyr"/>
      <family val="1"/>
      <charset val="204"/>
    </font>
    <font>
      <sz val="8"/>
      <name val="Arial Cyr"/>
    </font>
    <font>
      <sz val="10"/>
      <name val="Times New Roman"/>
      <family val="1"/>
      <charset val="204"/>
    </font>
    <font>
      <sz val="9"/>
      <name val="Times New Roman"/>
      <family val="1"/>
      <charset val="204"/>
    </font>
    <font>
      <sz val="10"/>
      <color theme="0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8"/>
      </bottom>
      <diagonal/>
    </border>
    <border>
      <left/>
      <right style="medium">
        <color indexed="8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18">
    <xf numFmtId="0" fontId="0" fillId="0" borderId="0" xfId="0"/>
    <xf numFmtId="0" fontId="0" fillId="0" borderId="0" xfId="0" applyFill="1"/>
    <xf numFmtId="0" fontId="0" fillId="0" borderId="0" xfId="0" applyFill="1" applyBorder="1"/>
    <xf numFmtId="0" fontId="3" fillId="0" borderId="0" xfId="0" applyFont="1" applyFill="1" applyAlignment="1">
      <alignment vertical="top"/>
    </xf>
    <xf numFmtId="0" fontId="3" fillId="0" borderId="0" xfId="0" applyFont="1" applyFill="1" applyAlignment="1">
      <alignment horizontal="left" wrapText="1"/>
    </xf>
    <xf numFmtId="0" fontId="3" fillId="0" borderId="0" xfId="0" applyFont="1" applyFill="1" applyAlignment="1">
      <alignment horizontal="center" vertical="top"/>
    </xf>
    <xf numFmtId="0" fontId="3" fillId="0" borderId="0" xfId="0" applyFont="1" applyFill="1"/>
    <xf numFmtId="1" fontId="3" fillId="0" borderId="0" xfId="0" applyNumberFormat="1" applyFont="1" applyFill="1"/>
    <xf numFmtId="2" fontId="3" fillId="0" borderId="0" xfId="0" applyNumberFormat="1" applyFont="1" applyFill="1" applyAlignment="1">
      <alignment horizontal="center" vertical="top"/>
    </xf>
    <xf numFmtId="9" fontId="3" fillId="0" borderId="0" xfId="0" applyNumberFormat="1" applyFont="1" applyFill="1" applyAlignment="1">
      <alignment horizontal="center" vertical="top"/>
    </xf>
    <xf numFmtId="164" fontId="3" fillId="0" borderId="0" xfId="0" applyNumberFormat="1" applyFont="1" applyFill="1" applyAlignment="1">
      <alignment horizontal="center" vertical="top"/>
    </xf>
    <xf numFmtId="9" fontId="3" fillId="0" borderId="0" xfId="0" applyNumberFormat="1" applyFont="1" applyFill="1"/>
    <xf numFmtId="2" fontId="3" fillId="0" borderId="0" xfId="0" applyNumberFormat="1" applyFont="1" applyFill="1"/>
    <xf numFmtId="0" fontId="3" fillId="0" borderId="0" xfId="0" applyFont="1" applyFill="1" applyBorder="1"/>
    <xf numFmtId="0" fontId="3" fillId="0" borderId="0" xfId="0" applyFont="1" applyFill="1" applyAlignment="1">
      <alignment wrapText="1"/>
    </xf>
    <xf numFmtId="2" fontId="3" fillId="0" borderId="0" xfId="0" applyNumberFormat="1" applyFont="1" applyFill="1" applyBorder="1" applyAlignment="1">
      <alignment horizontal="center" vertical="top" textRotation="90"/>
    </xf>
    <xf numFmtId="9" fontId="3" fillId="0" borderId="0" xfId="0" applyNumberFormat="1" applyFont="1" applyFill="1" applyBorder="1" applyAlignment="1">
      <alignment horizontal="center" textRotation="90"/>
    </xf>
    <xf numFmtId="0" fontId="3" fillId="0" borderId="0" xfId="0" applyFont="1" applyFill="1" applyBorder="1" applyAlignment="1">
      <alignment horizontal="center" textRotation="90"/>
    </xf>
    <xf numFmtId="164" fontId="3" fillId="0" borderId="0" xfId="0" applyNumberFormat="1" applyFont="1" applyFill="1" applyBorder="1" applyAlignment="1">
      <alignment horizontal="center" textRotation="90"/>
    </xf>
    <xf numFmtId="2" fontId="3" fillId="0" borderId="0" xfId="0" applyNumberFormat="1" applyFont="1" applyFill="1" applyBorder="1" applyAlignment="1">
      <alignment horizontal="center" textRotation="90"/>
    </xf>
    <xf numFmtId="0" fontId="3" fillId="0" borderId="0" xfId="0" applyFont="1" applyFill="1" applyBorder="1" applyAlignment="1">
      <alignment horizontal="center" vertical="top"/>
    </xf>
    <xf numFmtId="1" fontId="3" fillId="0" borderId="0" xfId="0" applyNumberFormat="1" applyFont="1" applyFill="1" applyBorder="1" applyAlignment="1">
      <alignment horizontal="center" vertical="top"/>
    </xf>
    <xf numFmtId="164" fontId="3" fillId="0" borderId="0" xfId="0" applyNumberFormat="1" applyFont="1" applyFill="1" applyBorder="1" applyAlignment="1">
      <alignment horizontal="center" vertical="top"/>
    </xf>
    <xf numFmtId="2" fontId="3" fillId="0" borderId="0" xfId="0" applyNumberFormat="1" applyFont="1" applyFill="1" applyBorder="1" applyAlignment="1">
      <alignment horizontal="center" vertical="top"/>
    </xf>
    <xf numFmtId="2" fontId="3" fillId="0" borderId="0" xfId="0" applyNumberFormat="1" applyFont="1" applyFill="1" applyBorder="1" applyAlignment="1">
      <alignment horizontal="left" vertical="top"/>
    </xf>
    <xf numFmtId="1" fontId="3" fillId="0" borderId="0" xfId="0" applyNumberFormat="1" applyFont="1" applyFill="1" applyAlignment="1">
      <alignment horizontal="center" vertical="top"/>
    </xf>
    <xf numFmtId="9" fontId="3" fillId="0" borderId="0" xfId="0" applyNumberFormat="1" applyFont="1" applyFill="1" applyBorder="1" applyAlignment="1">
      <alignment horizontal="center" vertical="top"/>
    </xf>
    <xf numFmtId="9" fontId="3" fillId="0" borderId="0" xfId="0" applyNumberFormat="1" applyFont="1" applyFill="1" applyBorder="1"/>
    <xf numFmtId="2" fontId="3" fillId="0" borderId="0" xfId="0" applyNumberFormat="1" applyFont="1" applyFill="1" applyBorder="1"/>
    <xf numFmtId="0" fontId="3" fillId="0" borderId="0" xfId="0" applyFont="1" applyFill="1" applyBorder="1" applyAlignment="1">
      <alignment textRotation="90"/>
    </xf>
    <xf numFmtId="0" fontId="3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left" vertical="top" wrapText="1"/>
    </xf>
    <xf numFmtId="0" fontId="3" fillId="0" borderId="0" xfId="0" applyNumberFormat="1" applyFont="1" applyFill="1" applyBorder="1" applyAlignment="1">
      <alignment horizontal="center" vertical="top"/>
    </xf>
    <xf numFmtId="0" fontId="5" fillId="0" borderId="15" xfId="0" applyFont="1" applyBorder="1" applyAlignment="1">
      <alignment textRotation="90" wrapText="1"/>
    </xf>
    <xf numFmtId="0" fontId="5" fillId="0" borderId="0" xfId="0" applyFont="1"/>
    <xf numFmtId="0" fontId="6" fillId="0" borderId="12" xfId="0" applyFont="1" applyBorder="1" applyAlignment="1">
      <alignment vertical="top" wrapText="1"/>
    </xf>
    <xf numFmtId="0" fontId="5" fillId="0" borderId="6" xfId="0" applyFont="1" applyBorder="1" applyAlignment="1">
      <alignment vertical="top"/>
    </xf>
    <xf numFmtId="1" fontId="5" fillId="0" borderId="0" xfId="0" applyNumberFormat="1" applyFont="1"/>
    <xf numFmtId="2" fontId="5" fillId="0" borderId="0" xfId="0" applyNumberFormat="1" applyFont="1"/>
    <xf numFmtId="0" fontId="5" fillId="0" borderId="7" xfId="0" applyFont="1" applyBorder="1" applyAlignment="1">
      <alignment vertical="top"/>
    </xf>
    <xf numFmtId="0" fontId="6" fillId="0" borderId="15" xfId="0" applyFont="1" applyBorder="1" applyAlignment="1">
      <alignment vertical="top"/>
    </xf>
    <xf numFmtId="1" fontId="5" fillId="0" borderId="7" xfId="0" applyNumberFormat="1" applyFont="1" applyBorder="1" applyAlignment="1">
      <alignment vertical="top"/>
    </xf>
    <xf numFmtId="0" fontId="5" fillId="0" borderId="0" xfId="0" applyFont="1" applyAlignment="1">
      <alignment wrapText="1"/>
    </xf>
    <xf numFmtId="0" fontId="5" fillId="0" borderId="0" xfId="0" applyFont="1" applyFill="1"/>
    <xf numFmtId="1" fontId="5" fillId="0" borderId="0" xfId="0" applyNumberFormat="1" applyFont="1" applyFill="1"/>
    <xf numFmtId="2" fontId="5" fillId="0" borderId="6" xfId="0" applyNumberFormat="1" applyFont="1" applyBorder="1" applyAlignment="1">
      <alignment vertical="top"/>
    </xf>
    <xf numFmtId="2" fontId="5" fillId="0" borderId="16" xfId="0" applyNumberFormat="1" applyFont="1" applyBorder="1" applyAlignment="1">
      <alignment vertical="top"/>
    </xf>
    <xf numFmtId="2" fontId="5" fillId="0" borderId="13" xfId="0" applyNumberFormat="1" applyFont="1" applyBorder="1" applyAlignment="1">
      <alignment vertical="top"/>
    </xf>
    <xf numFmtId="2" fontId="5" fillId="0" borderId="7" xfId="0" applyNumberFormat="1" applyFont="1" applyBorder="1" applyAlignment="1">
      <alignment vertical="top"/>
    </xf>
    <xf numFmtId="0" fontId="6" fillId="0" borderId="0" xfId="0" applyFont="1" applyFill="1" applyBorder="1" applyAlignment="1">
      <alignment vertical="top" wrapText="1"/>
    </xf>
    <xf numFmtId="0" fontId="5" fillId="0" borderId="0" xfId="0" applyFont="1" applyFill="1" applyAlignment="1">
      <alignment wrapText="1"/>
    </xf>
    <xf numFmtId="0" fontId="5" fillId="0" borderId="0" xfId="0" applyFont="1" applyFill="1" applyBorder="1"/>
    <xf numFmtId="0" fontId="3" fillId="0" borderId="0" xfId="0" applyFont="1" applyFill="1" applyBorder="1" applyAlignment="1">
      <alignment wrapText="1"/>
    </xf>
    <xf numFmtId="0" fontId="5" fillId="0" borderId="0" xfId="0" quotePrefix="1" applyFont="1"/>
    <xf numFmtId="2" fontId="5" fillId="0" borderId="17" xfId="0" applyNumberFormat="1" applyFont="1" applyBorder="1" applyAlignment="1">
      <alignment vertical="top"/>
    </xf>
    <xf numFmtId="2" fontId="2" fillId="0" borderId="0" xfId="0" applyNumberFormat="1" applyFont="1" applyFill="1" applyAlignment="1">
      <alignment horizontal="left" vertical="top" wrapText="1"/>
    </xf>
    <xf numFmtId="2" fontId="2" fillId="0" borderId="0" xfId="0" applyNumberFormat="1" applyFont="1" applyFill="1" applyAlignment="1">
      <alignment vertical="top" wrapText="1"/>
    </xf>
    <xf numFmtId="2" fontId="2" fillId="0" borderId="0" xfId="0" applyNumberFormat="1" applyFont="1" applyFill="1" applyAlignment="1">
      <alignment horizontal="center" vertical="center" wrapText="1"/>
    </xf>
    <xf numFmtId="2" fontId="2" fillId="0" borderId="0" xfId="0" applyNumberFormat="1" applyFont="1" applyFill="1" applyAlignment="1">
      <alignment horizontal="left" wrapText="1"/>
    </xf>
    <xf numFmtId="1" fontId="2" fillId="0" borderId="0" xfId="0" applyNumberFormat="1" applyFont="1" applyFill="1" applyAlignment="1">
      <alignment horizontal="center" vertical="top"/>
    </xf>
    <xf numFmtId="2" fontId="2" fillId="0" borderId="0" xfId="0" applyNumberFormat="1" applyFont="1" applyFill="1" applyAlignment="1">
      <alignment horizontal="left" vertical="top"/>
    </xf>
    <xf numFmtId="2" fontId="2" fillId="0" borderId="0" xfId="0" applyNumberFormat="1" applyFont="1" applyFill="1" applyAlignment="1">
      <alignment horizontal="center" vertical="top"/>
    </xf>
    <xf numFmtId="2" fontId="2" fillId="0" borderId="0" xfId="0" applyNumberFormat="1" applyFont="1" applyFill="1" applyAlignment="1">
      <alignment horizontal="right" vertical="top"/>
    </xf>
    <xf numFmtId="2" fontId="2" fillId="0" borderId="0" xfId="0" applyNumberFormat="1" applyFont="1" applyFill="1"/>
    <xf numFmtId="2" fontId="2" fillId="0" borderId="4" xfId="0" applyNumberFormat="1" applyFont="1" applyFill="1" applyBorder="1" applyAlignment="1">
      <alignment horizontal="left" vertical="top" wrapText="1"/>
    </xf>
    <xf numFmtId="2" fontId="2" fillId="0" borderId="0" xfId="0" applyNumberFormat="1" applyFont="1" applyFill="1" applyAlignment="1">
      <alignment horizontal="center" vertical="center"/>
    </xf>
    <xf numFmtId="0" fontId="5" fillId="0" borderId="16" xfId="0" applyFont="1" applyBorder="1" applyAlignment="1">
      <alignment vertical="top"/>
    </xf>
    <xf numFmtId="0" fontId="5" fillId="0" borderId="13" xfId="0" applyFont="1" applyBorder="1" applyAlignment="1">
      <alignment vertical="top"/>
    </xf>
    <xf numFmtId="0" fontId="5" fillId="0" borderId="0" xfId="0" applyFont="1" applyAlignment="1">
      <alignment horizontal="center"/>
    </xf>
    <xf numFmtId="0" fontId="5" fillId="0" borderId="15" xfId="0" applyFont="1" applyFill="1" applyBorder="1" applyAlignment="1">
      <alignment textRotation="90" wrapText="1"/>
    </xf>
    <xf numFmtId="0" fontId="6" fillId="0" borderId="15" xfId="0" applyFont="1" applyFill="1" applyBorder="1" applyAlignment="1">
      <alignment vertical="top"/>
    </xf>
    <xf numFmtId="0" fontId="6" fillId="0" borderId="12" xfId="0" applyFont="1" applyFill="1" applyBorder="1" applyAlignment="1">
      <alignment vertical="top" wrapText="1"/>
    </xf>
    <xf numFmtId="0" fontId="5" fillId="0" borderId="6" xfId="0" applyFont="1" applyFill="1" applyBorder="1" applyAlignment="1">
      <alignment vertical="top"/>
    </xf>
    <xf numFmtId="0" fontId="5" fillId="0" borderId="7" xfId="0" applyFont="1" applyFill="1" applyBorder="1" applyAlignment="1">
      <alignment vertical="top"/>
    </xf>
    <xf numFmtId="2" fontId="0" fillId="0" borderId="0" xfId="0" applyNumberFormat="1" applyFill="1"/>
    <xf numFmtId="0" fontId="5" fillId="0" borderId="0" xfId="0" applyFont="1" applyFill="1" applyBorder="1" applyAlignment="1">
      <alignment horizontal="left" vertical="top" wrapText="1"/>
    </xf>
    <xf numFmtId="0" fontId="5" fillId="0" borderId="0" xfId="0" applyFont="1" applyFill="1" applyBorder="1" applyAlignment="1">
      <alignment horizontal="center" vertical="top"/>
    </xf>
    <xf numFmtId="0" fontId="5" fillId="0" borderId="0" xfId="0" applyFont="1" applyFill="1" applyBorder="1" applyAlignment="1">
      <alignment vertical="top"/>
    </xf>
    <xf numFmtId="2" fontId="5" fillId="0" borderId="0" xfId="0" applyNumberFormat="1" applyFont="1" applyFill="1" applyBorder="1" applyAlignment="1">
      <alignment horizontal="center"/>
    </xf>
    <xf numFmtId="1" fontId="5" fillId="0" borderId="7" xfId="0" applyNumberFormat="1" applyFont="1" applyFill="1" applyBorder="1" applyAlignment="1">
      <alignment vertical="top"/>
    </xf>
    <xf numFmtId="1" fontId="5" fillId="0" borderId="0" xfId="0" applyNumberFormat="1" applyFont="1" applyFill="1" applyBorder="1"/>
    <xf numFmtId="2" fontId="5" fillId="0" borderId="0" xfId="0" applyNumberFormat="1" applyFont="1" applyFill="1" applyBorder="1"/>
    <xf numFmtId="0" fontId="5" fillId="0" borderId="0" xfId="0" applyFont="1" applyFill="1" applyBorder="1" applyAlignment="1">
      <alignment wrapText="1"/>
    </xf>
    <xf numFmtId="0" fontId="5" fillId="0" borderId="0" xfId="0" applyFont="1" applyBorder="1"/>
    <xf numFmtId="0" fontId="5" fillId="0" borderId="0" xfId="0" applyFont="1" applyBorder="1" applyAlignment="1">
      <alignment wrapText="1"/>
    </xf>
    <xf numFmtId="2" fontId="2" fillId="0" borderId="0" xfId="0" applyNumberFormat="1" applyFont="1" applyFill="1" applyAlignment="1">
      <alignment horizontal="right" vertical="top"/>
    </xf>
    <xf numFmtId="2" fontId="2" fillId="0" borderId="0" xfId="0" applyNumberFormat="1" applyFont="1" applyFill="1" applyAlignment="1">
      <alignment horizontal="center" vertical="top"/>
    </xf>
    <xf numFmtId="0" fontId="5" fillId="0" borderId="0" xfId="0" applyFon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2" fontId="2" fillId="0" borderId="0" xfId="0" applyNumberFormat="1" applyFont="1" applyFill="1" applyAlignment="1">
      <alignment horizontal="right" vertical="top"/>
    </xf>
    <xf numFmtId="0" fontId="5" fillId="0" borderId="16" xfId="0" applyFont="1" applyFill="1" applyBorder="1" applyAlignment="1">
      <alignment vertical="top"/>
    </xf>
    <xf numFmtId="0" fontId="5" fillId="0" borderId="13" xfId="0" applyFont="1" applyFill="1" applyBorder="1" applyAlignment="1">
      <alignment vertical="top"/>
    </xf>
    <xf numFmtId="2" fontId="5" fillId="0" borderId="16" xfId="0" applyNumberFormat="1" applyFont="1" applyFill="1" applyBorder="1" applyAlignment="1">
      <alignment vertical="top"/>
    </xf>
    <xf numFmtId="2" fontId="5" fillId="0" borderId="13" xfId="0" applyNumberFormat="1" applyFont="1" applyFill="1" applyBorder="1" applyAlignment="1">
      <alignment vertical="top"/>
    </xf>
    <xf numFmtId="2" fontId="2" fillId="0" borderId="0" xfId="0" applyNumberFormat="1" applyFont="1" applyFill="1" applyAlignment="1">
      <alignment vertical="top"/>
    </xf>
    <xf numFmtId="2" fontId="7" fillId="0" borderId="13" xfId="0" applyNumberFormat="1" applyFont="1" applyFill="1" applyBorder="1" applyAlignment="1">
      <alignment vertical="top"/>
    </xf>
    <xf numFmtId="2" fontId="7" fillId="0" borderId="16" xfId="0" applyNumberFormat="1" applyFont="1" applyFill="1" applyBorder="1" applyAlignment="1">
      <alignment vertical="top"/>
    </xf>
    <xf numFmtId="2" fontId="7" fillId="0" borderId="13" xfId="0" applyNumberFormat="1" applyFont="1" applyBorder="1" applyAlignment="1">
      <alignment vertical="top"/>
    </xf>
    <xf numFmtId="2" fontId="2" fillId="0" borderId="0" xfId="0" applyNumberFormat="1" applyFont="1" applyFill="1" applyAlignment="1">
      <alignment horizontal="center" vertical="top"/>
    </xf>
    <xf numFmtId="0" fontId="0" fillId="0" borderId="0" xfId="0" applyFill="1" applyAlignment="1">
      <alignment vertical="top"/>
    </xf>
    <xf numFmtId="2" fontId="3" fillId="0" borderId="0" xfId="0" applyNumberFormat="1" applyFont="1" applyFill="1" applyBorder="1" applyAlignment="1">
      <alignment horizontal="center" vertical="top"/>
    </xf>
    <xf numFmtId="2" fontId="2" fillId="0" borderId="0" xfId="0" applyNumberFormat="1" applyFont="1" applyFill="1" applyAlignment="1">
      <alignment horizontal="center" vertical="top"/>
    </xf>
    <xf numFmtId="2" fontId="3" fillId="0" borderId="0" xfId="0" applyNumberFormat="1" applyFont="1" applyFill="1" applyBorder="1" applyAlignment="1">
      <alignment horizontal="center" vertical="top"/>
    </xf>
    <xf numFmtId="0" fontId="5" fillId="0" borderId="0" xfId="0" applyFont="1" applyAlignment="1">
      <alignment horizontal="center"/>
    </xf>
    <xf numFmtId="0" fontId="5" fillId="0" borderId="0" xfId="0" applyFont="1" applyFill="1" applyBorder="1" applyAlignment="1">
      <alignment horizontal="center"/>
    </xf>
    <xf numFmtId="2" fontId="3" fillId="0" borderId="0" xfId="0" applyNumberFormat="1" applyFont="1" applyFill="1" applyBorder="1" applyAlignment="1">
      <alignment horizontal="center" vertical="top"/>
    </xf>
    <xf numFmtId="2" fontId="3" fillId="0" borderId="0" xfId="0" applyNumberFormat="1" applyFont="1" applyFill="1" applyBorder="1" applyAlignment="1">
      <alignment horizontal="center" vertical="top"/>
    </xf>
    <xf numFmtId="0" fontId="5" fillId="0" borderId="0" xfId="0" applyFont="1" applyAlignment="1">
      <alignment horizontal="center"/>
    </xf>
    <xf numFmtId="2" fontId="4" fillId="0" borderId="0" xfId="0" applyNumberFormat="1" applyFont="1" applyFill="1" applyBorder="1"/>
    <xf numFmtId="0" fontId="5" fillId="0" borderId="0" xfId="0" applyFont="1" applyAlignment="1">
      <alignment horizontal="center"/>
    </xf>
    <xf numFmtId="0" fontId="0" fillId="2" borderId="0" xfId="0" applyFill="1" applyBorder="1"/>
    <xf numFmtId="0" fontId="0" fillId="2" borderId="0" xfId="0" applyFill="1" applyBorder="1" applyAlignment="1">
      <alignment horizontal="left" vertical="center"/>
    </xf>
    <xf numFmtId="0" fontId="0" fillId="2" borderId="0" xfId="0" applyFill="1" applyBorder="1" applyAlignment="1">
      <alignment wrapText="1"/>
    </xf>
    <xf numFmtId="2" fontId="5" fillId="0" borderId="6" xfId="0" applyNumberFormat="1" applyFont="1" applyFill="1" applyBorder="1" applyAlignment="1">
      <alignment vertical="top"/>
    </xf>
    <xf numFmtId="0" fontId="3" fillId="3" borderId="0" xfId="0" applyFon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textRotation="90"/>
    </xf>
    <xf numFmtId="0" fontId="3" fillId="3" borderId="0" xfId="0" applyFont="1" applyFill="1" applyAlignment="1">
      <alignment horizontal="right" vertical="top"/>
    </xf>
    <xf numFmtId="0" fontId="3" fillId="3" borderId="0" xfId="0" applyFont="1" applyFill="1" applyBorder="1" applyAlignment="1">
      <alignment horizontal="left" vertical="top"/>
    </xf>
    <xf numFmtId="164" fontId="3" fillId="3" borderId="0" xfId="0" applyNumberFormat="1" applyFont="1" applyFill="1" applyBorder="1" applyAlignment="1">
      <alignment horizontal="center" textRotation="90"/>
    </xf>
    <xf numFmtId="2" fontId="3" fillId="3" borderId="0" xfId="0" applyNumberFormat="1" applyFont="1" applyFill="1" applyBorder="1" applyAlignment="1">
      <alignment horizontal="center" textRotation="90"/>
    </xf>
    <xf numFmtId="2" fontId="3" fillId="3" borderId="0" xfId="0" applyNumberFormat="1" applyFont="1" applyFill="1" applyBorder="1" applyAlignment="1">
      <alignment horizontal="left" vertical="top"/>
    </xf>
    <xf numFmtId="0" fontId="3" fillId="3" borderId="0" xfId="0" applyFont="1" applyFill="1"/>
    <xf numFmtId="0" fontId="3" fillId="3" borderId="0" xfId="0" applyFont="1" applyFill="1" applyAlignment="1">
      <alignment horizontal="center" vertical="top"/>
    </xf>
    <xf numFmtId="0" fontId="5" fillId="3" borderId="0" xfId="0" applyFont="1" applyFill="1"/>
    <xf numFmtId="0" fontId="0" fillId="2" borderId="0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left" vertical="center" wrapText="1"/>
    </xf>
    <xf numFmtId="0" fontId="0" fillId="2" borderId="0" xfId="0" applyFill="1" applyBorder="1" applyAlignment="1">
      <alignment horizontal="left"/>
    </xf>
    <xf numFmtId="0" fontId="5" fillId="0" borderId="0" xfId="0" applyFont="1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wrapText="1"/>
    </xf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left" vertical="center" wrapText="1"/>
    </xf>
    <xf numFmtId="0" fontId="0" fillId="2" borderId="0" xfId="0" applyFill="1" applyAlignment="1">
      <alignment horizontal="left" vertical="center"/>
    </xf>
    <xf numFmtId="0" fontId="0" fillId="2" borderId="22" xfId="0" applyFill="1" applyBorder="1" applyAlignment="1">
      <alignment horizontal="center" vertical="center" wrapText="1"/>
    </xf>
    <xf numFmtId="0" fontId="0" fillId="2" borderId="23" xfId="0" applyFill="1" applyBorder="1" applyAlignment="1">
      <alignment horizontal="center" vertical="center" wrapText="1"/>
    </xf>
    <xf numFmtId="0" fontId="0" fillId="2" borderId="24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/>
    </xf>
    <xf numFmtId="0" fontId="0" fillId="2" borderId="6" xfId="0" applyFill="1" applyBorder="1"/>
    <xf numFmtId="0" fontId="0" fillId="2" borderId="6" xfId="0" applyFill="1" applyBorder="1" applyAlignment="1">
      <alignment horizontal="left" vertical="center" wrapText="1"/>
    </xf>
    <xf numFmtId="0" fontId="0" fillId="2" borderId="6" xfId="0" applyFill="1" applyBorder="1" applyAlignment="1">
      <alignment horizontal="left" vertical="center"/>
    </xf>
    <xf numFmtId="0" fontId="0" fillId="2" borderId="7" xfId="0" applyFill="1" applyBorder="1" applyAlignment="1">
      <alignment horizontal="center" vertical="center"/>
    </xf>
    <xf numFmtId="0" fontId="0" fillId="2" borderId="7" xfId="0" applyFill="1" applyBorder="1"/>
    <xf numFmtId="0" fontId="0" fillId="2" borderId="7" xfId="0" applyFill="1" applyBorder="1" applyAlignment="1">
      <alignment horizontal="left" vertical="center" wrapText="1"/>
    </xf>
    <xf numFmtId="0" fontId="0" fillId="2" borderId="7" xfId="0" applyFill="1" applyBorder="1" applyAlignment="1">
      <alignment horizontal="left" vertical="center"/>
    </xf>
    <xf numFmtId="0" fontId="5" fillId="0" borderId="3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6" xfId="0" applyFont="1" applyBorder="1" applyAlignment="1">
      <alignment horizontal="left" vertical="top" wrapText="1"/>
    </xf>
    <xf numFmtId="0" fontId="5" fillId="0" borderId="7" xfId="0" applyFont="1" applyBorder="1" applyAlignment="1">
      <alignment horizontal="left" vertical="top" wrapText="1"/>
    </xf>
    <xf numFmtId="0" fontId="5" fillId="0" borderId="16" xfId="0" applyFont="1" applyBorder="1" applyAlignment="1">
      <alignment horizontal="center" vertical="top"/>
    </xf>
    <xf numFmtId="0" fontId="5" fillId="0" borderId="13" xfId="0" applyFont="1" applyBorder="1" applyAlignment="1">
      <alignment horizontal="center" vertical="top"/>
    </xf>
    <xf numFmtId="2" fontId="5" fillId="0" borderId="18" xfId="0" applyNumberFormat="1" applyFont="1" applyBorder="1" applyAlignment="1">
      <alignment horizontal="center"/>
    </xf>
    <xf numFmtId="2" fontId="5" fillId="0" borderId="14" xfId="0" applyNumberFormat="1" applyFont="1" applyBorder="1" applyAlignment="1">
      <alignment horizontal="center"/>
    </xf>
    <xf numFmtId="0" fontId="5" fillId="0" borderId="6" xfId="0" applyFont="1" applyFill="1" applyBorder="1" applyAlignment="1">
      <alignment horizontal="left" vertical="top" wrapText="1"/>
    </xf>
    <xf numFmtId="0" fontId="5" fillId="0" borderId="7" xfId="0" applyFont="1" applyFill="1" applyBorder="1" applyAlignment="1">
      <alignment horizontal="left" vertical="top" wrapText="1"/>
    </xf>
    <xf numFmtId="0" fontId="5" fillId="0" borderId="0" xfId="0" applyFont="1" applyAlignment="1">
      <alignment horizontal="center"/>
    </xf>
    <xf numFmtId="0" fontId="5" fillId="0" borderId="6" xfId="0" applyFont="1" applyFill="1" applyBorder="1" applyAlignment="1">
      <alignment horizontal="center" vertical="top"/>
    </xf>
    <xf numFmtId="0" fontId="5" fillId="0" borderId="7" xfId="0" applyFont="1" applyFill="1" applyBorder="1" applyAlignment="1">
      <alignment horizontal="center" vertical="top"/>
    </xf>
    <xf numFmtId="2" fontId="5" fillId="0" borderId="5" xfId="0" applyNumberFormat="1" applyFont="1" applyBorder="1" applyAlignment="1">
      <alignment horizontal="center"/>
    </xf>
    <xf numFmtId="2" fontId="5" fillId="0" borderId="15" xfId="0" applyNumberFormat="1" applyFont="1" applyBorder="1" applyAlignment="1">
      <alignment horizontal="center"/>
    </xf>
    <xf numFmtId="0" fontId="5" fillId="0" borderId="9" xfId="0" applyFont="1" applyBorder="1" applyAlignment="1">
      <alignment textRotation="90" wrapText="1"/>
    </xf>
    <xf numFmtId="0" fontId="5" fillId="0" borderId="19" xfId="0" applyFont="1" applyBorder="1" applyAlignment="1">
      <alignment textRotation="90" wrapText="1"/>
    </xf>
    <xf numFmtId="0" fontId="5" fillId="0" borderId="6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5" fillId="0" borderId="3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2" fontId="5" fillId="0" borderId="8" xfId="0" applyNumberFormat="1" applyFont="1" applyBorder="1" applyAlignment="1">
      <alignment horizontal="center"/>
    </xf>
    <xf numFmtId="2" fontId="5" fillId="0" borderId="2" xfId="0" applyNumberFormat="1" applyFont="1" applyBorder="1" applyAlignment="1">
      <alignment horizontal="center"/>
    </xf>
    <xf numFmtId="2" fontId="5" fillId="0" borderId="8" xfId="0" applyNumberFormat="1" applyFont="1" applyFill="1" applyBorder="1" applyAlignment="1">
      <alignment horizontal="center"/>
    </xf>
    <xf numFmtId="2" fontId="5" fillId="0" borderId="2" xfId="0" applyNumberFormat="1" applyFont="1" applyFill="1" applyBorder="1" applyAlignment="1">
      <alignment horizontal="center"/>
    </xf>
    <xf numFmtId="2" fontId="2" fillId="0" borderId="0" xfId="0" applyNumberFormat="1" applyFont="1" applyFill="1" applyAlignment="1">
      <alignment horizontal="center" vertical="top"/>
    </xf>
    <xf numFmtId="2" fontId="2" fillId="0" borderId="0" xfId="0" applyNumberFormat="1" applyFont="1" applyFill="1" applyBorder="1" applyAlignment="1">
      <alignment horizontal="left" vertical="top" wrapText="1"/>
    </xf>
    <xf numFmtId="0" fontId="5" fillId="0" borderId="9" xfId="0" applyFont="1" applyBorder="1" applyAlignment="1">
      <alignment horizontal="center" textRotation="90"/>
    </xf>
    <xf numFmtId="0" fontId="5" fillId="0" borderId="11" xfId="0" applyFont="1" applyBorder="1" applyAlignment="1">
      <alignment horizontal="center" textRotation="90"/>
    </xf>
    <xf numFmtId="0" fontId="5" fillId="0" borderId="5" xfId="0" applyFont="1" applyBorder="1" applyAlignment="1">
      <alignment textRotation="90" wrapText="1"/>
    </xf>
    <xf numFmtId="0" fontId="5" fillId="0" borderId="21" xfId="0" applyFont="1" applyBorder="1" applyAlignment="1">
      <alignment textRotation="90" wrapText="1"/>
    </xf>
    <xf numFmtId="2" fontId="2" fillId="0" borderId="0" xfId="0" applyNumberFormat="1" applyFont="1" applyFill="1" applyAlignment="1">
      <alignment horizontal="center" vertical="top" wrapText="1"/>
    </xf>
    <xf numFmtId="2" fontId="2" fillId="0" borderId="0" xfId="0" applyNumberFormat="1" applyFont="1" applyFill="1" applyAlignment="1">
      <alignment horizontal="right" vertical="top"/>
    </xf>
    <xf numFmtId="0" fontId="5" fillId="0" borderId="11" xfId="0" applyFont="1" applyBorder="1" applyAlignment="1">
      <alignment textRotation="90" wrapText="1"/>
    </xf>
    <xf numFmtId="0" fontId="5" fillId="0" borderId="9" xfId="0" applyFont="1" applyBorder="1" applyAlignment="1">
      <alignment vertical="top" wrapText="1"/>
    </xf>
    <xf numFmtId="0" fontId="5" fillId="0" borderId="11" xfId="0" applyFont="1" applyBorder="1" applyAlignment="1">
      <alignment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10" xfId="0" applyFont="1" applyBorder="1" applyAlignment="1">
      <alignment wrapText="1"/>
    </xf>
    <xf numFmtId="0" fontId="5" fillId="0" borderId="20" xfId="0" applyFont="1" applyBorder="1" applyAlignment="1">
      <alignment wrapText="1"/>
    </xf>
    <xf numFmtId="0" fontId="5" fillId="0" borderId="0" xfId="0" applyFont="1" applyFill="1" applyBorder="1" applyAlignment="1">
      <alignment horizontal="center"/>
    </xf>
    <xf numFmtId="0" fontId="5" fillId="0" borderId="9" xfId="0" applyFont="1" applyFill="1" applyBorder="1" applyAlignment="1">
      <alignment textRotation="90" wrapText="1"/>
    </xf>
    <xf numFmtId="0" fontId="5" fillId="0" borderId="19" xfId="0" applyFont="1" applyFill="1" applyBorder="1" applyAlignment="1">
      <alignment textRotation="90" wrapText="1"/>
    </xf>
    <xf numFmtId="0" fontId="5" fillId="0" borderId="5" xfId="0" applyFont="1" applyFill="1" applyBorder="1" applyAlignment="1">
      <alignment textRotation="90" wrapText="1"/>
    </xf>
    <xf numFmtId="0" fontId="5" fillId="0" borderId="21" xfId="0" applyFont="1" applyFill="1" applyBorder="1" applyAlignment="1">
      <alignment textRotation="90" wrapText="1"/>
    </xf>
    <xf numFmtId="0" fontId="5" fillId="0" borderId="0" xfId="0" applyFont="1" applyFill="1" applyAlignment="1">
      <alignment horizontal="center"/>
    </xf>
    <xf numFmtId="0" fontId="5" fillId="0" borderId="11" xfId="0" applyFont="1" applyFill="1" applyBorder="1" applyAlignment="1">
      <alignment textRotation="90" wrapText="1"/>
    </xf>
    <xf numFmtId="0" fontId="0" fillId="0" borderId="9" xfId="0" applyFill="1" applyBorder="1" applyAlignment="1">
      <alignment horizontal="center" textRotation="90"/>
    </xf>
    <xf numFmtId="0" fontId="0" fillId="0" borderId="11" xfId="0" applyFill="1" applyBorder="1" applyAlignment="1">
      <alignment horizontal="center" textRotation="90"/>
    </xf>
    <xf numFmtId="0" fontId="5" fillId="0" borderId="9" xfId="0" applyFont="1" applyFill="1" applyBorder="1" applyAlignment="1">
      <alignment vertical="top" wrapText="1"/>
    </xf>
    <xf numFmtId="0" fontId="5" fillId="0" borderId="11" xfId="0" applyFont="1" applyFill="1" applyBorder="1" applyAlignment="1">
      <alignment vertical="top" wrapText="1"/>
    </xf>
    <xf numFmtId="0" fontId="5" fillId="0" borderId="9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5" fillId="0" borderId="10" xfId="0" applyFont="1" applyFill="1" applyBorder="1" applyAlignment="1">
      <alignment wrapText="1"/>
    </xf>
    <xf numFmtId="0" fontId="5" fillId="0" borderId="20" xfId="0" applyFont="1" applyFill="1" applyBorder="1" applyAlignment="1">
      <alignment wrapText="1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/>
    </xf>
    <xf numFmtId="0" fontId="0" fillId="2" borderId="0" xfId="0" applyFill="1" applyBorder="1" applyAlignment="1">
      <alignment horizontal="left" vertical="center" wrapText="1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 wrapText="1"/>
    </xf>
    <xf numFmtId="0" fontId="0" fillId="2" borderId="16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16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6" xfId="0" applyFill="1" applyBorder="1" applyAlignment="1">
      <alignment horizontal="left" vertical="center" wrapText="1"/>
    </xf>
    <xf numFmtId="0" fontId="0" fillId="2" borderId="7" xfId="0" applyFill="1" applyBorder="1" applyAlignment="1">
      <alignment horizontal="left" vertical="center" wrapText="1"/>
    </xf>
    <xf numFmtId="0" fontId="0" fillId="2" borderId="0" xfId="0" applyFill="1" applyAlignment="1">
      <alignment horizontal="center"/>
    </xf>
    <xf numFmtId="0" fontId="0" fillId="2" borderId="6" xfId="0" applyFill="1" applyBorder="1" applyAlignment="1">
      <alignment horizontal="center" vertical="center" wrapText="1"/>
    </xf>
  </cellXfs>
  <cellStyles count="2">
    <cellStyle name="Обычный" xfId="0" builtinId="0"/>
    <cellStyle name="Обычный 2" xfId="1"/>
  </cellStyles>
  <dxfs count="1">
    <dxf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outlinePr summaryBelow="0"/>
  </sheetPr>
  <dimension ref="A1:AN723"/>
  <sheetViews>
    <sheetView zoomScale="90" zoomScaleNormal="9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11" sqref="B11"/>
    </sheetView>
  </sheetViews>
  <sheetFormatPr defaultColWidth="9.109375" defaultRowHeight="13.2" outlineLevelRow="1" x14ac:dyDescent="0.25"/>
  <cols>
    <col min="1" max="1" width="3.44140625" style="34" customWidth="1"/>
    <col min="2" max="2" width="24.109375" style="42" customWidth="1"/>
    <col min="3" max="3" width="5.5546875" style="34" customWidth="1"/>
    <col min="4" max="4" width="4.44140625" style="34" customWidth="1"/>
    <col min="5" max="5" width="3.33203125" style="34" customWidth="1"/>
    <col min="6" max="6" width="5.109375" style="34" customWidth="1"/>
    <col min="7" max="7" width="4.6640625" style="34" customWidth="1"/>
    <col min="8" max="9" width="4.88671875" style="34" customWidth="1"/>
    <col min="10" max="10" width="5.6640625" style="34" customWidth="1"/>
    <col min="11" max="11" width="3.5546875" style="34" customWidth="1"/>
    <col min="12" max="12" width="5" style="34" customWidth="1"/>
    <col min="13" max="13" width="5.33203125" style="34" customWidth="1"/>
    <col min="14" max="15" width="5.44140625" style="34" customWidth="1"/>
    <col min="16" max="16" width="5" style="34" customWidth="1"/>
    <col min="17" max="17" width="4.109375" style="34" customWidth="1"/>
    <col min="18" max="18" width="4.6640625" style="34" customWidth="1"/>
    <col min="19" max="19" width="5.6640625" style="34" customWidth="1"/>
    <col min="20" max="20" width="4.5546875" style="34" customWidth="1"/>
    <col min="21" max="21" width="5.33203125" style="34" customWidth="1"/>
    <col min="22" max="22" width="7.109375" style="34" customWidth="1"/>
    <col min="23" max="23" width="8.109375" style="34" customWidth="1"/>
    <col min="24" max="16384" width="9.109375" style="34"/>
  </cols>
  <sheetData>
    <row r="1" spans="1:40" ht="15.75" customHeight="1" x14ac:dyDescent="0.25">
      <c r="A1" s="176" t="s">
        <v>39</v>
      </c>
      <c r="B1" s="176"/>
      <c r="C1" s="56"/>
      <c r="D1" s="57"/>
      <c r="E1" s="58"/>
      <c r="F1" s="59"/>
      <c r="G1" s="60"/>
      <c r="H1" s="60"/>
      <c r="I1" s="61"/>
      <c r="J1" s="60" t="s">
        <v>40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2" t="s">
        <v>50</v>
      </c>
      <c r="X1" s="61"/>
      <c r="Y1" s="61"/>
      <c r="Z1" s="61"/>
      <c r="AA1" s="61"/>
      <c r="AB1" s="61"/>
      <c r="AC1" s="61"/>
      <c r="AF1" s="61"/>
      <c r="AG1" s="61"/>
      <c r="AH1" s="61"/>
      <c r="AI1" s="61"/>
      <c r="AJ1" s="61"/>
      <c r="AK1" s="61"/>
      <c r="AN1" s="63"/>
    </row>
    <row r="2" spans="1:40" ht="12.75" customHeight="1" x14ac:dyDescent="0.25">
      <c r="A2" s="177" t="s">
        <v>41</v>
      </c>
      <c r="B2" s="177"/>
      <c r="C2" s="177"/>
      <c r="D2" s="177"/>
      <c r="E2" s="58"/>
      <c r="F2" s="59"/>
      <c r="G2" s="61"/>
      <c r="H2" s="60"/>
      <c r="I2" s="61"/>
      <c r="J2" s="60" t="s">
        <v>42</v>
      </c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98"/>
      <c r="Y2" s="98"/>
      <c r="Z2" s="61"/>
      <c r="AA2" s="61"/>
      <c r="AB2" s="61"/>
      <c r="AC2" s="61"/>
      <c r="AF2" s="61"/>
      <c r="AG2" s="61"/>
      <c r="AH2" s="61"/>
      <c r="AI2" s="61"/>
      <c r="AJ2" s="61"/>
      <c r="AK2" s="61"/>
      <c r="AN2" s="63"/>
    </row>
    <row r="3" spans="1:40" x14ac:dyDescent="0.25">
      <c r="A3" s="64"/>
      <c r="B3" s="64"/>
      <c r="C3" s="94"/>
      <c r="D3" s="89" t="s">
        <v>56</v>
      </c>
      <c r="E3" s="58"/>
      <c r="F3" s="59"/>
      <c r="G3" s="61"/>
      <c r="H3" s="60"/>
      <c r="I3" s="61"/>
      <c r="J3" s="60" t="s">
        <v>43</v>
      </c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170" t="s">
        <v>44</v>
      </c>
      <c r="W3" s="170"/>
      <c r="X3" s="61"/>
      <c r="Y3" s="101"/>
      <c r="Z3" s="61"/>
      <c r="AA3" s="61"/>
      <c r="AB3" s="61"/>
      <c r="AC3" s="61"/>
      <c r="AF3" s="61"/>
      <c r="AG3" s="61"/>
      <c r="AH3" s="61"/>
      <c r="AI3" s="61"/>
      <c r="AJ3" s="61"/>
      <c r="AK3" s="61"/>
      <c r="AN3" s="63"/>
    </row>
    <row r="4" spans="1:40" ht="13.8" thickBot="1" x14ac:dyDescent="0.3">
      <c r="A4" s="171" t="s">
        <v>63</v>
      </c>
      <c r="B4" s="171"/>
      <c r="C4" s="55"/>
      <c r="D4" s="65"/>
      <c r="E4" s="58"/>
      <c r="F4" s="59"/>
      <c r="G4" s="61"/>
      <c r="H4" s="60"/>
      <c r="I4" s="61"/>
      <c r="J4" s="60" t="s">
        <v>54</v>
      </c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10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3"/>
    </row>
    <row r="5" spans="1:40" ht="18" customHeight="1" thickBot="1" x14ac:dyDescent="0.3">
      <c r="A5" s="179" t="s">
        <v>16</v>
      </c>
      <c r="B5" s="181" t="s">
        <v>4</v>
      </c>
      <c r="C5" s="160" t="s">
        <v>17</v>
      </c>
      <c r="D5" s="160" t="s">
        <v>18</v>
      </c>
      <c r="E5" s="160" t="s">
        <v>19</v>
      </c>
      <c r="F5" s="160" t="s">
        <v>20</v>
      </c>
      <c r="G5" s="160" t="s">
        <v>5</v>
      </c>
      <c r="H5" s="160" t="s">
        <v>21</v>
      </c>
      <c r="I5" s="160" t="s">
        <v>22</v>
      </c>
      <c r="J5" s="160" t="s">
        <v>13</v>
      </c>
      <c r="K5" s="160" t="s">
        <v>52</v>
      </c>
      <c r="L5" s="160" t="s">
        <v>6</v>
      </c>
      <c r="M5" s="160" t="s">
        <v>10</v>
      </c>
      <c r="N5" s="160" t="s">
        <v>11</v>
      </c>
      <c r="O5" s="160" t="s">
        <v>1</v>
      </c>
      <c r="P5" s="160" t="s">
        <v>0</v>
      </c>
      <c r="Q5" s="183" t="s">
        <v>14</v>
      </c>
      <c r="R5" s="184"/>
      <c r="S5" s="174" t="s">
        <v>3</v>
      </c>
      <c r="T5" s="160" t="s">
        <v>23</v>
      </c>
      <c r="U5" s="160" t="s">
        <v>58</v>
      </c>
      <c r="V5" s="160" t="s">
        <v>24</v>
      </c>
      <c r="W5" s="172" t="s">
        <v>30</v>
      </c>
      <c r="Y5" s="101"/>
      <c r="Z5" s="38"/>
      <c r="AD5" s="34" t="s">
        <v>46</v>
      </c>
    </row>
    <row r="6" spans="1:40" ht="83.25" customHeight="1" thickBot="1" x14ac:dyDescent="0.3">
      <c r="A6" s="180"/>
      <c r="B6" s="182"/>
      <c r="C6" s="178"/>
      <c r="D6" s="178"/>
      <c r="E6" s="178"/>
      <c r="F6" s="178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33" t="s">
        <v>25</v>
      </c>
      <c r="R6" s="33" t="s">
        <v>26</v>
      </c>
      <c r="S6" s="175"/>
      <c r="T6" s="161"/>
      <c r="U6" s="161"/>
      <c r="V6" s="161"/>
      <c r="W6" s="173"/>
    </row>
    <row r="7" spans="1:40" ht="13.8" thickBot="1" x14ac:dyDescent="0.3">
      <c r="A7" s="180"/>
      <c r="B7" s="182"/>
      <c r="C7" s="178"/>
      <c r="D7" s="178"/>
      <c r="E7" s="178"/>
      <c r="F7" s="178"/>
      <c r="G7" s="40" t="s">
        <v>27</v>
      </c>
      <c r="H7" s="40" t="s">
        <v>27</v>
      </c>
      <c r="I7" s="40" t="s">
        <v>27</v>
      </c>
      <c r="J7" s="40" t="s">
        <v>27</v>
      </c>
      <c r="K7" s="40" t="s">
        <v>27</v>
      </c>
      <c r="L7" s="40" t="s">
        <v>27</v>
      </c>
      <c r="M7" s="40" t="s">
        <v>27</v>
      </c>
      <c r="N7" s="40" t="s">
        <v>27</v>
      </c>
      <c r="O7" s="40" t="s">
        <v>27</v>
      </c>
      <c r="P7" s="40" t="s">
        <v>27</v>
      </c>
      <c r="Q7" s="40" t="s">
        <v>27</v>
      </c>
      <c r="R7" s="40" t="s">
        <v>27</v>
      </c>
      <c r="S7" s="40" t="s">
        <v>27</v>
      </c>
      <c r="T7" s="40" t="s">
        <v>27</v>
      </c>
      <c r="U7" s="40" t="s">
        <v>27</v>
      </c>
      <c r="V7" s="40" t="s">
        <v>27</v>
      </c>
      <c r="W7" s="173"/>
    </row>
    <row r="8" spans="1:40" ht="24.6" thickBot="1" x14ac:dyDescent="0.3">
      <c r="A8" s="180"/>
      <c r="B8" s="182"/>
      <c r="C8" s="178"/>
      <c r="D8" s="178"/>
      <c r="E8" s="178"/>
      <c r="F8" s="178"/>
      <c r="G8" s="35" t="s">
        <v>28</v>
      </c>
      <c r="H8" s="35" t="s">
        <v>28</v>
      </c>
      <c r="I8" s="35" t="s">
        <v>28</v>
      </c>
      <c r="J8" s="35" t="s">
        <v>28</v>
      </c>
      <c r="K8" s="35" t="s">
        <v>28</v>
      </c>
      <c r="L8" s="35" t="s">
        <v>28</v>
      </c>
      <c r="M8" s="35" t="s">
        <v>28</v>
      </c>
      <c r="N8" s="35" t="s">
        <v>28</v>
      </c>
      <c r="O8" s="35" t="s">
        <v>28</v>
      </c>
      <c r="P8" s="35" t="s">
        <v>28</v>
      </c>
      <c r="Q8" s="35" t="s">
        <v>28</v>
      </c>
      <c r="R8" s="35" t="s">
        <v>28</v>
      </c>
      <c r="S8" s="35" t="s">
        <v>28</v>
      </c>
      <c r="T8" s="35" t="s">
        <v>28</v>
      </c>
      <c r="U8" s="35" t="s">
        <v>28</v>
      </c>
      <c r="V8" s="35" t="s">
        <v>28</v>
      </c>
      <c r="W8" s="173"/>
      <c r="Y8" s="49"/>
      <c r="Z8" s="49"/>
      <c r="AA8" s="49"/>
      <c r="AB8" s="49"/>
      <c r="AC8" s="49"/>
    </row>
    <row r="9" spans="1:40" x14ac:dyDescent="0.25">
      <c r="A9" s="145">
        <v>1</v>
      </c>
      <c r="B9" s="147" t="s">
        <v>196</v>
      </c>
      <c r="C9" s="147" t="s">
        <v>31</v>
      </c>
      <c r="D9" s="162" t="s">
        <v>12</v>
      </c>
      <c r="E9" s="162" t="s">
        <v>15</v>
      </c>
      <c r="F9" s="66">
        <v>1</v>
      </c>
      <c r="G9" s="36">
        <f>SUM(G11:G31)</f>
        <v>126</v>
      </c>
      <c r="H9" s="36">
        <f>SUM(H11:H31)</f>
        <v>154</v>
      </c>
      <c r="I9" s="36">
        <f>SUM(I11:I31)</f>
        <v>0</v>
      </c>
      <c r="J9" s="36">
        <f>SUM(J11:J31)</f>
        <v>0</v>
      </c>
      <c r="K9" s="36">
        <f t="shared" ref="K9:U9" si="0">SUM(K11:K33)</f>
        <v>8</v>
      </c>
      <c r="L9" s="36">
        <f t="shared" si="0"/>
        <v>21</v>
      </c>
      <c r="M9" s="36">
        <f t="shared" si="0"/>
        <v>6</v>
      </c>
      <c r="N9" s="36">
        <f t="shared" si="0"/>
        <v>39</v>
      </c>
      <c r="O9" s="36">
        <f t="shared" si="0"/>
        <v>31.150000000000002</v>
      </c>
      <c r="P9" s="36">
        <f t="shared" si="0"/>
        <v>15</v>
      </c>
      <c r="Q9" s="36">
        <f t="shared" si="0"/>
        <v>0</v>
      </c>
      <c r="R9" s="36">
        <f t="shared" si="0"/>
        <v>0</v>
      </c>
      <c r="S9" s="36">
        <f t="shared" si="0"/>
        <v>0</v>
      </c>
      <c r="T9" s="36">
        <f t="shared" si="0"/>
        <v>0</v>
      </c>
      <c r="U9" s="36">
        <f t="shared" si="0"/>
        <v>30</v>
      </c>
      <c r="V9" s="36">
        <f>SUM(V11:V33)</f>
        <v>430.15000000000003</v>
      </c>
      <c r="W9" s="151">
        <f>V9+V10</f>
        <v>744.45</v>
      </c>
    </row>
    <row r="10" spans="1:40" ht="13.8" collapsed="1" thickBot="1" x14ac:dyDescent="0.3">
      <c r="A10" s="146"/>
      <c r="B10" s="148"/>
      <c r="C10" s="148"/>
      <c r="D10" s="163"/>
      <c r="E10" s="163"/>
      <c r="F10" s="67"/>
      <c r="G10" s="39">
        <f>SUM(G34:G51)</f>
        <v>42</v>
      </c>
      <c r="H10" s="41">
        <f>SUM(H34:H51)</f>
        <v>68</v>
      </c>
      <c r="I10" s="39">
        <f>SUM(I34:I51)</f>
        <v>0</v>
      </c>
      <c r="J10" s="39">
        <f>SUM(J34:J51)</f>
        <v>0</v>
      </c>
      <c r="K10" s="39">
        <f t="shared" ref="K10:U10" si="1">SUM(K34:K51)</f>
        <v>4</v>
      </c>
      <c r="L10" s="39">
        <f t="shared" si="1"/>
        <v>0</v>
      </c>
      <c r="M10" s="39">
        <f t="shared" si="1"/>
        <v>4</v>
      </c>
      <c r="N10" s="39">
        <f t="shared" si="1"/>
        <v>25.5</v>
      </c>
      <c r="O10" s="39">
        <f t="shared" si="1"/>
        <v>11.2</v>
      </c>
      <c r="P10" s="39">
        <f t="shared" si="1"/>
        <v>15.5</v>
      </c>
      <c r="Q10" s="39">
        <f t="shared" si="1"/>
        <v>0</v>
      </c>
      <c r="R10" s="39">
        <f t="shared" si="1"/>
        <v>4.5</v>
      </c>
      <c r="S10" s="39">
        <f t="shared" si="1"/>
        <v>82.1</v>
      </c>
      <c r="T10" s="39">
        <f t="shared" si="1"/>
        <v>42.5</v>
      </c>
      <c r="U10" s="39">
        <f t="shared" si="1"/>
        <v>15</v>
      </c>
      <c r="V10" s="39">
        <f>SUM(V34:V51)</f>
        <v>314.3</v>
      </c>
      <c r="W10" s="152"/>
      <c r="Y10" s="38"/>
    </row>
    <row r="11" spans="1:40" ht="39.6" hidden="1" outlineLevel="1" x14ac:dyDescent="0.25">
      <c r="A11" s="34" t="s">
        <v>223</v>
      </c>
      <c r="B11" s="42" t="s">
        <v>64</v>
      </c>
      <c r="C11" s="34">
        <v>2</v>
      </c>
      <c r="G11" s="34">
        <v>50</v>
      </c>
      <c r="H11" s="34">
        <v>68</v>
      </c>
      <c r="O11" s="34">
        <v>10.15</v>
      </c>
      <c r="V11" s="34">
        <f t="shared" ref="V11:V17" si="2">SUM(G11:U11)</f>
        <v>128.15</v>
      </c>
      <c r="Y11" s="38"/>
    </row>
    <row r="12" spans="1:40" ht="39.6" hidden="1" outlineLevel="1" x14ac:dyDescent="0.25">
      <c r="A12" s="34" t="s">
        <v>224</v>
      </c>
      <c r="B12" s="42" t="s">
        <v>98</v>
      </c>
      <c r="C12" s="34">
        <v>4</v>
      </c>
      <c r="G12" s="34">
        <v>8</v>
      </c>
      <c r="H12" s="34">
        <v>16</v>
      </c>
      <c r="K12" s="34">
        <v>2</v>
      </c>
      <c r="M12" s="34">
        <v>2</v>
      </c>
      <c r="N12" s="34">
        <v>12</v>
      </c>
      <c r="P12" s="34">
        <v>12</v>
      </c>
      <c r="V12" s="34">
        <f t="shared" si="2"/>
        <v>52</v>
      </c>
      <c r="Y12" s="38"/>
    </row>
    <row r="13" spans="1:40" ht="26.4" hidden="1" outlineLevel="1" x14ac:dyDescent="0.25">
      <c r="A13" s="34" t="s">
        <v>224</v>
      </c>
      <c r="B13" s="42" t="s">
        <v>95</v>
      </c>
      <c r="C13" s="34">
        <v>2</v>
      </c>
      <c r="G13" s="34">
        <v>6</v>
      </c>
      <c r="H13" s="34">
        <v>8</v>
      </c>
      <c r="K13" s="34">
        <v>2</v>
      </c>
      <c r="N13" s="34">
        <v>9</v>
      </c>
      <c r="O13" s="34">
        <v>6.3</v>
      </c>
      <c r="V13" s="34">
        <f t="shared" si="2"/>
        <v>31.3</v>
      </c>
      <c r="Y13" s="38"/>
    </row>
    <row r="14" spans="1:40" ht="26.4" hidden="1" outlineLevel="1" x14ac:dyDescent="0.25">
      <c r="A14" s="34" t="s">
        <v>224</v>
      </c>
      <c r="B14" s="42" t="s">
        <v>110</v>
      </c>
      <c r="C14" s="34">
        <v>1</v>
      </c>
      <c r="G14" s="34">
        <v>6</v>
      </c>
      <c r="H14" s="34">
        <v>4</v>
      </c>
      <c r="K14" s="34">
        <v>2</v>
      </c>
      <c r="N14" s="34">
        <v>7</v>
      </c>
      <c r="O14" s="34">
        <v>4.9000000000000004</v>
      </c>
      <c r="V14" s="34">
        <f t="shared" si="2"/>
        <v>23.9</v>
      </c>
      <c r="Y14" s="38"/>
    </row>
    <row r="15" spans="1:40" ht="26.4" hidden="1" outlineLevel="1" x14ac:dyDescent="0.25">
      <c r="A15" s="34" t="s">
        <v>225</v>
      </c>
      <c r="B15" s="42" t="s">
        <v>151</v>
      </c>
      <c r="C15" s="34">
        <v>2</v>
      </c>
      <c r="G15" s="34">
        <v>40</v>
      </c>
      <c r="H15" s="34">
        <v>40</v>
      </c>
      <c r="L15" s="34">
        <v>12</v>
      </c>
      <c r="M15" s="34">
        <v>2</v>
      </c>
      <c r="P15" s="34">
        <v>1.5</v>
      </c>
      <c r="V15" s="34">
        <f t="shared" si="2"/>
        <v>95.5</v>
      </c>
      <c r="Y15" s="38"/>
    </row>
    <row r="16" spans="1:40" ht="26.4" hidden="1" outlineLevel="1" x14ac:dyDescent="0.25">
      <c r="A16" s="34" t="s">
        <v>225</v>
      </c>
      <c r="B16" s="42" t="s">
        <v>150</v>
      </c>
      <c r="C16" s="34">
        <v>2</v>
      </c>
      <c r="O16" s="34">
        <v>1.05</v>
      </c>
      <c r="V16" s="34">
        <f t="shared" si="2"/>
        <v>1.05</v>
      </c>
      <c r="Y16" s="38"/>
    </row>
    <row r="17" spans="1:25" ht="39.6" hidden="1" outlineLevel="1" x14ac:dyDescent="0.25">
      <c r="A17" s="34" t="s">
        <v>226</v>
      </c>
      <c r="B17" s="42" t="s">
        <v>165</v>
      </c>
      <c r="C17" s="34">
        <v>2</v>
      </c>
      <c r="G17" s="34">
        <v>10</v>
      </c>
      <c r="H17" s="34">
        <v>10</v>
      </c>
      <c r="L17" s="34">
        <v>9</v>
      </c>
      <c r="M17" s="34">
        <v>2</v>
      </c>
      <c r="P17" s="34">
        <v>1.5</v>
      </c>
      <c r="V17" s="34">
        <f t="shared" si="2"/>
        <v>32.5</v>
      </c>
      <c r="Y17" s="38"/>
    </row>
    <row r="18" spans="1:25" ht="26.4" hidden="1" outlineLevel="1" x14ac:dyDescent="0.25">
      <c r="A18" s="34" t="s">
        <v>226</v>
      </c>
      <c r="B18" s="42" t="s">
        <v>164</v>
      </c>
      <c r="C18" s="34">
        <v>2</v>
      </c>
      <c r="O18" s="34">
        <v>1.05</v>
      </c>
      <c r="V18" s="34">
        <f>SUM(G18:U18)</f>
        <v>1.05</v>
      </c>
      <c r="Y18" s="38"/>
    </row>
    <row r="19" spans="1:25" ht="26.4" hidden="1" outlineLevel="1" x14ac:dyDescent="0.25">
      <c r="A19" s="34" t="s">
        <v>225</v>
      </c>
      <c r="B19" s="42" t="s">
        <v>147</v>
      </c>
      <c r="C19" s="34">
        <v>1</v>
      </c>
      <c r="U19" s="34">
        <v>15</v>
      </c>
      <c r="V19" s="34">
        <f>SUM(G19:U19)</f>
        <v>15</v>
      </c>
      <c r="Y19" s="38"/>
    </row>
    <row r="20" spans="1:25" ht="26.4" hidden="1" outlineLevel="1" x14ac:dyDescent="0.25">
      <c r="A20" s="34" t="s">
        <v>224</v>
      </c>
      <c r="B20" s="42" t="s">
        <v>231</v>
      </c>
      <c r="C20" s="34">
        <v>1</v>
      </c>
      <c r="G20" s="34">
        <v>6</v>
      </c>
      <c r="H20" s="34">
        <v>8</v>
      </c>
      <c r="K20" s="34">
        <v>2</v>
      </c>
      <c r="N20" s="34">
        <v>11</v>
      </c>
      <c r="O20" s="34">
        <v>7.7</v>
      </c>
      <c r="V20" s="34">
        <f>SUM(G20:U20)</f>
        <v>34.700000000000003</v>
      </c>
      <c r="Y20" s="38"/>
    </row>
    <row r="21" spans="1:25" ht="26.4" hidden="1" outlineLevel="1" x14ac:dyDescent="0.25">
      <c r="A21" s="34" t="s">
        <v>226</v>
      </c>
      <c r="B21" s="42" t="s">
        <v>162</v>
      </c>
      <c r="C21" s="34">
        <v>2</v>
      </c>
      <c r="U21" s="34">
        <v>15</v>
      </c>
      <c r="V21" s="34">
        <f>SUM(G21:U21)</f>
        <v>15</v>
      </c>
      <c r="Y21" s="38"/>
    </row>
    <row r="22" spans="1:25" hidden="1" outlineLevel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 s="34">
        <f t="shared" ref="V22:V32" si="3">SUM(G22:U22)</f>
        <v>0</v>
      </c>
      <c r="Y22" s="38"/>
    </row>
    <row r="23" spans="1:25" hidden="1" outlineLevel="1" x14ac:dyDescent="0.25">
      <c r="V23" s="34">
        <f t="shared" si="3"/>
        <v>0</v>
      </c>
      <c r="Y23" s="38"/>
    </row>
    <row r="24" spans="1:25" hidden="1" outlineLevel="1" x14ac:dyDescent="0.25">
      <c r="V24" s="34">
        <f t="shared" si="3"/>
        <v>0</v>
      </c>
      <c r="Y24" s="38"/>
    </row>
    <row r="25" spans="1:25" hidden="1" outlineLevel="1" x14ac:dyDescent="0.25">
      <c r="V25" s="34">
        <f t="shared" ref="V25:V28" si="4">SUM(G25:U25)</f>
        <v>0</v>
      </c>
      <c r="Y25" s="38"/>
    </row>
    <row r="26" spans="1:25" hidden="1" outlineLevel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 s="34">
        <f t="shared" si="4"/>
        <v>0</v>
      </c>
      <c r="Y26" s="38"/>
    </row>
    <row r="27" spans="1:25" hidden="1" outlineLevel="1" x14ac:dyDescent="0.25">
      <c r="V27" s="34">
        <f t="shared" si="4"/>
        <v>0</v>
      </c>
      <c r="Y27" s="38"/>
    </row>
    <row r="28" spans="1:25" hidden="1" outlineLevel="1" x14ac:dyDescent="0.25">
      <c r="B28" s="34"/>
      <c r="V28" s="34">
        <f t="shared" si="4"/>
        <v>0</v>
      </c>
      <c r="Y28" s="38"/>
    </row>
    <row r="29" spans="1:25" hidden="1" outlineLevel="1" x14ac:dyDescent="0.25">
      <c r="V29" s="34">
        <f t="shared" si="3"/>
        <v>0</v>
      </c>
      <c r="Y29" s="38"/>
    </row>
    <row r="30" spans="1:25" hidden="1" outlineLevel="1" x14ac:dyDescent="0.25">
      <c r="V30" s="34">
        <f t="shared" si="3"/>
        <v>0</v>
      </c>
      <c r="Y30" s="38"/>
    </row>
    <row r="31" spans="1:25" hidden="1" outlineLevel="1" x14ac:dyDescent="0.25">
      <c r="V31" s="34">
        <f t="shared" si="3"/>
        <v>0</v>
      </c>
      <c r="Y31" s="38"/>
    </row>
    <row r="32" spans="1:25" hidden="1" outlineLevel="1" x14ac:dyDescent="0.25">
      <c r="B32" s="34"/>
      <c r="V32" s="34">
        <f t="shared" si="3"/>
        <v>0</v>
      </c>
      <c r="Y32" s="38"/>
    </row>
    <row r="33" spans="1:25" hidden="1" outlineLevel="1" x14ac:dyDescent="0.25">
      <c r="B33" s="155" t="s">
        <v>29</v>
      </c>
      <c r="C33" s="155"/>
      <c r="D33" s="155"/>
      <c r="E33" s="155"/>
      <c r="F33" s="155"/>
      <c r="G33" s="155"/>
      <c r="H33" s="155"/>
      <c r="I33" s="155"/>
      <c r="J33" s="155"/>
      <c r="K33" s="155"/>
      <c r="L33" s="155"/>
      <c r="M33" s="155"/>
      <c r="N33" s="155"/>
      <c r="O33" s="155"/>
      <c r="P33" s="155"/>
      <c r="Q33" s="155"/>
      <c r="R33" s="155"/>
      <c r="S33" s="155"/>
      <c r="T33" s="155"/>
      <c r="U33" s="155"/>
      <c r="V33" s="68"/>
      <c r="Y33" s="38"/>
    </row>
    <row r="34" spans="1:25" ht="26.4" hidden="1" outlineLevel="1" x14ac:dyDescent="0.25">
      <c r="A34" s="34" t="s">
        <v>223</v>
      </c>
      <c r="B34" s="42" t="s">
        <v>90</v>
      </c>
      <c r="C34" s="34">
        <v>4</v>
      </c>
      <c r="S34" s="34">
        <v>16.5</v>
      </c>
      <c r="V34" s="34">
        <f t="shared" ref="V34:V42" si="5">SUM(G34:U34)</f>
        <v>16.5</v>
      </c>
      <c r="X34" s="38"/>
      <c r="Y34" s="38"/>
    </row>
    <row r="35" spans="1:25" ht="26.4" hidden="1" outlineLevel="1" x14ac:dyDescent="0.25">
      <c r="A35" s="34" t="s">
        <v>224</v>
      </c>
      <c r="B35" s="42" t="s">
        <v>127</v>
      </c>
      <c r="C35" s="34">
        <v>5</v>
      </c>
      <c r="S35" s="34">
        <v>12.5</v>
      </c>
      <c r="V35" s="34">
        <f t="shared" si="5"/>
        <v>12.5</v>
      </c>
      <c r="Y35" s="38"/>
    </row>
    <row r="36" spans="1:25" ht="26.4" hidden="1" outlineLevel="1" x14ac:dyDescent="0.25">
      <c r="A36" s="34" t="s">
        <v>224</v>
      </c>
      <c r="B36" s="42" t="s">
        <v>138</v>
      </c>
      <c r="C36" s="34">
        <v>4</v>
      </c>
      <c r="S36" s="34">
        <v>10.5</v>
      </c>
      <c r="V36" s="34">
        <f t="shared" si="5"/>
        <v>10.5</v>
      </c>
      <c r="X36" s="38"/>
      <c r="Y36" s="38"/>
    </row>
    <row r="37" spans="1:25" ht="39.6" hidden="1" outlineLevel="1" x14ac:dyDescent="0.25">
      <c r="A37" s="34" t="s">
        <v>224</v>
      </c>
      <c r="B37" s="42" t="s">
        <v>98</v>
      </c>
      <c r="C37" s="34">
        <v>3</v>
      </c>
      <c r="G37" s="34">
        <v>8</v>
      </c>
      <c r="H37" s="34">
        <v>16</v>
      </c>
      <c r="K37" s="34">
        <v>2</v>
      </c>
      <c r="N37" s="34">
        <v>13</v>
      </c>
      <c r="O37" s="34">
        <v>9.1</v>
      </c>
      <c r="V37" s="34">
        <f t="shared" si="5"/>
        <v>48.1</v>
      </c>
      <c r="X37" s="38"/>
      <c r="Y37" s="38"/>
    </row>
    <row r="38" spans="1:25" hidden="1" outlineLevel="1" x14ac:dyDescent="0.25">
      <c r="A38" t="s">
        <v>225</v>
      </c>
      <c r="B38" t="s">
        <v>156</v>
      </c>
      <c r="C38">
        <v>1</v>
      </c>
      <c r="D38"/>
      <c r="E38"/>
      <c r="F38"/>
      <c r="G38"/>
      <c r="H38"/>
      <c r="I38"/>
      <c r="J38"/>
      <c r="K38"/>
      <c r="L38"/>
      <c r="M38"/>
      <c r="N38"/>
      <c r="O38">
        <v>2.1</v>
      </c>
      <c r="P38"/>
      <c r="Q38"/>
      <c r="R38"/>
      <c r="S38"/>
      <c r="T38"/>
      <c r="U38"/>
      <c r="V38" s="34">
        <f t="shared" si="5"/>
        <v>2.1</v>
      </c>
      <c r="X38" s="38"/>
      <c r="Y38" s="38"/>
    </row>
    <row r="39" spans="1:25" hidden="1" outlineLevel="1" x14ac:dyDescent="0.25">
      <c r="A39" s="34" t="s">
        <v>225</v>
      </c>
      <c r="B39" s="42" t="s">
        <v>160</v>
      </c>
      <c r="C39" s="34">
        <v>2</v>
      </c>
      <c r="S39" s="34">
        <v>1.5</v>
      </c>
      <c r="V39" s="34">
        <f t="shared" si="5"/>
        <v>1.5</v>
      </c>
      <c r="Y39" s="38"/>
    </row>
    <row r="40" spans="1:25" ht="26.4" hidden="1" outlineLevel="1" x14ac:dyDescent="0.25">
      <c r="A40" s="34" t="s">
        <v>226</v>
      </c>
      <c r="B40" s="42" t="s">
        <v>172</v>
      </c>
      <c r="C40" s="34">
        <v>2</v>
      </c>
      <c r="H40" s="37"/>
      <c r="N40" s="38"/>
      <c r="S40" s="34">
        <v>1.5</v>
      </c>
      <c r="V40" s="34">
        <f t="shared" si="5"/>
        <v>1.5</v>
      </c>
      <c r="Y40" s="38"/>
    </row>
    <row r="41" spans="1:25" hidden="1" outlineLevel="1" x14ac:dyDescent="0.25">
      <c r="A41" s="34" t="s">
        <v>223</v>
      </c>
      <c r="B41" s="42" t="s">
        <v>88</v>
      </c>
      <c r="C41" s="34">
        <v>4</v>
      </c>
      <c r="T41" s="34">
        <v>16.5</v>
      </c>
      <c r="V41" s="34">
        <f t="shared" si="5"/>
        <v>16.5</v>
      </c>
      <c r="Y41" s="38"/>
    </row>
    <row r="42" spans="1:25" hidden="1" outlineLevel="1" x14ac:dyDescent="0.25">
      <c r="A42" s="34" t="s">
        <v>224</v>
      </c>
      <c r="B42" s="42" t="s">
        <v>125</v>
      </c>
      <c r="C42" s="34">
        <v>5</v>
      </c>
      <c r="T42" s="34">
        <v>12.5</v>
      </c>
      <c r="V42" s="34">
        <f t="shared" si="5"/>
        <v>12.5</v>
      </c>
      <c r="Y42" s="38"/>
    </row>
    <row r="43" spans="1:25" hidden="1" outlineLevel="1" x14ac:dyDescent="0.25">
      <c r="A43" s="34" t="s">
        <v>224</v>
      </c>
      <c r="B43" s="42" t="s">
        <v>136</v>
      </c>
      <c r="C43" s="34">
        <v>4</v>
      </c>
      <c r="T43" s="34">
        <v>10.5</v>
      </c>
      <c r="V43" s="34">
        <f>SUM(G43:U43)</f>
        <v>10.5</v>
      </c>
      <c r="Y43" s="38"/>
    </row>
    <row r="44" spans="1:25" hidden="1" outlineLevel="1" x14ac:dyDescent="0.25">
      <c r="A44" t="s">
        <v>225</v>
      </c>
      <c r="B44" s="42" t="s">
        <v>158</v>
      </c>
      <c r="C44">
        <v>2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>
        <v>1.5</v>
      </c>
      <c r="U44"/>
      <c r="V44" s="34">
        <f t="shared" ref="V44:V50" si="6">SUM(G44:U44)</f>
        <v>1.5</v>
      </c>
      <c r="Y44" s="38"/>
    </row>
    <row r="45" spans="1:25" ht="26.4" hidden="1" outlineLevel="1" x14ac:dyDescent="0.25">
      <c r="A45" t="s">
        <v>225</v>
      </c>
      <c r="B45" s="42" t="s">
        <v>154</v>
      </c>
      <c r="C45">
        <v>1</v>
      </c>
      <c r="D45"/>
      <c r="E45"/>
      <c r="F45"/>
      <c r="G45">
        <v>26</v>
      </c>
      <c r="H45">
        <v>36</v>
      </c>
      <c r="I45"/>
      <c r="J45"/>
      <c r="K45"/>
      <c r="L45"/>
      <c r="M45">
        <v>2</v>
      </c>
      <c r="N45"/>
      <c r="O45"/>
      <c r="P45">
        <v>3</v>
      </c>
      <c r="Q45"/>
      <c r="R45"/>
      <c r="S45"/>
      <c r="T45"/>
      <c r="U45"/>
      <c r="V45" s="34">
        <f t="shared" si="6"/>
        <v>67</v>
      </c>
      <c r="Y45" s="38"/>
    </row>
    <row r="46" spans="1:25" ht="39.6" hidden="1" outlineLevel="1" x14ac:dyDescent="0.25">
      <c r="A46" s="34" t="s">
        <v>224</v>
      </c>
      <c r="B46" s="42" t="s">
        <v>130</v>
      </c>
      <c r="C46" s="34">
        <v>2</v>
      </c>
      <c r="G46" s="34">
        <v>8</v>
      </c>
      <c r="H46" s="37">
        <v>16</v>
      </c>
      <c r="K46" s="34">
        <v>2</v>
      </c>
      <c r="M46" s="34">
        <v>2</v>
      </c>
      <c r="N46" s="38">
        <v>12.5</v>
      </c>
      <c r="P46" s="34">
        <v>12.5</v>
      </c>
      <c r="S46" s="38"/>
      <c r="V46" s="34">
        <f t="shared" si="6"/>
        <v>53</v>
      </c>
      <c r="Y46" s="38"/>
    </row>
    <row r="47" spans="1:25" ht="26.4" hidden="1" outlineLevel="1" x14ac:dyDescent="0.25">
      <c r="A47" s="34" t="s">
        <v>223</v>
      </c>
      <c r="B47" s="42" t="s">
        <v>86</v>
      </c>
      <c r="C47" s="34">
        <v>4</v>
      </c>
      <c r="H47" s="37"/>
      <c r="N47" s="38"/>
      <c r="S47" s="38">
        <v>39.6</v>
      </c>
      <c r="V47" s="34">
        <f t="shared" si="6"/>
        <v>39.6</v>
      </c>
      <c r="Y47" s="38"/>
    </row>
    <row r="48" spans="1:25" ht="26.4" hidden="1" outlineLevel="1" x14ac:dyDescent="0.25">
      <c r="A48" s="34" t="s">
        <v>225</v>
      </c>
      <c r="B48" s="42" t="s">
        <v>147</v>
      </c>
      <c r="C48" s="34">
        <v>1</v>
      </c>
      <c r="H48" s="37"/>
      <c r="N48" s="38"/>
      <c r="S48" s="38"/>
      <c r="U48" s="34">
        <v>15</v>
      </c>
      <c r="V48" s="34">
        <f t="shared" si="6"/>
        <v>15</v>
      </c>
      <c r="Y48" s="38"/>
    </row>
    <row r="49" spans="1:26" hidden="1" outlineLevel="1" x14ac:dyDescent="0.25">
      <c r="A49" t="s">
        <v>226</v>
      </c>
      <c r="B49" t="s">
        <v>166</v>
      </c>
      <c r="C49">
        <v>2</v>
      </c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>
        <v>4.5</v>
      </c>
      <c r="S49"/>
      <c r="T49"/>
      <c r="U49"/>
      <c r="V49" s="34">
        <f t="shared" si="6"/>
        <v>4.5</v>
      </c>
      <c r="Y49" s="38"/>
    </row>
    <row r="50" spans="1:26" hidden="1" outlineLevel="1" x14ac:dyDescent="0.25">
      <c r="A50" s="34" t="s">
        <v>226</v>
      </c>
      <c r="B50" s="42" t="s">
        <v>170</v>
      </c>
      <c r="C50" s="34">
        <v>2</v>
      </c>
      <c r="T50" s="34">
        <v>1.5</v>
      </c>
      <c r="V50" s="34">
        <f t="shared" si="6"/>
        <v>1.5</v>
      </c>
      <c r="Y50" s="38"/>
    </row>
    <row r="51" spans="1:26" ht="13.8" hidden="1" outlineLevel="1" thickBot="1" x14ac:dyDescent="0.3">
      <c r="Y51" s="38"/>
    </row>
    <row r="52" spans="1:26" x14ac:dyDescent="0.25">
      <c r="A52" s="145">
        <v>2</v>
      </c>
      <c r="B52" s="147" t="s">
        <v>197</v>
      </c>
      <c r="C52" s="149" t="s">
        <v>9</v>
      </c>
      <c r="D52" s="149" t="s">
        <v>12</v>
      </c>
      <c r="E52" s="149" t="s">
        <v>15</v>
      </c>
      <c r="F52" s="66">
        <v>0.25</v>
      </c>
      <c r="G52" s="36">
        <f t="shared" ref="G52:U52" si="7">SUM(G54:G64)</f>
        <v>76</v>
      </c>
      <c r="H52" s="36">
        <f t="shared" si="7"/>
        <v>96</v>
      </c>
      <c r="I52" s="36">
        <f t="shared" si="7"/>
        <v>0</v>
      </c>
      <c r="J52" s="36">
        <f t="shared" si="7"/>
        <v>0</v>
      </c>
      <c r="K52" s="36">
        <f t="shared" si="7"/>
        <v>2</v>
      </c>
      <c r="L52" s="36">
        <f t="shared" si="7"/>
        <v>0</v>
      </c>
      <c r="M52" s="36">
        <f t="shared" si="7"/>
        <v>2</v>
      </c>
      <c r="N52" s="36">
        <f t="shared" si="7"/>
        <v>11</v>
      </c>
      <c r="O52" s="36">
        <f t="shared" si="7"/>
        <v>23.450000000000003</v>
      </c>
      <c r="P52" s="36">
        <f t="shared" si="7"/>
        <v>12.5</v>
      </c>
      <c r="Q52" s="36">
        <f t="shared" si="7"/>
        <v>0</v>
      </c>
      <c r="R52" s="36">
        <f t="shared" si="7"/>
        <v>0</v>
      </c>
      <c r="S52" s="36">
        <f t="shared" si="7"/>
        <v>0</v>
      </c>
      <c r="T52" s="36">
        <f t="shared" si="7"/>
        <v>0</v>
      </c>
      <c r="U52" s="36">
        <f t="shared" si="7"/>
        <v>0</v>
      </c>
      <c r="V52" s="36">
        <f>SUM(V54:V63)</f>
        <v>222.95000000000002</v>
      </c>
      <c r="W52" s="151">
        <f>V52+V53</f>
        <v>477.3</v>
      </c>
      <c r="Y52" s="38"/>
    </row>
    <row r="53" spans="1:26" ht="13.8" collapsed="1" thickBot="1" x14ac:dyDescent="0.3">
      <c r="A53" s="146"/>
      <c r="B53" s="148"/>
      <c r="C53" s="150"/>
      <c r="D53" s="150"/>
      <c r="E53" s="150"/>
      <c r="F53" s="67"/>
      <c r="G53" s="39">
        <f>SUM(G65:G82)</f>
        <v>38</v>
      </c>
      <c r="H53" s="41">
        <f>SUM(H65:H82)</f>
        <v>104</v>
      </c>
      <c r="I53" s="39">
        <f>SUM(I65:I82)</f>
        <v>0</v>
      </c>
      <c r="J53" s="39">
        <f>SUM(J65:J82)</f>
        <v>0</v>
      </c>
      <c r="K53" s="39">
        <f t="shared" ref="K53:U53" si="8">SUM(K65:K82)</f>
        <v>2</v>
      </c>
      <c r="L53" s="39">
        <f t="shared" si="8"/>
        <v>0</v>
      </c>
      <c r="M53" s="39">
        <f t="shared" si="8"/>
        <v>0</v>
      </c>
      <c r="N53" s="39">
        <f t="shared" si="8"/>
        <v>9</v>
      </c>
      <c r="O53" s="39">
        <f t="shared" si="8"/>
        <v>19.25</v>
      </c>
      <c r="P53" s="39">
        <f t="shared" si="8"/>
        <v>0</v>
      </c>
      <c r="Q53" s="39">
        <f t="shared" si="8"/>
        <v>0</v>
      </c>
      <c r="R53" s="39">
        <f t="shared" si="8"/>
        <v>0</v>
      </c>
      <c r="S53" s="39">
        <f t="shared" si="8"/>
        <v>39.6</v>
      </c>
      <c r="T53" s="39">
        <f t="shared" si="8"/>
        <v>42.5</v>
      </c>
      <c r="U53" s="39">
        <f t="shared" si="8"/>
        <v>0</v>
      </c>
      <c r="V53" s="39">
        <f>SUM(V65:V82)</f>
        <v>254.35</v>
      </c>
      <c r="W53" s="152"/>
      <c r="Y53" s="38"/>
      <c r="Z53" s="38"/>
    </row>
    <row r="54" spans="1:26" hidden="1" outlineLevel="1" x14ac:dyDescent="0.25">
      <c r="A54" s="2" t="s">
        <v>224</v>
      </c>
      <c r="B54" s="51" t="s">
        <v>96</v>
      </c>
      <c r="C54" s="51">
        <v>3</v>
      </c>
      <c r="D54" s="51"/>
      <c r="E54" s="51"/>
      <c r="F54" s="51"/>
      <c r="G54" s="51">
        <v>8</v>
      </c>
      <c r="H54" s="51">
        <v>16</v>
      </c>
      <c r="I54" s="51"/>
      <c r="J54" s="51"/>
      <c r="K54" s="51"/>
      <c r="L54" s="51"/>
      <c r="M54" s="51"/>
      <c r="N54" s="51"/>
      <c r="O54" s="51">
        <v>9.1</v>
      </c>
      <c r="P54" s="51"/>
      <c r="Q54" s="51"/>
      <c r="R54" s="51"/>
      <c r="S54" s="51"/>
      <c r="T54" s="51"/>
      <c r="U54" s="51"/>
      <c r="V54" s="34">
        <f>SUM(G54:U54)</f>
        <v>33.1</v>
      </c>
      <c r="Y54" s="38"/>
    </row>
    <row r="55" spans="1:26" ht="39.6" hidden="1" outlineLevel="1" x14ac:dyDescent="0.25">
      <c r="A55" s="34" t="s">
        <v>224</v>
      </c>
      <c r="B55" s="42" t="s">
        <v>103</v>
      </c>
      <c r="C55" s="34">
        <v>1</v>
      </c>
      <c r="G55" s="34">
        <v>6</v>
      </c>
      <c r="H55" s="34">
        <v>8</v>
      </c>
      <c r="K55" s="34">
        <v>2</v>
      </c>
      <c r="N55" s="34">
        <v>11</v>
      </c>
      <c r="O55" s="34">
        <v>7.7</v>
      </c>
      <c r="V55" s="34">
        <f t="shared" ref="V55:V63" si="9">SUM(G55:U55)</f>
        <v>34.700000000000003</v>
      </c>
      <c r="Y55" s="38"/>
    </row>
    <row r="56" spans="1:26" hidden="1" outlineLevel="1" x14ac:dyDescent="0.25">
      <c r="A56" s="34" t="s">
        <v>223</v>
      </c>
      <c r="B56" s="42" t="s">
        <v>71</v>
      </c>
      <c r="C56" s="34">
        <v>2</v>
      </c>
      <c r="G56" s="34">
        <v>34</v>
      </c>
      <c r="H56" s="34">
        <v>32</v>
      </c>
      <c r="O56" s="34">
        <v>6.65</v>
      </c>
      <c r="V56" s="34">
        <f t="shared" si="9"/>
        <v>72.650000000000006</v>
      </c>
      <c r="Y56" s="38"/>
    </row>
    <row r="57" spans="1:26" ht="26.4" hidden="1" outlineLevel="1" x14ac:dyDescent="0.25">
      <c r="A57" s="34" t="s">
        <v>223</v>
      </c>
      <c r="B57" s="42" t="s">
        <v>229</v>
      </c>
      <c r="C57" s="34">
        <v>1</v>
      </c>
      <c r="G57" s="34">
        <v>28</v>
      </c>
      <c r="H57" s="34">
        <v>40</v>
      </c>
      <c r="M57" s="34">
        <v>2</v>
      </c>
      <c r="P57" s="34">
        <v>12.5</v>
      </c>
      <c r="V57" s="34">
        <f t="shared" si="9"/>
        <v>82.5</v>
      </c>
      <c r="Y57" s="38"/>
    </row>
    <row r="58" spans="1:26" hidden="1" outlineLevel="1" x14ac:dyDescent="0.25">
      <c r="V58" s="34">
        <f t="shared" si="9"/>
        <v>0</v>
      </c>
      <c r="Y58" s="38"/>
    </row>
    <row r="59" spans="1:26" hidden="1" outlineLevel="1" x14ac:dyDescent="0.25">
      <c r="V59" s="34">
        <f t="shared" si="9"/>
        <v>0</v>
      </c>
      <c r="Y59" s="38"/>
    </row>
    <row r="60" spans="1:26" hidden="1" outlineLevel="1" x14ac:dyDescent="0.25">
      <c r="V60" s="34">
        <f t="shared" si="9"/>
        <v>0</v>
      </c>
      <c r="Y60" s="38"/>
    </row>
    <row r="61" spans="1:26" hidden="1" outlineLevel="1" x14ac:dyDescent="0.25">
      <c r="V61" s="34">
        <f t="shared" si="9"/>
        <v>0</v>
      </c>
      <c r="Y61" s="38"/>
    </row>
    <row r="62" spans="1:26" hidden="1" outlineLevel="1" x14ac:dyDescent="0.25">
      <c r="V62" s="34">
        <f t="shared" si="9"/>
        <v>0</v>
      </c>
      <c r="Y62" s="38"/>
    </row>
    <row r="63" spans="1:26" hidden="1" outlineLevel="1" x14ac:dyDescent="0.25">
      <c r="V63" s="34">
        <f t="shared" si="9"/>
        <v>0</v>
      </c>
      <c r="Y63" s="38"/>
    </row>
    <row r="64" spans="1:26" hidden="1" outlineLevel="1" x14ac:dyDescent="0.25">
      <c r="B64" s="155" t="s">
        <v>29</v>
      </c>
      <c r="C64" s="155"/>
      <c r="D64" s="155"/>
      <c r="E64" s="155"/>
      <c r="F64" s="155"/>
      <c r="G64" s="155"/>
      <c r="H64" s="155"/>
      <c r="I64" s="155"/>
      <c r="J64" s="155"/>
      <c r="K64" s="155"/>
      <c r="L64" s="155"/>
      <c r="M64" s="155"/>
      <c r="N64" s="155"/>
      <c r="O64" s="155"/>
      <c r="P64" s="155"/>
      <c r="Q64" s="155"/>
      <c r="R64" s="155"/>
      <c r="S64" s="155"/>
      <c r="T64" s="155"/>
      <c r="U64" s="155"/>
      <c r="V64" s="68"/>
      <c r="Y64" s="38"/>
    </row>
    <row r="65" spans="1:25" ht="26.4" hidden="1" outlineLevel="1" x14ac:dyDescent="0.25">
      <c r="A65" s="2" t="s">
        <v>223</v>
      </c>
      <c r="B65" s="82" t="s">
        <v>82</v>
      </c>
      <c r="C65" s="51">
        <v>3</v>
      </c>
      <c r="D65" s="51"/>
      <c r="E65" s="51"/>
      <c r="F65" s="51"/>
      <c r="G65" s="20">
        <v>32</v>
      </c>
      <c r="H65" s="21">
        <v>96</v>
      </c>
      <c r="I65" s="21"/>
      <c r="J65" s="105"/>
      <c r="K65" s="51"/>
      <c r="L65" s="32"/>
      <c r="M65" s="22"/>
      <c r="N65" s="51"/>
      <c r="O65" s="81">
        <v>12.95</v>
      </c>
      <c r="P65" s="22"/>
      <c r="Q65" s="51"/>
      <c r="R65" s="51"/>
      <c r="S65" s="51"/>
      <c r="T65" s="51"/>
      <c r="U65" s="51"/>
      <c r="V65" s="34">
        <f t="shared" ref="V65:V76" si="10">SUM(G65:U65)</f>
        <v>140.94999999999999</v>
      </c>
      <c r="X65" s="38"/>
      <c r="Y65" s="38"/>
    </row>
    <row r="66" spans="1:25" hidden="1" outlineLevel="1" x14ac:dyDescent="0.25">
      <c r="A66" t="s">
        <v>224</v>
      </c>
      <c r="B66" t="s">
        <v>118</v>
      </c>
      <c r="C66">
        <v>2</v>
      </c>
      <c r="D66"/>
      <c r="E66"/>
      <c r="F66"/>
      <c r="G66">
        <v>6</v>
      </c>
      <c r="H66">
        <v>8</v>
      </c>
      <c r="I66"/>
      <c r="J66"/>
      <c r="K66">
        <v>2</v>
      </c>
      <c r="L66"/>
      <c r="M66"/>
      <c r="N66">
        <v>9</v>
      </c>
      <c r="O66">
        <v>6.3</v>
      </c>
      <c r="P66"/>
      <c r="Q66"/>
      <c r="R66"/>
      <c r="S66"/>
      <c r="T66"/>
      <c r="U66"/>
      <c r="V66" s="34">
        <f t="shared" si="10"/>
        <v>31.3</v>
      </c>
      <c r="Y66" s="38"/>
    </row>
    <row r="67" spans="1:25" hidden="1" outlineLevel="1" x14ac:dyDescent="0.25">
      <c r="A67" s="34" t="s">
        <v>223</v>
      </c>
      <c r="B67" s="42" t="s">
        <v>88</v>
      </c>
      <c r="C67" s="34">
        <v>4</v>
      </c>
      <c r="T67" s="34">
        <v>16.5</v>
      </c>
      <c r="V67" s="34">
        <f t="shared" si="10"/>
        <v>16.5</v>
      </c>
      <c r="X67" s="38"/>
      <c r="Y67" s="38"/>
    </row>
    <row r="68" spans="1:25" hidden="1" outlineLevel="1" x14ac:dyDescent="0.25">
      <c r="A68" s="34" t="s">
        <v>224</v>
      </c>
      <c r="B68" s="42" t="s">
        <v>125</v>
      </c>
      <c r="C68" s="34">
        <v>5</v>
      </c>
      <c r="T68" s="34">
        <v>12.5</v>
      </c>
      <c r="V68" s="34">
        <f t="shared" si="10"/>
        <v>12.5</v>
      </c>
      <c r="X68" s="38"/>
      <c r="Y68" s="38"/>
    </row>
    <row r="69" spans="1:25" hidden="1" outlineLevel="1" x14ac:dyDescent="0.25">
      <c r="A69" t="s">
        <v>224</v>
      </c>
      <c r="B69" t="s">
        <v>136</v>
      </c>
      <c r="C69">
        <v>4</v>
      </c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>
        <v>10.5</v>
      </c>
      <c r="U69"/>
      <c r="V69" s="34">
        <f t="shared" si="10"/>
        <v>10.5</v>
      </c>
      <c r="X69" s="38"/>
      <c r="Y69" s="38"/>
    </row>
    <row r="70" spans="1:25" hidden="1" outlineLevel="1" x14ac:dyDescent="0.25">
      <c r="A70" s="34" t="s">
        <v>225</v>
      </c>
      <c r="B70" s="42" t="s">
        <v>158</v>
      </c>
      <c r="C70" s="34">
        <v>2</v>
      </c>
      <c r="T70" s="34">
        <v>1.5</v>
      </c>
      <c r="V70" s="34">
        <f t="shared" si="10"/>
        <v>1.5</v>
      </c>
      <c r="Y70" s="38"/>
    </row>
    <row r="71" spans="1:25" ht="26.4" hidden="1" outlineLevel="1" x14ac:dyDescent="0.25">
      <c r="A71" s="34" t="s">
        <v>224</v>
      </c>
      <c r="B71" s="42" t="s">
        <v>123</v>
      </c>
      <c r="C71" s="34">
        <v>5</v>
      </c>
      <c r="H71" s="37"/>
      <c r="N71" s="38"/>
      <c r="S71" s="34">
        <v>39.6</v>
      </c>
      <c r="V71" s="34">
        <f t="shared" si="10"/>
        <v>39.6</v>
      </c>
      <c r="Y71" s="38"/>
    </row>
    <row r="72" spans="1:25" hidden="1" outlineLevel="1" x14ac:dyDescent="0.25">
      <c r="A72" s="34" t="s">
        <v>226</v>
      </c>
      <c r="B72" s="42" t="s">
        <v>170</v>
      </c>
      <c r="C72" s="34">
        <v>2</v>
      </c>
      <c r="H72" s="37"/>
      <c r="N72" s="38"/>
      <c r="T72" s="34">
        <v>1.5</v>
      </c>
      <c r="V72" s="34">
        <f t="shared" si="10"/>
        <v>1.5</v>
      </c>
      <c r="Y72" s="38"/>
    </row>
    <row r="73" spans="1:25" hidden="1" outlineLevel="1" x14ac:dyDescent="0.25">
      <c r="H73" s="37"/>
      <c r="N73" s="38"/>
      <c r="V73" s="34">
        <f t="shared" si="10"/>
        <v>0</v>
      </c>
      <c r="Y73" s="38"/>
    </row>
    <row r="74" spans="1:25" hidden="1" outlineLevel="1" x14ac:dyDescent="0.25">
      <c r="H74" s="37"/>
      <c r="N74" s="38"/>
      <c r="V74" s="34">
        <f t="shared" si="10"/>
        <v>0</v>
      </c>
      <c r="Y74" s="38"/>
    </row>
    <row r="75" spans="1:25" hidden="1" outlineLevel="1" x14ac:dyDescent="0.25">
      <c r="H75" s="37"/>
      <c r="N75" s="38"/>
      <c r="V75" s="34">
        <f t="shared" si="10"/>
        <v>0</v>
      </c>
      <c r="Y75" s="38"/>
    </row>
    <row r="76" spans="1:25" hidden="1" outlineLevel="1" x14ac:dyDescent="0.25">
      <c r="H76" s="37"/>
      <c r="N76" s="38"/>
      <c r="S76" s="38"/>
      <c r="V76" s="34">
        <f t="shared" si="10"/>
        <v>0</v>
      </c>
      <c r="Y76" s="38"/>
    </row>
    <row r="77" spans="1:25" hidden="1" outlineLevel="1" x14ac:dyDescent="0.25">
      <c r="H77" s="37"/>
      <c r="N77" s="38"/>
      <c r="S77" s="38"/>
      <c r="V77" s="34">
        <f>SUM(G77:U77)</f>
        <v>0</v>
      </c>
      <c r="Y77" s="38"/>
    </row>
    <row r="78" spans="1:25" hidden="1" outlineLevel="1" x14ac:dyDescent="0.25">
      <c r="H78" s="37"/>
      <c r="N78" s="38"/>
      <c r="S78" s="38"/>
      <c r="V78" s="34">
        <f>SUM(G78:U78)</f>
        <v>0</v>
      </c>
      <c r="Y78" s="38"/>
    </row>
    <row r="79" spans="1:25" hidden="1" outlineLevel="1" x14ac:dyDescent="0.25">
      <c r="H79" s="37"/>
      <c r="N79" s="38"/>
      <c r="S79" s="38"/>
      <c r="V79" s="34">
        <f>SUM(G79:U79)</f>
        <v>0</v>
      </c>
      <c r="Y79" s="38"/>
    </row>
    <row r="80" spans="1:25" hidden="1" outlineLevel="1" x14ac:dyDescent="0.25">
      <c r="H80" s="37"/>
      <c r="N80" s="38"/>
      <c r="S80" s="38"/>
      <c r="V80" s="34">
        <f>SUM(G80:U80)</f>
        <v>0</v>
      </c>
      <c r="Y80" s="38"/>
    </row>
    <row r="81" spans="1:26" hidden="1" outlineLevel="1" x14ac:dyDescent="0.25">
      <c r="H81" s="37"/>
      <c r="N81" s="38"/>
      <c r="S81" s="38"/>
      <c r="V81" s="34">
        <f>SUM(G81:U81)</f>
        <v>0</v>
      </c>
      <c r="Y81" s="38"/>
    </row>
    <row r="82" spans="1:26" ht="13.8" hidden="1" outlineLevel="1" thickBot="1" x14ac:dyDescent="0.3">
      <c r="Y82" s="38"/>
    </row>
    <row r="83" spans="1:26" ht="12.75" customHeight="1" x14ac:dyDescent="0.25">
      <c r="A83" s="145">
        <v>3</v>
      </c>
      <c r="B83" s="147" t="s">
        <v>198</v>
      </c>
      <c r="C83" s="149" t="s">
        <v>9</v>
      </c>
      <c r="D83" s="149" t="s">
        <v>12</v>
      </c>
      <c r="E83" s="46" t="s">
        <v>15</v>
      </c>
      <c r="F83" s="66">
        <v>0.75</v>
      </c>
      <c r="G83" s="36">
        <f t="shared" ref="G83:V83" si="11">SUM(G85:G97)</f>
        <v>76</v>
      </c>
      <c r="H83" s="36">
        <f t="shared" si="11"/>
        <v>120</v>
      </c>
      <c r="I83" s="36">
        <f t="shared" si="11"/>
        <v>0</v>
      </c>
      <c r="J83" s="36">
        <f t="shared" si="11"/>
        <v>0</v>
      </c>
      <c r="K83" s="36">
        <f t="shared" si="11"/>
        <v>2</v>
      </c>
      <c r="L83" s="36">
        <f t="shared" si="11"/>
        <v>0</v>
      </c>
      <c r="M83" s="36">
        <f t="shared" si="11"/>
        <v>6</v>
      </c>
      <c r="N83" s="36">
        <f t="shared" si="11"/>
        <v>10</v>
      </c>
      <c r="O83" s="36">
        <f t="shared" si="11"/>
        <v>0</v>
      </c>
      <c r="P83" s="36">
        <f t="shared" si="11"/>
        <v>27</v>
      </c>
      <c r="Q83" s="36">
        <f t="shared" si="11"/>
        <v>0</v>
      </c>
      <c r="R83" s="36">
        <f t="shared" si="11"/>
        <v>0</v>
      </c>
      <c r="S83" s="36">
        <f t="shared" si="11"/>
        <v>0</v>
      </c>
      <c r="T83" s="36">
        <f t="shared" si="11"/>
        <v>0</v>
      </c>
      <c r="U83" s="36">
        <f t="shared" si="11"/>
        <v>15</v>
      </c>
      <c r="V83" s="36">
        <f t="shared" si="11"/>
        <v>256</v>
      </c>
      <c r="W83" s="151">
        <f>V83+V84</f>
        <v>652.6</v>
      </c>
    </row>
    <row r="84" spans="1:26" ht="13.8" collapsed="1" thickBot="1" x14ac:dyDescent="0.3">
      <c r="A84" s="146"/>
      <c r="B84" s="148"/>
      <c r="C84" s="150"/>
      <c r="D84" s="150"/>
      <c r="E84" s="47"/>
      <c r="F84" s="67"/>
      <c r="G84" s="39">
        <f t="shared" ref="G84:U84" si="12">SUM(G98:G116)</f>
        <v>56</v>
      </c>
      <c r="H84" s="39">
        <f t="shared" si="12"/>
        <v>166</v>
      </c>
      <c r="I84" s="39">
        <f t="shared" si="12"/>
        <v>0</v>
      </c>
      <c r="J84" s="39">
        <f t="shared" si="12"/>
        <v>0</v>
      </c>
      <c r="K84" s="39">
        <f t="shared" si="12"/>
        <v>8</v>
      </c>
      <c r="L84" s="39">
        <f t="shared" si="12"/>
        <v>0</v>
      </c>
      <c r="M84" s="39">
        <f t="shared" si="12"/>
        <v>4</v>
      </c>
      <c r="N84" s="39">
        <f t="shared" si="12"/>
        <v>37</v>
      </c>
      <c r="O84" s="39">
        <f t="shared" si="12"/>
        <v>32.200000000000003</v>
      </c>
      <c r="P84" s="39">
        <f t="shared" si="12"/>
        <v>19</v>
      </c>
      <c r="Q84" s="39">
        <f t="shared" si="12"/>
        <v>0</v>
      </c>
      <c r="R84" s="39">
        <f t="shared" si="12"/>
        <v>0</v>
      </c>
      <c r="S84" s="39">
        <f>SUM(S98:S116)</f>
        <v>59.4</v>
      </c>
      <c r="T84" s="39">
        <f t="shared" si="12"/>
        <v>0</v>
      </c>
      <c r="U84" s="39">
        <f t="shared" si="12"/>
        <v>15</v>
      </c>
      <c r="V84" s="39">
        <f>SUM(V98:V116)</f>
        <v>396.6</v>
      </c>
      <c r="W84" s="152"/>
      <c r="Y84" s="38"/>
      <c r="Z84" s="38"/>
    </row>
    <row r="85" spans="1:26" ht="39.6" hidden="1" outlineLevel="1" x14ac:dyDescent="0.25">
      <c r="A85" s="34" t="s">
        <v>223</v>
      </c>
      <c r="B85" s="42" t="s">
        <v>79</v>
      </c>
      <c r="C85" s="34">
        <v>1</v>
      </c>
      <c r="G85" s="34">
        <v>36</v>
      </c>
      <c r="H85" s="34">
        <v>36</v>
      </c>
      <c r="M85" s="34">
        <v>2</v>
      </c>
      <c r="P85" s="34">
        <v>7</v>
      </c>
      <c r="V85" s="34">
        <f t="shared" ref="V85:V94" si="13">SUM(G85:U85)</f>
        <v>81</v>
      </c>
      <c r="Y85" s="38"/>
    </row>
    <row r="86" spans="1:26" hidden="1" outlineLevel="1" x14ac:dyDescent="0.25">
      <c r="A86" s="34" t="s">
        <v>224</v>
      </c>
      <c r="B86" s="42" t="s">
        <v>115</v>
      </c>
      <c r="C86" s="34">
        <v>1</v>
      </c>
      <c r="G86" s="34">
        <v>6</v>
      </c>
      <c r="H86" s="34">
        <v>16</v>
      </c>
      <c r="K86" s="34">
        <v>2</v>
      </c>
      <c r="M86" s="34">
        <v>2</v>
      </c>
      <c r="N86" s="34">
        <v>10</v>
      </c>
      <c r="P86" s="34">
        <v>10</v>
      </c>
      <c r="V86" s="34">
        <f t="shared" si="13"/>
        <v>46</v>
      </c>
      <c r="Y86" s="38"/>
    </row>
    <row r="87" spans="1:26" hidden="1" outlineLevel="1" x14ac:dyDescent="0.25">
      <c r="A87" t="s">
        <v>223</v>
      </c>
      <c r="B87" t="s">
        <v>78</v>
      </c>
      <c r="C87">
        <v>1</v>
      </c>
      <c r="D87"/>
      <c r="E87"/>
      <c r="F87"/>
      <c r="G87">
        <v>34</v>
      </c>
      <c r="H87">
        <v>68</v>
      </c>
      <c r="I87"/>
      <c r="J87"/>
      <c r="K87"/>
      <c r="L87"/>
      <c r="M87">
        <v>2</v>
      </c>
      <c r="N87"/>
      <c r="O87"/>
      <c r="P87">
        <v>10</v>
      </c>
      <c r="Q87"/>
      <c r="R87"/>
      <c r="S87"/>
      <c r="T87"/>
      <c r="U87"/>
      <c r="V87" s="34">
        <f t="shared" si="13"/>
        <v>114</v>
      </c>
      <c r="Y87" s="38"/>
    </row>
    <row r="88" spans="1:26" ht="26.4" hidden="1" outlineLevel="1" x14ac:dyDescent="0.25">
      <c r="A88" s="34" t="s">
        <v>225</v>
      </c>
      <c r="B88" s="42" t="s">
        <v>152</v>
      </c>
      <c r="C88" s="34">
        <v>2</v>
      </c>
      <c r="U88" s="34">
        <v>15</v>
      </c>
      <c r="V88" s="34">
        <f t="shared" si="13"/>
        <v>15</v>
      </c>
      <c r="Y88" s="38"/>
    </row>
    <row r="89" spans="1:26" hidden="1" outlineLevel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 s="34">
        <f t="shared" si="13"/>
        <v>0</v>
      </c>
      <c r="Y89" s="38"/>
    </row>
    <row r="90" spans="1:26" hidden="1" outlineLevel="1" x14ac:dyDescent="0.25">
      <c r="V90" s="34">
        <f t="shared" si="13"/>
        <v>0</v>
      </c>
      <c r="Y90" s="38"/>
    </row>
    <row r="91" spans="1:26" hidden="1" outlineLevel="1" x14ac:dyDescent="0.25">
      <c r="V91" s="34">
        <f t="shared" si="13"/>
        <v>0</v>
      </c>
      <c r="Y91" s="38"/>
    </row>
    <row r="92" spans="1:26" hidden="1" outlineLevel="1" x14ac:dyDescent="0.25">
      <c r="V92" s="34">
        <f t="shared" si="13"/>
        <v>0</v>
      </c>
      <c r="Y92" s="38"/>
    </row>
    <row r="93" spans="1:26" hidden="1" outlineLevel="1" x14ac:dyDescent="0.25">
      <c r="V93" s="34">
        <f t="shared" si="13"/>
        <v>0</v>
      </c>
      <c r="Y93" s="38"/>
    </row>
    <row r="94" spans="1:26" hidden="1" outlineLevel="1" x14ac:dyDescent="0.25">
      <c r="V94" s="34">
        <f t="shared" si="13"/>
        <v>0</v>
      </c>
      <c r="Y94" s="38"/>
    </row>
    <row r="95" spans="1:26" hidden="1" outlineLevel="1" x14ac:dyDescent="0.25">
      <c r="V95" s="34">
        <f>SUM(G95:U95)</f>
        <v>0</v>
      </c>
      <c r="Y95" s="38"/>
    </row>
    <row r="96" spans="1:26" hidden="1" outlineLevel="1" x14ac:dyDescent="0.25">
      <c r="V96" s="34">
        <f t="shared" ref="V96:V97" si="14">SUM(G96:U96)</f>
        <v>0</v>
      </c>
      <c r="Y96" s="38"/>
    </row>
    <row r="97" spans="1:25" hidden="1" outlineLevel="1" x14ac:dyDescent="0.25">
      <c r="V97" s="34">
        <f t="shared" si="14"/>
        <v>0</v>
      </c>
      <c r="Y97" s="38"/>
    </row>
    <row r="98" spans="1:25" hidden="1" outlineLevel="1" x14ac:dyDescent="0.25">
      <c r="B98" s="155" t="s">
        <v>29</v>
      </c>
      <c r="C98" s="155"/>
      <c r="D98" s="155"/>
      <c r="E98" s="155"/>
      <c r="F98" s="155"/>
      <c r="G98" s="155"/>
      <c r="H98" s="155"/>
      <c r="I98" s="155"/>
      <c r="J98" s="155"/>
      <c r="K98" s="155"/>
      <c r="L98" s="155"/>
      <c r="M98" s="155"/>
      <c r="N98" s="155"/>
      <c r="O98" s="155"/>
      <c r="P98" s="155"/>
      <c r="Q98" s="155"/>
      <c r="R98" s="155"/>
      <c r="S98" s="155"/>
      <c r="T98" s="155"/>
      <c r="U98" s="155"/>
      <c r="V98" s="68"/>
    </row>
    <row r="99" spans="1:25" ht="39.6" hidden="1" outlineLevel="1" x14ac:dyDescent="0.25">
      <c r="A99" s="34" t="s">
        <v>223</v>
      </c>
      <c r="B99" s="42" t="s">
        <v>79</v>
      </c>
      <c r="C99" s="34">
        <v>1</v>
      </c>
      <c r="G99" s="34">
        <v>16</v>
      </c>
      <c r="H99" s="34">
        <v>34</v>
      </c>
      <c r="M99" s="34">
        <v>2</v>
      </c>
      <c r="P99" s="34">
        <v>7</v>
      </c>
      <c r="V99" s="34">
        <f t="shared" ref="V99:V115" si="15">SUM(G99:U99)</f>
        <v>59</v>
      </c>
      <c r="X99" s="38"/>
    </row>
    <row r="100" spans="1:25" ht="39.6" hidden="1" outlineLevel="1" x14ac:dyDescent="0.25">
      <c r="A100" s="34" t="s">
        <v>224</v>
      </c>
      <c r="B100" s="42" t="s">
        <v>142</v>
      </c>
      <c r="C100" s="34">
        <v>1</v>
      </c>
      <c r="G100" s="34">
        <v>4</v>
      </c>
      <c r="H100" s="34">
        <v>16</v>
      </c>
      <c r="K100" s="34">
        <v>2</v>
      </c>
      <c r="M100" s="34">
        <v>2</v>
      </c>
      <c r="N100" s="34">
        <v>12</v>
      </c>
      <c r="P100" s="34">
        <v>12</v>
      </c>
      <c r="V100" s="34">
        <f t="shared" si="15"/>
        <v>48</v>
      </c>
    </row>
    <row r="101" spans="1:25" hidden="1" outlineLevel="1" x14ac:dyDescent="0.25">
      <c r="A101" s="34" t="s">
        <v>223</v>
      </c>
      <c r="B101" s="42" t="s">
        <v>76</v>
      </c>
      <c r="C101" s="34">
        <v>1</v>
      </c>
      <c r="G101" s="34">
        <v>16</v>
      </c>
      <c r="H101" s="34">
        <v>68</v>
      </c>
      <c r="O101" s="34">
        <v>7.7</v>
      </c>
      <c r="V101" s="34">
        <f t="shared" si="15"/>
        <v>91.7</v>
      </c>
      <c r="X101" s="38"/>
    </row>
    <row r="102" spans="1:25" ht="39.6" hidden="1" outlineLevel="1" x14ac:dyDescent="0.25">
      <c r="A102" s="34" t="s">
        <v>224</v>
      </c>
      <c r="B102" s="42" t="s">
        <v>143</v>
      </c>
      <c r="C102" s="34">
        <v>3</v>
      </c>
      <c r="G102" s="34">
        <v>10</v>
      </c>
      <c r="H102" s="34">
        <v>24</v>
      </c>
      <c r="K102" s="34">
        <v>4</v>
      </c>
      <c r="N102" s="34">
        <v>17</v>
      </c>
      <c r="O102" s="34">
        <v>11.9</v>
      </c>
      <c r="V102" s="34">
        <f t="shared" si="15"/>
        <v>66.900000000000006</v>
      </c>
      <c r="X102" s="38"/>
    </row>
    <row r="103" spans="1:25" ht="39.6" hidden="1" outlineLevel="1" x14ac:dyDescent="0.25">
      <c r="A103" s="34" t="s">
        <v>224</v>
      </c>
      <c r="B103" s="42" t="s">
        <v>144</v>
      </c>
      <c r="C103" s="34">
        <v>2</v>
      </c>
      <c r="G103" s="34">
        <v>6</v>
      </c>
      <c r="H103" s="34">
        <v>8</v>
      </c>
      <c r="K103" s="34">
        <v>2</v>
      </c>
      <c r="N103" s="34">
        <v>8</v>
      </c>
      <c r="O103" s="34">
        <v>5.6</v>
      </c>
      <c r="V103" s="34">
        <f t="shared" si="15"/>
        <v>29.6</v>
      </c>
      <c r="X103" s="38"/>
    </row>
    <row r="104" spans="1:25" hidden="1" outlineLevel="1" x14ac:dyDescent="0.25">
      <c r="A104" t="s">
        <v>224</v>
      </c>
      <c r="B104" t="s">
        <v>115</v>
      </c>
      <c r="C104">
        <v>1</v>
      </c>
      <c r="D104"/>
      <c r="E104"/>
      <c r="F104"/>
      <c r="G104">
        <v>4</v>
      </c>
      <c r="H104">
        <v>16</v>
      </c>
      <c r="I104"/>
      <c r="J104"/>
      <c r="K104"/>
      <c r="L104"/>
      <c r="M104"/>
      <c r="N104"/>
      <c r="O104">
        <v>7</v>
      </c>
      <c r="P104"/>
      <c r="Q104"/>
      <c r="R104"/>
      <c r="S104"/>
      <c r="T104"/>
      <c r="U104"/>
      <c r="V104" s="34">
        <f t="shared" si="15"/>
        <v>27</v>
      </c>
    </row>
    <row r="105" spans="1:25" ht="26.4" hidden="1" outlineLevel="1" x14ac:dyDescent="0.25">
      <c r="A105" s="34" t="s">
        <v>225</v>
      </c>
      <c r="B105" s="42" t="s">
        <v>152</v>
      </c>
      <c r="C105" s="34">
        <v>2</v>
      </c>
      <c r="H105" s="37"/>
      <c r="N105" s="38"/>
      <c r="U105" s="34">
        <v>15</v>
      </c>
      <c r="V105" s="34">
        <f t="shared" si="15"/>
        <v>15</v>
      </c>
    </row>
    <row r="106" spans="1:25" ht="26.4" hidden="1" outlineLevel="1" x14ac:dyDescent="0.25">
      <c r="A106" s="34" t="s">
        <v>224</v>
      </c>
      <c r="B106" s="42" t="s">
        <v>123</v>
      </c>
      <c r="C106" s="34">
        <v>5</v>
      </c>
      <c r="H106" s="37"/>
      <c r="N106" s="38"/>
      <c r="S106" s="34">
        <v>59.4</v>
      </c>
      <c r="V106" s="34">
        <f t="shared" si="15"/>
        <v>59.4</v>
      </c>
    </row>
    <row r="107" spans="1:25" hidden="1" outlineLevel="1" x14ac:dyDescent="0.25">
      <c r="H107" s="37"/>
      <c r="N107" s="38"/>
      <c r="V107" s="34">
        <f t="shared" si="15"/>
        <v>0</v>
      </c>
    </row>
    <row r="108" spans="1:25" hidden="1" outlineLevel="1" x14ac:dyDescent="0.25">
      <c r="H108" s="37"/>
      <c r="N108" s="38"/>
      <c r="V108" s="34">
        <f t="shared" si="15"/>
        <v>0</v>
      </c>
    </row>
    <row r="109" spans="1:25" hidden="1" outlineLevel="1" x14ac:dyDescent="0.25">
      <c r="H109" s="37"/>
      <c r="N109" s="38"/>
      <c r="V109" s="34">
        <f t="shared" si="15"/>
        <v>0</v>
      </c>
    </row>
    <row r="110" spans="1:25" hidden="1" outlineLevel="1" x14ac:dyDescent="0.25">
      <c r="H110" s="37"/>
      <c r="N110" s="38"/>
      <c r="S110" s="38"/>
      <c r="V110" s="34">
        <f t="shared" si="15"/>
        <v>0</v>
      </c>
    </row>
    <row r="111" spans="1:25" hidden="1" outlineLevel="1" x14ac:dyDescent="0.25">
      <c r="H111" s="37"/>
      <c r="N111" s="38"/>
      <c r="S111" s="38"/>
      <c r="V111" s="34">
        <f t="shared" si="15"/>
        <v>0</v>
      </c>
    </row>
    <row r="112" spans="1:25" hidden="1" outlineLevel="1" x14ac:dyDescent="0.25">
      <c r="H112" s="37"/>
      <c r="N112" s="38"/>
      <c r="S112" s="38"/>
      <c r="V112" s="34">
        <f t="shared" si="15"/>
        <v>0</v>
      </c>
    </row>
    <row r="113" spans="1:25" hidden="1" outlineLevel="1" x14ac:dyDescent="0.25">
      <c r="H113" s="37"/>
      <c r="N113" s="38"/>
      <c r="S113" s="38"/>
      <c r="V113" s="34">
        <f t="shared" si="15"/>
        <v>0</v>
      </c>
    </row>
    <row r="114" spans="1:25" hidden="1" outlineLevel="1" x14ac:dyDescent="0.25">
      <c r="H114" s="37"/>
      <c r="N114" s="38"/>
      <c r="S114" s="38"/>
      <c r="V114" s="34">
        <f t="shared" si="15"/>
        <v>0</v>
      </c>
    </row>
    <row r="115" spans="1:25" hidden="1" outlineLevel="1" x14ac:dyDescent="0.25">
      <c r="H115" s="37"/>
      <c r="N115" s="38"/>
      <c r="S115" s="38"/>
      <c r="V115" s="34">
        <f t="shared" si="15"/>
        <v>0</v>
      </c>
    </row>
    <row r="116" spans="1:25" ht="13.8" hidden="1" outlineLevel="1" thickBot="1" x14ac:dyDescent="0.3"/>
    <row r="117" spans="1:25" x14ac:dyDescent="0.25">
      <c r="A117" s="145">
        <v>4</v>
      </c>
      <c r="B117" s="147" t="s">
        <v>199</v>
      </c>
      <c r="C117" s="149" t="s">
        <v>9</v>
      </c>
      <c r="D117" s="149" t="s">
        <v>12</v>
      </c>
      <c r="E117" s="46"/>
      <c r="F117" s="66"/>
      <c r="G117" s="36">
        <f t="shared" ref="G117:U117" si="16">SUM(G119:G129)</f>
        <v>54</v>
      </c>
      <c r="H117" s="36">
        <f t="shared" si="16"/>
        <v>202</v>
      </c>
      <c r="I117" s="36">
        <f t="shared" si="16"/>
        <v>0</v>
      </c>
      <c r="J117" s="36">
        <f t="shared" si="16"/>
        <v>0</v>
      </c>
      <c r="K117" s="36">
        <f t="shared" si="16"/>
        <v>2</v>
      </c>
      <c r="L117" s="36">
        <f t="shared" si="16"/>
        <v>0</v>
      </c>
      <c r="M117" s="36">
        <f t="shared" si="16"/>
        <v>8</v>
      </c>
      <c r="N117" s="36">
        <f t="shared" si="16"/>
        <v>3.5</v>
      </c>
      <c r="O117" s="36">
        <f t="shared" si="16"/>
        <v>0</v>
      </c>
      <c r="P117" s="36">
        <f t="shared" si="16"/>
        <v>32</v>
      </c>
      <c r="Q117" s="36">
        <f t="shared" si="16"/>
        <v>0</v>
      </c>
      <c r="R117" s="36">
        <f t="shared" si="16"/>
        <v>0</v>
      </c>
      <c r="S117" s="36">
        <f t="shared" si="16"/>
        <v>0</v>
      </c>
      <c r="T117" s="36">
        <f t="shared" si="16"/>
        <v>0</v>
      </c>
      <c r="U117" s="36">
        <f t="shared" si="16"/>
        <v>45</v>
      </c>
      <c r="V117" s="36">
        <f>SUM(V119:V129)</f>
        <v>346.5</v>
      </c>
      <c r="W117" s="151">
        <f>V117+V118</f>
        <v>632.1</v>
      </c>
    </row>
    <row r="118" spans="1:25" ht="13.8" collapsed="1" thickBot="1" x14ac:dyDescent="0.3">
      <c r="A118" s="146"/>
      <c r="B118" s="148"/>
      <c r="C118" s="150"/>
      <c r="D118" s="150"/>
      <c r="E118" s="47" t="s">
        <v>33</v>
      </c>
      <c r="F118" s="67">
        <v>0.75</v>
      </c>
      <c r="G118" s="39">
        <f>SUM(G130:G147)</f>
        <v>14</v>
      </c>
      <c r="H118" s="41">
        <f>SUM(H130:H147)</f>
        <v>32</v>
      </c>
      <c r="I118" s="39">
        <f>SUM(I130:I147)</f>
        <v>0</v>
      </c>
      <c r="J118" s="39">
        <f>SUM(J130:J147)</f>
        <v>0</v>
      </c>
      <c r="K118" s="39">
        <f t="shared" ref="K118:U118" si="17">SUM(K130:K147)</f>
        <v>4</v>
      </c>
      <c r="L118" s="39">
        <f t="shared" si="17"/>
        <v>0</v>
      </c>
      <c r="M118" s="39">
        <f t="shared" si="17"/>
        <v>4</v>
      </c>
      <c r="N118" s="39">
        <f>SUM(N130:N147)</f>
        <v>24</v>
      </c>
      <c r="O118" s="39">
        <f t="shared" si="17"/>
        <v>0</v>
      </c>
      <c r="P118" s="39">
        <f t="shared" si="17"/>
        <v>24</v>
      </c>
      <c r="Q118" s="39">
        <f t="shared" si="17"/>
        <v>0</v>
      </c>
      <c r="R118" s="39">
        <f t="shared" si="17"/>
        <v>0</v>
      </c>
      <c r="S118" s="39">
        <f t="shared" si="17"/>
        <v>138.6</v>
      </c>
      <c r="T118" s="39">
        <f t="shared" si="17"/>
        <v>0</v>
      </c>
      <c r="U118" s="39">
        <f t="shared" si="17"/>
        <v>45</v>
      </c>
      <c r="V118" s="39">
        <f>SUM(V130:V147)</f>
        <v>285.60000000000002</v>
      </c>
      <c r="W118" s="152"/>
      <c r="Y118" s="38"/>
    </row>
    <row r="119" spans="1:25" ht="26.4" hidden="1" outlineLevel="1" x14ac:dyDescent="0.25">
      <c r="A119" s="34" t="s">
        <v>223</v>
      </c>
      <c r="B119" s="42" t="s">
        <v>66</v>
      </c>
      <c r="C119" s="34">
        <v>3</v>
      </c>
      <c r="G119" s="34">
        <v>32</v>
      </c>
      <c r="H119" s="34">
        <v>96</v>
      </c>
      <c r="M119" s="34">
        <v>4</v>
      </c>
      <c r="P119" s="34">
        <v>18.5</v>
      </c>
      <c r="V119" s="34">
        <f t="shared" ref="V119:V128" si="18">SUM(G119:U119)</f>
        <v>150.5</v>
      </c>
    </row>
    <row r="120" spans="1:25" ht="39.6" hidden="1" outlineLevel="1" x14ac:dyDescent="0.25">
      <c r="A120" s="34" t="s">
        <v>223</v>
      </c>
      <c r="B120" s="42" t="s">
        <v>77</v>
      </c>
      <c r="C120" s="34">
        <v>1</v>
      </c>
      <c r="G120" s="34">
        <v>16</v>
      </c>
      <c r="H120" s="34">
        <v>100</v>
      </c>
      <c r="M120" s="34">
        <v>2</v>
      </c>
      <c r="P120" s="34">
        <v>10</v>
      </c>
      <c r="V120" s="34">
        <f t="shared" si="18"/>
        <v>128</v>
      </c>
    </row>
    <row r="121" spans="1:25" ht="39.6" hidden="1" outlineLevel="1" x14ac:dyDescent="0.25">
      <c r="A121" s="34" t="s">
        <v>224</v>
      </c>
      <c r="B121" s="42" t="s">
        <v>117</v>
      </c>
      <c r="C121" s="34">
        <v>1</v>
      </c>
      <c r="G121" s="34">
        <v>6</v>
      </c>
      <c r="H121" s="34">
        <v>6</v>
      </c>
      <c r="K121" s="34">
        <v>2</v>
      </c>
      <c r="M121" s="34">
        <v>2</v>
      </c>
      <c r="N121" s="34">
        <v>3.5</v>
      </c>
      <c r="P121" s="34">
        <v>3.5</v>
      </c>
      <c r="V121" s="34">
        <f t="shared" si="18"/>
        <v>23</v>
      </c>
    </row>
    <row r="122" spans="1:25" ht="26.4" hidden="1" outlineLevel="1" x14ac:dyDescent="0.25">
      <c r="A122" s="34" t="s">
        <v>225</v>
      </c>
      <c r="B122" s="42" t="s">
        <v>152</v>
      </c>
      <c r="C122" s="34">
        <v>2</v>
      </c>
      <c r="U122" s="34">
        <v>15</v>
      </c>
      <c r="V122" s="34">
        <f t="shared" si="18"/>
        <v>15</v>
      </c>
    </row>
    <row r="123" spans="1:25" hidden="1" outlineLevel="1" x14ac:dyDescent="0.25">
      <c r="A123" t="s">
        <v>225</v>
      </c>
      <c r="B123" t="s">
        <v>147</v>
      </c>
      <c r="C123">
        <v>1</v>
      </c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>
        <v>30</v>
      </c>
      <c r="V123" s="34">
        <f t="shared" si="18"/>
        <v>30</v>
      </c>
    </row>
    <row r="124" spans="1:25" hidden="1" outlineLevel="1" x14ac:dyDescent="0.25">
      <c r="V124" s="34">
        <f t="shared" si="18"/>
        <v>0</v>
      </c>
    </row>
    <row r="125" spans="1:25" hidden="1" outlineLevel="1" x14ac:dyDescent="0.25">
      <c r="V125" s="34">
        <f t="shared" si="18"/>
        <v>0</v>
      </c>
    </row>
    <row r="126" spans="1:25" hidden="1" outlineLevel="1" x14ac:dyDescent="0.25">
      <c r="V126" s="34">
        <f t="shared" si="18"/>
        <v>0</v>
      </c>
    </row>
    <row r="127" spans="1:25" hidden="1" outlineLevel="1" x14ac:dyDescent="0.25">
      <c r="V127" s="34">
        <f t="shared" si="18"/>
        <v>0</v>
      </c>
    </row>
    <row r="128" spans="1:25" hidden="1" outlineLevel="1" x14ac:dyDescent="0.25">
      <c r="V128" s="34">
        <f t="shared" si="18"/>
        <v>0</v>
      </c>
    </row>
    <row r="129" spans="1:24" hidden="1" outlineLevel="1" x14ac:dyDescent="0.25">
      <c r="B129" s="155" t="s">
        <v>29</v>
      </c>
      <c r="C129" s="155"/>
      <c r="D129" s="155"/>
      <c r="E129" s="155"/>
      <c r="F129" s="155"/>
      <c r="G129" s="155"/>
      <c r="H129" s="155"/>
      <c r="I129" s="155"/>
      <c r="J129" s="155"/>
      <c r="K129" s="155"/>
      <c r="L129" s="155"/>
      <c r="M129" s="155"/>
      <c r="N129" s="155"/>
      <c r="O129" s="155"/>
      <c r="P129" s="155"/>
      <c r="Q129" s="155"/>
      <c r="R129" s="155"/>
      <c r="S129" s="155"/>
      <c r="T129" s="155"/>
      <c r="U129" s="155"/>
      <c r="V129" s="68"/>
    </row>
    <row r="130" spans="1:24" ht="26.4" hidden="1" outlineLevel="1" x14ac:dyDescent="0.25">
      <c r="A130" s="34" t="s">
        <v>224</v>
      </c>
      <c r="B130" s="42" t="s">
        <v>119</v>
      </c>
      <c r="C130" s="34">
        <v>3</v>
      </c>
      <c r="G130" s="34">
        <v>6</v>
      </c>
      <c r="H130" s="34">
        <v>16</v>
      </c>
      <c r="K130" s="34">
        <v>2</v>
      </c>
      <c r="M130" s="34">
        <v>2</v>
      </c>
      <c r="N130" s="34">
        <v>13</v>
      </c>
      <c r="P130" s="34">
        <v>13</v>
      </c>
      <c r="V130" s="34">
        <f t="shared" ref="V130:V146" si="19">SUM(G130:U130)</f>
        <v>52</v>
      </c>
      <c r="X130" s="38"/>
    </row>
    <row r="131" spans="1:24" hidden="1" outlineLevel="1" x14ac:dyDescent="0.25">
      <c r="A131" t="s">
        <v>224</v>
      </c>
      <c r="B131" t="s">
        <v>129</v>
      </c>
      <c r="C131">
        <v>1</v>
      </c>
      <c r="D131"/>
      <c r="E131"/>
      <c r="F131"/>
      <c r="G131">
        <v>8</v>
      </c>
      <c r="H131">
        <v>16</v>
      </c>
      <c r="I131"/>
      <c r="J131"/>
      <c r="K131">
        <v>2</v>
      </c>
      <c r="L131"/>
      <c r="M131">
        <v>2</v>
      </c>
      <c r="N131">
        <v>11</v>
      </c>
      <c r="O131"/>
      <c r="P131">
        <v>11</v>
      </c>
      <c r="Q131"/>
      <c r="R131"/>
      <c r="S131"/>
      <c r="T131"/>
      <c r="U131"/>
      <c r="V131" s="34">
        <f t="shared" si="19"/>
        <v>50</v>
      </c>
    </row>
    <row r="132" spans="1:24" ht="26.4" hidden="1" outlineLevel="1" x14ac:dyDescent="0.25">
      <c r="A132" s="34" t="s">
        <v>223</v>
      </c>
      <c r="B132" s="42" t="s">
        <v>86</v>
      </c>
      <c r="C132" s="34">
        <v>4</v>
      </c>
      <c r="S132" s="34">
        <v>59.4</v>
      </c>
      <c r="V132" s="34">
        <f t="shared" si="19"/>
        <v>59.4</v>
      </c>
      <c r="X132" s="38"/>
    </row>
    <row r="133" spans="1:24" ht="26.4" hidden="1" outlineLevel="1" x14ac:dyDescent="0.25">
      <c r="A133" s="34" t="s">
        <v>225</v>
      </c>
      <c r="B133" s="42" t="s">
        <v>152</v>
      </c>
      <c r="C133" s="34">
        <v>2</v>
      </c>
      <c r="U133" s="34">
        <v>15</v>
      </c>
      <c r="V133" s="34">
        <f t="shared" si="19"/>
        <v>15</v>
      </c>
      <c r="X133" s="38"/>
    </row>
    <row r="134" spans="1:24" ht="26.4" hidden="1" outlineLevel="1" x14ac:dyDescent="0.25">
      <c r="A134" s="34" t="s">
        <v>224</v>
      </c>
      <c r="B134" s="42" t="s">
        <v>123</v>
      </c>
      <c r="C134" s="34">
        <v>5</v>
      </c>
      <c r="S134" s="34">
        <v>79.2</v>
      </c>
      <c r="V134" s="34">
        <f t="shared" si="19"/>
        <v>79.2</v>
      </c>
      <c r="X134" s="38"/>
    </row>
    <row r="135" spans="1:24" hidden="1" outlineLevel="1" x14ac:dyDescent="0.25">
      <c r="A135" t="s">
        <v>225</v>
      </c>
      <c r="B135" t="s">
        <v>147</v>
      </c>
      <c r="C135">
        <v>1</v>
      </c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>
        <v>30</v>
      </c>
      <c r="V135" s="34">
        <f t="shared" si="19"/>
        <v>30</v>
      </c>
    </row>
    <row r="136" spans="1:24" hidden="1" outlineLevel="1" x14ac:dyDescent="0.25">
      <c r="H136" s="37"/>
      <c r="N136" s="38"/>
      <c r="V136" s="34">
        <f t="shared" si="19"/>
        <v>0</v>
      </c>
    </row>
    <row r="137" spans="1:24" hidden="1" outlineLevel="1" x14ac:dyDescent="0.25">
      <c r="H137" s="37"/>
      <c r="N137" s="38"/>
      <c r="V137" s="34">
        <f t="shared" si="19"/>
        <v>0</v>
      </c>
    </row>
    <row r="138" spans="1:24" hidden="1" outlineLevel="1" x14ac:dyDescent="0.25">
      <c r="H138" s="37"/>
      <c r="N138" s="38"/>
      <c r="V138" s="34">
        <f t="shared" si="19"/>
        <v>0</v>
      </c>
    </row>
    <row r="139" spans="1:24" hidden="1" outlineLevel="1" x14ac:dyDescent="0.25">
      <c r="H139" s="37"/>
      <c r="N139" s="38"/>
      <c r="V139" s="34">
        <f t="shared" si="19"/>
        <v>0</v>
      </c>
    </row>
    <row r="140" spans="1:24" hidden="1" outlineLevel="1" x14ac:dyDescent="0.25">
      <c r="H140" s="37"/>
      <c r="N140" s="38"/>
      <c r="V140" s="34">
        <f t="shared" si="19"/>
        <v>0</v>
      </c>
    </row>
    <row r="141" spans="1:24" hidden="1" outlineLevel="1" x14ac:dyDescent="0.25">
      <c r="H141" s="37"/>
      <c r="N141" s="38"/>
      <c r="S141" s="38"/>
      <c r="V141" s="34">
        <f t="shared" si="19"/>
        <v>0</v>
      </c>
    </row>
    <row r="142" spans="1:24" hidden="1" outlineLevel="1" x14ac:dyDescent="0.25">
      <c r="H142" s="37"/>
      <c r="N142" s="38"/>
      <c r="S142" s="38"/>
      <c r="V142" s="34">
        <f t="shared" si="19"/>
        <v>0</v>
      </c>
    </row>
    <row r="143" spans="1:24" hidden="1" outlineLevel="1" x14ac:dyDescent="0.25">
      <c r="H143" s="37"/>
      <c r="N143" s="38"/>
      <c r="S143" s="38"/>
      <c r="V143" s="34">
        <f t="shared" si="19"/>
        <v>0</v>
      </c>
    </row>
    <row r="144" spans="1:24" hidden="1" outlineLevel="1" x14ac:dyDescent="0.25">
      <c r="H144" s="37"/>
      <c r="N144" s="38"/>
      <c r="S144" s="38"/>
      <c r="V144" s="34">
        <f t="shared" si="19"/>
        <v>0</v>
      </c>
    </row>
    <row r="145" spans="1:25" hidden="1" outlineLevel="1" x14ac:dyDescent="0.25">
      <c r="H145" s="37"/>
      <c r="N145" s="38"/>
      <c r="S145" s="38"/>
      <c r="V145" s="34">
        <f t="shared" si="19"/>
        <v>0</v>
      </c>
    </row>
    <row r="146" spans="1:25" hidden="1" outlineLevel="1" x14ac:dyDescent="0.25">
      <c r="H146" s="37"/>
      <c r="N146" s="38"/>
      <c r="S146" s="38"/>
      <c r="V146" s="34">
        <f t="shared" si="19"/>
        <v>0</v>
      </c>
    </row>
    <row r="147" spans="1:25" ht="13.8" hidden="1" outlineLevel="1" thickBot="1" x14ac:dyDescent="0.3"/>
    <row r="148" spans="1:25" ht="12.75" customHeight="1" x14ac:dyDescent="0.25">
      <c r="A148" s="145">
        <v>5</v>
      </c>
      <c r="B148" s="147" t="s">
        <v>200</v>
      </c>
      <c r="C148" s="149" t="s">
        <v>9</v>
      </c>
      <c r="D148" s="149" t="s">
        <v>12</v>
      </c>
      <c r="E148" s="46" t="s">
        <v>15</v>
      </c>
      <c r="F148" s="66">
        <v>0.5</v>
      </c>
      <c r="G148" s="36">
        <f t="shared" ref="G148:U148" si="20">SUM(G150:G160)</f>
        <v>62</v>
      </c>
      <c r="H148" s="36">
        <f t="shared" si="20"/>
        <v>80</v>
      </c>
      <c r="I148" s="36">
        <f t="shared" si="20"/>
        <v>16</v>
      </c>
      <c r="J148" s="36">
        <f t="shared" si="20"/>
        <v>0</v>
      </c>
      <c r="K148" s="36">
        <f t="shared" si="20"/>
        <v>0</v>
      </c>
      <c r="L148" s="36">
        <f t="shared" si="20"/>
        <v>0</v>
      </c>
      <c r="M148" s="36">
        <f t="shared" si="20"/>
        <v>4</v>
      </c>
      <c r="N148" s="36">
        <f t="shared" si="20"/>
        <v>0</v>
      </c>
      <c r="O148" s="36">
        <f t="shared" si="20"/>
        <v>11.2</v>
      </c>
      <c r="P148" s="36">
        <f t="shared" si="20"/>
        <v>14</v>
      </c>
      <c r="Q148" s="36">
        <f t="shared" si="20"/>
        <v>0</v>
      </c>
      <c r="R148" s="36">
        <f t="shared" si="20"/>
        <v>0</v>
      </c>
      <c r="S148" s="36">
        <f t="shared" si="20"/>
        <v>0</v>
      </c>
      <c r="T148" s="36">
        <f t="shared" si="20"/>
        <v>0</v>
      </c>
      <c r="U148" s="36">
        <f t="shared" si="20"/>
        <v>45</v>
      </c>
      <c r="V148" s="36">
        <f>SUM(V150:V160)</f>
        <v>232.2</v>
      </c>
      <c r="W148" s="151">
        <f>V148+V149</f>
        <v>581.9</v>
      </c>
    </row>
    <row r="149" spans="1:25" ht="13.8" collapsed="1" thickBot="1" x14ac:dyDescent="0.3">
      <c r="A149" s="146"/>
      <c r="B149" s="148"/>
      <c r="C149" s="150"/>
      <c r="D149" s="150"/>
      <c r="E149" s="47"/>
      <c r="F149" s="67"/>
      <c r="G149" s="39">
        <f>SUM(G161:G178)</f>
        <v>24</v>
      </c>
      <c r="H149" s="41">
        <f>SUM(H161:H178)</f>
        <v>24</v>
      </c>
      <c r="I149" s="39">
        <f>SUM(I161:I178)</f>
        <v>4</v>
      </c>
      <c r="J149" s="39">
        <f>SUM(J161:J178)</f>
        <v>0</v>
      </c>
      <c r="K149" s="39">
        <f t="shared" ref="K149:U149" si="21">SUM(K161:K178)</f>
        <v>0</v>
      </c>
      <c r="L149" s="39">
        <f t="shared" si="21"/>
        <v>0</v>
      </c>
      <c r="M149" s="39">
        <f t="shared" si="21"/>
        <v>2</v>
      </c>
      <c r="N149" s="39">
        <f t="shared" si="21"/>
        <v>0</v>
      </c>
      <c r="O149" s="39">
        <f t="shared" si="21"/>
        <v>2.1</v>
      </c>
      <c r="P149" s="39">
        <f t="shared" si="21"/>
        <v>1.5</v>
      </c>
      <c r="Q149" s="39">
        <f t="shared" si="21"/>
        <v>0</v>
      </c>
      <c r="R149" s="39">
        <f t="shared" si="21"/>
        <v>66</v>
      </c>
      <c r="S149" s="39">
        <f t="shared" si="21"/>
        <v>138.6</v>
      </c>
      <c r="T149" s="39">
        <f t="shared" si="21"/>
        <v>42.5</v>
      </c>
      <c r="U149" s="39">
        <f t="shared" si="21"/>
        <v>45</v>
      </c>
      <c r="V149" s="39">
        <f>SUM(V161:V178)</f>
        <v>349.7</v>
      </c>
      <c r="W149" s="152"/>
      <c r="Y149" s="38"/>
    </row>
    <row r="150" spans="1:25" hidden="1" outlineLevel="1" x14ac:dyDescent="0.25">
      <c r="A150" s="2" t="s">
        <v>223</v>
      </c>
      <c r="B150" s="82" t="s">
        <v>76</v>
      </c>
      <c r="C150" s="51">
        <v>1</v>
      </c>
      <c r="D150" s="51"/>
      <c r="E150" s="51"/>
      <c r="F150" s="51"/>
      <c r="G150" s="51">
        <v>34</v>
      </c>
      <c r="H150" s="51">
        <v>32</v>
      </c>
      <c r="I150" s="51"/>
      <c r="J150" s="51"/>
      <c r="K150" s="51"/>
      <c r="L150" s="51"/>
      <c r="M150" s="51">
        <v>2</v>
      </c>
      <c r="N150" s="51"/>
      <c r="O150" s="51"/>
      <c r="P150" s="51">
        <v>11</v>
      </c>
      <c r="Q150" s="51"/>
      <c r="R150" s="51"/>
      <c r="S150" s="51"/>
      <c r="T150" s="51"/>
      <c r="U150" s="51"/>
      <c r="V150" s="34">
        <f t="shared" ref="V150:V159" si="22">SUM(G150:U150)</f>
        <v>79</v>
      </c>
    </row>
    <row r="151" spans="1:25" hidden="1" outlineLevel="1" x14ac:dyDescent="0.25">
      <c r="A151" s="2" t="s">
        <v>224</v>
      </c>
      <c r="B151" s="82" t="s">
        <v>116</v>
      </c>
      <c r="C151" s="51">
        <v>1</v>
      </c>
      <c r="D151" s="51"/>
      <c r="E151" s="51"/>
      <c r="F151" s="51"/>
      <c r="G151" s="51">
        <v>4</v>
      </c>
      <c r="H151" s="51">
        <v>24</v>
      </c>
      <c r="I151" s="51"/>
      <c r="J151" s="51"/>
      <c r="K151" s="51"/>
      <c r="L151" s="51"/>
      <c r="M151" s="51"/>
      <c r="N151" s="51"/>
      <c r="O151" s="51">
        <v>11.2</v>
      </c>
      <c r="P151" s="51"/>
      <c r="Q151" s="51"/>
      <c r="R151" s="51"/>
      <c r="S151" s="51"/>
      <c r="T151" s="51"/>
      <c r="U151" s="51"/>
      <c r="V151" s="34">
        <f t="shared" si="22"/>
        <v>39.200000000000003</v>
      </c>
    </row>
    <row r="152" spans="1:25" ht="39.6" hidden="1" outlineLevel="1" x14ac:dyDescent="0.25">
      <c r="A152" s="2" t="s">
        <v>225</v>
      </c>
      <c r="B152" s="82" t="s">
        <v>145</v>
      </c>
      <c r="C152" s="51">
        <v>1</v>
      </c>
      <c r="D152" s="51"/>
      <c r="E152" s="51"/>
      <c r="F152" s="51"/>
      <c r="G152" s="51">
        <v>24</v>
      </c>
      <c r="H152" s="51">
        <v>24</v>
      </c>
      <c r="I152" s="51">
        <v>16</v>
      </c>
      <c r="J152" s="51"/>
      <c r="K152" s="51"/>
      <c r="L152" s="51"/>
      <c r="M152" s="51">
        <v>2</v>
      </c>
      <c r="N152" s="51"/>
      <c r="O152" s="51"/>
      <c r="P152" s="51">
        <v>3</v>
      </c>
      <c r="Q152" s="51"/>
      <c r="R152" s="51"/>
      <c r="S152" s="51"/>
      <c r="T152" s="51"/>
      <c r="U152" s="51"/>
      <c r="V152" s="34">
        <f t="shared" si="22"/>
        <v>69</v>
      </c>
    </row>
    <row r="153" spans="1:25" ht="26.4" hidden="1" outlineLevel="1" x14ac:dyDescent="0.25">
      <c r="A153" s="2" t="s">
        <v>225</v>
      </c>
      <c r="B153" s="82" t="s">
        <v>152</v>
      </c>
      <c r="C153" s="51">
        <v>2</v>
      </c>
      <c r="D153" s="51"/>
      <c r="E153" s="51"/>
      <c r="F153" s="51"/>
      <c r="G153" s="51"/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>
        <v>15</v>
      </c>
      <c r="V153" s="34">
        <f t="shared" si="22"/>
        <v>15</v>
      </c>
    </row>
    <row r="154" spans="1:25" ht="26.4" hidden="1" outlineLevel="1" x14ac:dyDescent="0.25">
      <c r="A154" s="2" t="s">
        <v>225</v>
      </c>
      <c r="B154" s="82" t="s">
        <v>147</v>
      </c>
      <c r="C154" s="51">
        <v>1</v>
      </c>
      <c r="D154" s="51"/>
      <c r="E154" s="51"/>
      <c r="F154" s="51"/>
      <c r="G154" s="51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1"/>
      <c r="S154" s="51"/>
      <c r="T154" s="51"/>
      <c r="U154" s="51">
        <v>15</v>
      </c>
      <c r="V154" s="34">
        <f t="shared" si="22"/>
        <v>15</v>
      </c>
    </row>
    <row r="155" spans="1:25" ht="26.4" hidden="1" outlineLevel="1" x14ac:dyDescent="0.25">
      <c r="A155" s="34" t="s">
        <v>226</v>
      </c>
      <c r="B155" s="42" t="s">
        <v>162</v>
      </c>
      <c r="C155" s="34">
        <v>2</v>
      </c>
      <c r="U155" s="34">
        <v>15</v>
      </c>
      <c r="V155" s="34">
        <f t="shared" si="22"/>
        <v>15</v>
      </c>
    </row>
    <row r="156" spans="1:25" hidden="1" outlineLevel="1" x14ac:dyDescent="0.25">
      <c r="V156" s="34">
        <f t="shared" si="22"/>
        <v>0</v>
      </c>
    </row>
    <row r="157" spans="1:25" hidden="1" outlineLevel="1" x14ac:dyDescent="0.25">
      <c r="V157" s="34">
        <f t="shared" si="22"/>
        <v>0</v>
      </c>
    </row>
    <row r="158" spans="1:25" hidden="1" outlineLevel="1" x14ac:dyDescent="0.25">
      <c r="V158" s="34">
        <f t="shared" si="22"/>
        <v>0</v>
      </c>
    </row>
    <row r="159" spans="1:25" hidden="1" outlineLevel="1" x14ac:dyDescent="0.25">
      <c r="V159" s="34">
        <f t="shared" si="22"/>
        <v>0</v>
      </c>
    </row>
    <row r="160" spans="1:25" hidden="1" outlineLevel="1" x14ac:dyDescent="0.25">
      <c r="B160" s="155" t="s">
        <v>29</v>
      </c>
      <c r="C160" s="155"/>
      <c r="D160" s="155"/>
      <c r="E160" s="155"/>
      <c r="F160" s="155"/>
      <c r="G160" s="155"/>
      <c r="H160" s="155"/>
      <c r="I160" s="155"/>
      <c r="J160" s="155"/>
      <c r="K160" s="155"/>
      <c r="L160" s="155"/>
      <c r="M160" s="155"/>
      <c r="N160" s="155"/>
      <c r="O160" s="155"/>
      <c r="P160" s="155"/>
      <c r="Q160" s="155"/>
      <c r="R160" s="155"/>
      <c r="S160" s="155"/>
      <c r="T160" s="155"/>
      <c r="U160" s="155"/>
      <c r="V160" s="68"/>
    </row>
    <row r="161" spans="1:27" ht="39.6" hidden="1" outlineLevel="1" x14ac:dyDescent="0.25">
      <c r="A161" s="2" t="s">
        <v>225</v>
      </c>
      <c r="B161" s="82" t="s">
        <v>155</v>
      </c>
      <c r="C161" s="51">
        <v>1</v>
      </c>
      <c r="D161" s="51"/>
      <c r="E161" s="51"/>
      <c r="F161" s="51"/>
      <c r="G161" s="20">
        <v>18</v>
      </c>
      <c r="H161" s="21">
        <v>18</v>
      </c>
      <c r="I161" s="21"/>
      <c r="J161" s="105"/>
      <c r="K161" s="51"/>
      <c r="L161" s="32"/>
      <c r="M161" s="22"/>
      <c r="N161" s="51"/>
      <c r="O161" s="81">
        <v>2.1</v>
      </c>
      <c r="P161" s="22"/>
      <c r="Q161" s="51"/>
      <c r="R161" s="51"/>
      <c r="S161" s="51"/>
      <c r="T161" s="51"/>
      <c r="U161" s="51"/>
      <c r="V161" s="34">
        <f t="shared" ref="V161:V177" si="23">SUM(G161:U161)</f>
        <v>38.1</v>
      </c>
      <c r="X161" s="38"/>
    </row>
    <row r="162" spans="1:27" hidden="1" outlineLevel="1" x14ac:dyDescent="0.25">
      <c r="A162" s="2" t="s">
        <v>223</v>
      </c>
      <c r="B162" s="82" t="s">
        <v>88</v>
      </c>
      <c r="C162" s="51">
        <v>4</v>
      </c>
      <c r="D162" s="51"/>
      <c r="E162" s="51"/>
      <c r="F162" s="51"/>
      <c r="G162" s="20"/>
      <c r="H162" s="21"/>
      <c r="I162" s="21"/>
      <c r="J162" s="105"/>
      <c r="K162" s="51"/>
      <c r="L162" s="32"/>
      <c r="M162" s="22"/>
      <c r="N162" s="51"/>
      <c r="O162" s="81"/>
      <c r="P162" s="22"/>
      <c r="Q162" s="51"/>
      <c r="R162" s="51"/>
      <c r="S162" s="51"/>
      <c r="T162" s="51">
        <v>16.5</v>
      </c>
      <c r="U162" s="51"/>
      <c r="V162" s="34">
        <f t="shared" si="23"/>
        <v>16.5</v>
      </c>
    </row>
    <row r="163" spans="1:27" hidden="1" outlineLevel="1" x14ac:dyDescent="0.25">
      <c r="A163" s="2" t="s">
        <v>224</v>
      </c>
      <c r="B163" s="82" t="s">
        <v>125</v>
      </c>
      <c r="C163" s="51">
        <v>5</v>
      </c>
      <c r="D163" s="51"/>
      <c r="E163" s="51"/>
      <c r="F163" s="51"/>
      <c r="G163" s="20"/>
      <c r="H163" s="21"/>
      <c r="I163" s="21"/>
      <c r="J163" s="105"/>
      <c r="K163" s="51"/>
      <c r="L163" s="32"/>
      <c r="M163" s="22"/>
      <c r="N163" s="51"/>
      <c r="O163" s="81"/>
      <c r="P163" s="22"/>
      <c r="Q163" s="51"/>
      <c r="R163" s="51"/>
      <c r="S163" s="51"/>
      <c r="T163" s="51">
        <v>12.5</v>
      </c>
      <c r="U163" s="51"/>
      <c r="V163" s="34">
        <f t="shared" si="23"/>
        <v>12.5</v>
      </c>
      <c r="X163" s="38"/>
      <c r="AA163" s="38"/>
    </row>
    <row r="164" spans="1:27" hidden="1" outlineLevel="1" x14ac:dyDescent="0.25">
      <c r="A164" s="34" t="s">
        <v>224</v>
      </c>
      <c r="B164" s="42" t="s">
        <v>136</v>
      </c>
      <c r="C164" s="34">
        <v>4</v>
      </c>
      <c r="T164" s="34">
        <v>10.5</v>
      </c>
      <c r="V164" s="34">
        <f t="shared" si="23"/>
        <v>10.5</v>
      </c>
      <c r="X164" s="38"/>
    </row>
    <row r="165" spans="1:27" hidden="1" outlineLevel="1" x14ac:dyDescent="0.25">
      <c r="A165" t="s">
        <v>225</v>
      </c>
      <c r="B165" t="s">
        <v>158</v>
      </c>
      <c r="C165">
        <v>2</v>
      </c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>
        <v>1.5</v>
      </c>
      <c r="U165"/>
      <c r="V165" s="34">
        <f t="shared" si="23"/>
        <v>1.5</v>
      </c>
      <c r="X165" s="38"/>
    </row>
    <row r="166" spans="1:27" ht="26.4" hidden="1" outlineLevel="1" x14ac:dyDescent="0.25">
      <c r="A166" s="34" t="s">
        <v>223</v>
      </c>
      <c r="B166" s="42" t="s">
        <v>86</v>
      </c>
      <c r="C166" s="34">
        <v>4</v>
      </c>
      <c r="S166" s="34">
        <v>138.6</v>
      </c>
      <c r="V166" s="34">
        <f t="shared" si="23"/>
        <v>138.6</v>
      </c>
    </row>
    <row r="167" spans="1:27" ht="26.4" hidden="1" outlineLevel="1" x14ac:dyDescent="0.25">
      <c r="A167" s="34" t="s">
        <v>226</v>
      </c>
      <c r="B167" s="42" t="s">
        <v>162</v>
      </c>
      <c r="C167" s="34">
        <v>2</v>
      </c>
      <c r="H167" s="37"/>
      <c r="N167" s="38"/>
      <c r="U167" s="34">
        <v>15</v>
      </c>
      <c r="V167" s="34">
        <f t="shared" si="23"/>
        <v>15</v>
      </c>
    </row>
    <row r="168" spans="1:27" ht="26.4" hidden="1" outlineLevel="1" x14ac:dyDescent="0.25">
      <c r="A168" s="34" t="s">
        <v>223</v>
      </c>
      <c r="B168" s="42" t="s">
        <v>85</v>
      </c>
      <c r="C168" s="34">
        <v>4</v>
      </c>
      <c r="H168" s="37"/>
      <c r="N168" s="38"/>
      <c r="R168" s="34">
        <v>66</v>
      </c>
      <c r="V168" s="34">
        <f t="shared" si="23"/>
        <v>66</v>
      </c>
    </row>
    <row r="169" spans="1:27" ht="39.6" hidden="1" outlineLevel="1" x14ac:dyDescent="0.25">
      <c r="A169" s="34" t="s">
        <v>226</v>
      </c>
      <c r="B169" s="42" t="s">
        <v>168</v>
      </c>
      <c r="C169" s="34">
        <v>2</v>
      </c>
      <c r="G169" s="34">
        <v>6</v>
      </c>
      <c r="H169" s="37">
        <v>6</v>
      </c>
      <c r="I169" s="34">
        <v>4</v>
      </c>
      <c r="M169" s="34">
        <v>2</v>
      </c>
      <c r="N169" s="38"/>
      <c r="P169" s="34">
        <v>1.5</v>
      </c>
      <c r="V169" s="34">
        <f t="shared" si="23"/>
        <v>19.5</v>
      </c>
    </row>
    <row r="170" spans="1:27" ht="26.4" hidden="1" outlineLevel="1" x14ac:dyDescent="0.25">
      <c r="A170" s="34" t="s">
        <v>225</v>
      </c>
      <c r="B170" s="42" t="s">
        <v>152</v>
      </c>
      <c r="C170" s="34">
        <v>2</v>
      </c>
      <c r="H170" s="37"/>
      <c r="N170" s="38"/>
      <c r="U170" s="34">
        <v>15</v>
      </c>
      <c r="V170" s="34">
        <f t="shared" si="23"/>
        <v>15</v>
      </c>
    </row>
    <row r="171" spans="1:27" ht="26.4" hidden="1" outlineLevel="1" x14ac:dyDescent="0.25">
      <c r="A171" s="34" t="s">
        <v>225</v>
      </c>
      <c r="B171" s="42" t="s">
        <v>147</v>
      </c>
      <c r="C171" s="34">
        <v>1</v>
      </c>
      <c r="H171" s="37"/>
      <c r="N171" s="38"/>
      <c r="U171" s="34">
        <v>15</v>
      </c>
      <c r="V171" s="34">
        <f t="shared" si="23"/>
        <v>15</v>
      </c>
    </row>
    <row r="172" spans="1:27" hidden="1" outlineLevel="1" x14ac:dyDescent="0.25">
      <c r="A172" s="34" t="s">
        <v>226</v>
      </c>
      <c r="B172" s="42" t="s">
        <v>170</v>
      </c>
      <c r="C172" s="34">
        <v>2</v>
      </c>
      <c r="H172" s="37"/>
      <c r="N172" s="38"/>
      <c r="S172" s="38"/>
      <c r="T172" s="34">
        <v>1.5</v>
      </c>
      <c r="V172" s="34">
        <f t="shared" si="23"/>
        <v>1.5</v>
      </c>
    </row>
    <row r="173" spans="1:27" hidden="1" outlineLevel="1" x14ac:dyDescent="0.25">
      <c r="H173" s="37"/>
      <c r="N173" s="38"/>
      <c r="S173" s="38"/>
      <c r="V173" s="34">
        <f t="shared" si="23"/>
        <v>0</v>
      </c>
    </row>
    <row r="174" spans="1:27" hidden="1" outlineLevel="1" x14ac:dyDescent="0.25">
      <c r="H174" s="37"/>
      <c r="N174" s="38"/>
      <c r="S174" s="38"/>
      <c r="V174" s="34">
        <f t="shared" si="23"/>
        <v>0</v>
      </c>
    </row>
    <row r="175" spans="1:27" hidden="1" outlineLevel="1" x14ac:dyDescent="0.25">
      <c r="H175" s="37"/>
      <c r="N175" s="38"/>
      <c r="S175" s="38"/>
      <c r="V175" s="34">
        <f t="shared" si="23"/>
        <v>0</v>
      </c>
    </row>
    <row r="176" spans="1:27" hidden="1" outlineLevel="1" x14ac:dyDescent="0.25">
      <c r="H176" s="37"/>
      <c r="N176" s="38"/>
      <c r="S176" s="38"/>
      <c r="V176" s="34">
        <f t="shared" si="23"/>
        <v>0</v>
      </c>
    </row>
    <row r="177" spans="1:25" hidden="1" outlineLevel="1" x14ac:dyDescent="0.25">
      <c r="H177" s="37"/>
      <c r="N177" s="38"/>
      <c r="S177" s="38"/>
      <c r="V177" s="34">
        <f t="shared" si="23"/>
        <v>0</v>
      </c>
    </row>
    <row r="178" spans="1:25" ht="13.8" hidden="1" outlineLevel="1" thickBot="1" x14ac:dyDescent="0.3"/>
    <row r="179" spans="1:25" ht="12.75" customHeight="1" x14ac:dyDescent="0.25">
      <c r="A179" s="145">
        <v>6</v>
      </c>
      <c r="B179" s="147" t="s">
        <v>201</v>
      </c>
      <c r="C179" s="147" t="s">
        <v>32</v>
      </c>
      <c r="D179" s="149" t="s">
        <v>12</v>
      </c>
      <c r="E179" s="46" t="s">
        <v>15</v>
      </c>
      <c r="F179" s="66">
        <v>0.75</v>
      </c>
      <c r="G179" s="36">
        <f t="shared" ref="G179:U179" si="24">SUM(G181:G197)</f>
        <v>76</v>
      </c>
      <c r="H179" s="36">
        <f t="shared" si="24"/>
        <v>116</v>
      </c>
      <c r="I179" s="36">
        <f t="shared" si="24"/>
        <v>24</v>
      </c>
      <c r="J179" s="36">
        <f t="shared" si="24"/>
        <v>0</v>
      </c>
      <c r="K179" s="36">
        <f t="shared" si="24"/>
        <v>6</v>
      </c>
      <c r="L179" s="36">
        <f t="shared" si="24"/>
        <v>0</v>
      </c>
      <c r="M179" s="36">
        <f t="shared" si="24"/>
        <v>4</v>
      </c>
      <c r="N179" s="36">
        <f t="shared" si="24"/>
        <v>30.5</v>
      </c>
      <c r="O179" s="36">
        <f t="shared" si="24"/>
        <v>37.450000000000003</v>
      </c>
      <c r="P179" s="36">
        <f t="shared" si="24"/>
        <v>22.5</v>
      </c>
      <c r="Q179" s="36">
        <f t="shared" si="24"/>
        <v>0</v>
      </c>
      <c r="R179" s="36">
        <f t="shared" si="24"/>
        <v>0</v>
      </c>
      <c r="S179" s="36">
        <f t="shared" si="24"/>
        <v>0</v>
      </c>
      <c r="T179" s="36">
        <f t="shared" si="24"/>
        <v>0</v>
      </c>
      <c r="U179" s="36">
        <f t="shared" si="24"/>
        <v>0</v>
      </c>
      <c r="V179" s="36">
        <f>SUM(V181:V197)</f>
        <v>316.45</v>
      </c>
      <c r="W179" s="151">
        <f>V179+V180</f>
        <v>698.05</v>
      </c>
    </row>
    <row r="180" spans="1:25" ht="13.8" collapsed="1" thickBot="1" x14ac:dyDescent="0.3">
      <c r="A180" s="146"/>
      <c r="B180" s="148"/>
      <c r="C180" s="148"/>
      <c r="D180" s="150"/>
      <c r="E180" s="47"/>
      <c r="F180" s="67"/>
      <c r="G180" s="39">
        <f>SUM(G198:G215)</f>
        <v>42</v>
      </c>
      <c r="H180" s="41">
        <f>SUM(H198:H215)</f>
        <v>134</v>
      </c>
      <c r="I180" s="39">
        <f>SUM(I198:I215)</f>
        <v>0</v>
      </c>
      <c r="J180" s="39">
        <f>SUM(J198:J215)</f>
        <v>0</v>
      </c>
      <c r="K180" s="39">
        <f t="shared" ref="K180:U180" si="25">SUM(K198:K215)</f>
        <v>0</v>
      </c>
      <c r="L180" s="39">
        <f t="shared" si="25"/>
        <v>0</v>
      </c>
      <c r="M180" s="39">
        <f t="shared" si="25"/>
        <v>2</v>
      </c>
      <c r="N180" s="39">
        <f t="shared" si="25"/>
        <v>0</v>
      </c>
      <c r="O180" s="39">
        <f t="shared" si="25"/>
        <v>17.5</v>
      </c>
      <c r="P180" s="39">
        <f t="shared" si="25"/>
        <v>13.5</v>
      </c>
      <c r="Q180" s="39">
        <f t="shared" si="25"/>
        <v>0</v>
      </c>
      <c r="R180" s="39">
        <f t="shared" si="25"/>
        <v>34</v>
      </c>
      <c r="S180" s="39">
        <f t="shared" si="25"/>
        <v>138.6</v>
      </c>
      <c r="T180" s="39">
        <f t="shared" si="25"/>
        <v>0</v>
      </c>
      <c r="U180" s="39">
        <f t="shared" si="25"/>
        <v>0</v>
      </c>
      <c r="V180" s="39">
        <f>SUM(V198:V215)</f>
        <v>381.59999999999997</v>
      </c>
      <c r="W180" s="152"/>
      <c r="Y180" s="38"/>
    </row>
    <row r="181" spans="1:25" ht="26.4" hidden="1" outlineLevel="1" x14ac:dyDescent="0.25">
      <c r="A181" s="34" t="s">
        <v>224</v>
      </c>
      <c r="B181" s="42" t="s">
        <v>97</v>
      </c>
      <c r="C181" s="34">
        <v>4</v>
      </c>
      <c r="G181" s="34">
        <v>6</v>
      </c>
      <c r="I181" s="34">
        <v>4</v>
      </c>
      <c r="O181" s="34">
        <v>8.4</v>
      </c>
      <c r="V181" s="34">
        <f t="shared" ref="V181:V196" si="26">SUM(G181:U181)</f>
        <v>18.399999999999999</v>
      </c>
    </row>
    <row r="182" spans="1:25" ht="26.4" hidden="1" outlineLevel="1" x14ac:dyDescent="0.25">
      <c r="A182" s="34" t="s">
        <v>224</v>
      </c>
      <c r="B182" s="42" t="s">
        <v>105</v>
      </c>
      <c r="C182" s="34">
        <v>3</v>
      </c>
      <c r="G182" s="34">
        <v>6</v>
      </c>
      <c r="I182" s="34">
        <v>4</v>
      </c>
      <c r="O182" s="34">
        <v>5.95</v>
      </c>
      <c r="V182" s="34">
        <f t="shared" si="26"/>
        <v>15.95</v>
      </c>
    </row>
    <row r="183" spans="1:25" ht="26.4" hidden="1" outlineLevel="1" x14ac:dyDescent="0.25">
      <c r="A183" s="34" t="s">
        <v>224</v>
      </c>
      <c r="B183" s="42" t="s">
        <v>109</v>
      </c>
      <c r="C183" s="34">
        <v>1</v>
      </c>
      <c r="G183" s="34">
        <v>6</v>
      </c>
      <c r="H183" s="34">
        <v>4</v>
      </c>
      <c r="K183" s="34">
        <v>2</v>
      </c>
      <c r="N183" s="34">
        <v>7</v>
      </c>
      <c r="O183" s="34">
        <v>4.9000000000000004</v>
      </c>
      <c r="V183" s="34">
        <f t="shared" si="26"/>
        <v>23.9</v>
      </c>
    </row>
    <row r="184" spans="1:25" hidden="1" outlineLevel="1" x14ac:dyDescent="0.25">
      <c r="A184" s="34" t="s">
        <v>224</v>
      </c>
      <c r="B184" s="42" t="s">
        <v>113</v>
      </c>
      <c r="C184" s="34">
        <v>1</v>
      </c>
      <c r="G184" s="34">
        <v>4</v>
      </c>
      <c r="H184" s="34">
        <v>16</v>
      </c>
      <c r="K184" s="34">
        <v>2</v>
      </c>
      <c r="M184" s="34">
        <v>2</v>
      </c>
      <c r="N184" s="34">
        <v>10</v>
      </c>
      <c r="P184" s="34">
        <v>10</v>
      </c>
      <c r="V184" s="34">
        <f t="shared" si="26"/>
        <v>44</v>
      </c>
    </row>
    <row r="185" spans="1:25" hidden="1" outlineLevel="1" x14ac:dyDescent="0.25">
      <c r="A185" s="34" t="s">
        <v>224</v>
      </c>
      <c r="B185" s="42" t="s">
        <v>114</v>
      </c>
      <c r="C185" s="34">
        <v>1</v>
      </c>
      <c r="G185" s="34">
        <v>6</v>
      </c>
      <c r="H185" s="34">
        <v>16</v>
      </c>
      <c r="K185" s="34">
        <v>2</v>
      </c>
      <c r="N185" s="34">
        <v>13.5</v>
      </c>
      <c r="O185" s="34">
        <v>9.4499999999999993</v>
      </c>
      <c r="V185" s="34">
        <f t="shared" si="26"/>
        <v>46.95</v>
      </c>
    </row>
    <row r="186" spans="1:25" ht="26.4" hidden="1" outlineLevel="1" x14ac:dyDescent="0.25">
      <c r="A186" s="34" t="s">
        <v>223</v>
      </c>
      <c r="B186" s="42" t="s">
        <v>228</v>
      </c>
      <c r="C186" s="34">
        <v>1</v>
      </c>
      <c r="G186" s="34">
        <v>32</v>
      </c>
      <c r="H186" s="34">
        <v>48</v>
      </c>
      <c r="M186" s="34">
        <v>2</v>
      </c>
      <c r="P186" s="34">
        <v>12.5</v>
      </c>
      <c r="V186" s="34">
        <f t="shared" si="26"/>
        <v>94.5</v>
      </c>
    </row>
    <row r="187" spans="1:25" hidden="1" outlineLevel="1" x14ac:dyDescent="0.25">
      <c r="A187" t="s">
        <v>223</v>
      </c>
      <c r="B187" t="s">
        <v>235</v>
      </c>
      <c r="C187">
        <v>1</v>
      </c>
      <c r="D187"/>
      <c r="E187"/>
      <c r="F187"/>
      <c r="G187">
        <v>16</v>
      </c>
      <c r="H187">
        <v>32</v>
      </c>
      <c r="I187">
        <v>16</v>
      </c>
      <c r="J187"/>
      <c r="K187"/>
      <c r="L187"/>
      <c r="M187"/>
      <c r="N187"/>
      <c r="O187">
        <v>8.75</v>
      </c>
      <c r="P187"/>
      <c r="Q187"/>
      <c r="R187"/>
      <c r="S187"/>
      <c r="T187"/>
      <c r="U187"/>
      <c r="V187" s="34">
        <f t="shared" si="26"/>
        <v>72.75</v>
      </c>
    </row>
    <row r="188" spans="1:25" hidden="1" outlineLevel="1" x14ac:dyDescent="0.25">
      <c r="V188" s="34">
        <f t="shared" si="26"/>
        <v>0</v>
      </c>
    </row>
    <row r="189" spans="1:25" hidden="1" outlineLevel="1" x14ac:dyDescent="0.25">
      <c r="V189" s="34">
        <f t="shared" si="26"/>
        <v>0</v>
      </c>
    </row>
    <row r="190" spans="1:25" hidden="1" outlineLevel="1" x14ac:dyDescent="0.25">
      <c r="V190" s="34">
        <f t="shared" si="26"/>
        <v>0</v>
      </c>
    </row>
    <row r="191" spans="1:25" hidden="1" outlineLevel="1" x14ac:dyDescent="0.25">
      <c r="V191" s="34">
        <f t="shared" si="26"/>
        <v>0</v>
      </c>
    </row>
    <row r="192" spans="1:25" hidden="1" outlineLevel="1" x14ac:dyDescent="0.25">
      <c r="V192" s="34">
        <f t="shared" si="26"/>
        <v>0</v>
      </c>
    </row>
    <row r="193" spans="1:24" hidden="1" outlineLevel="1" x14ac:dyDescent="0.25">
      <c r="V193" s="34">
        <f t="shared" si="26"/>
        <v>0</v>
      </c>
    </row>
    <row r="194" spans="1:24" hidden="1" outlineLevel="1" x14ac:dyDescent="0.25">
      <c r="V194" s="34">
        <f t="shared" si="26"/>
        <v>0</v>
      </c>
    </row>
    <row r="195" spans="1:24" hidden="1" outlineLevel="1" x14ac:dyDescent="0.25">
      <c r="V195" s="34">
        <f t="shared" si="26"/>
        <v>0</v>
      </c>
    </row>
    <row r="196" spans="1:24" hidden="1" outlineLevel="1" x14ac:dyDescent="0.25">
      <c r="V196" s="34">
        <f t="shared" si="26"/>
        <v>0</v>
      </c>
    </row>
    <row r="197" spans="1:24" hidden="1" outlineLevel="1" x14ac:dyDescent="0.25">
      <c r="B197" s="155" t="s">
        <v>29</v>
      </c>
      <c r="C197" s="155"/>
      <c r="D197" s="155"/>
      <c r="E197" s="155"/>
      <c r="F197" s="155"/>
      <c r="G197" s="155"/>
      <c r="H197" s="155"/>
      <c r="I197" s="155"/>
      <c r="J197" s="155"/>
      <c r="K197" s="155"/>
      <c r="L197" s="155"/>
      <c r="M197" s="155"/>
      <c r="N197" s="155"/>
      <c r="O197" s="155"/>
      <c r="P197" s="155"/>
      <c r="Q197" s="155"/>
      <c r="R197" s="155"/>
      <c r="S197" s="155"/>
      <c r="T197" s="155"/>
      <c r="U197" s="155"/>
      <c r="V197" s="68"/>
    </row>
    <row r="198" spans="1:24" hidden="1" outlineLevel="1" x14ac:dyDescent="0.25">
      <c r="A198" s="34" t="s">
        <v>223</v>
      </c>
      <c r="B198" s="42" t="s">
        <v>74</v>
      </c>
      <c r="C198" s="34">
        <v>1</v>
      </c>
      <c r="G198" s="34">
        <v>16</v>
      </c>
      <c r="H198" s="34">
        <v>68</v>
      </c>
      <c r="O198" s="34">
        <v>6.3</v>
      </c>
      <c r="V198" s="34">
        <f t="shared" ref="V198:V214" si="27">SUM(G198:U198)</f>
        <v>90.3</v>
      </c>
      <c r="X198" s="38"/>
    </row>
    <row r="199" spans="1:24" hidden="1" outlineLevel="1" x14ac:dyDescent="0.25">
      <c r="A199" s="34" t="s">
        <v>223</v>
      </c>
      <c r="B199" s="42" t="s">
        <v>75</v>
      </c>
      <c r="C199" s="34">
        <v>1</v>
      </c>
      <c r="G199" s="34">
        <v>16</v>
      </c>
      <c r="H199" s="34">
        <v>34</v>
      </c>
      <c r="O199" s="34">
        <v>4.2</v>
      </c>
      <c r="V199" s="34">
        <f t="shared" si="27"/>
        <v>54.2</v>
      </c>
    </row>
    <row r="200" spans="1:24" hidden="1" outlineLevel="1" x14ac:dyDescent="0.25">
      <c r="A200" s="34" t="s">
        <v>224</v>
      </c>
      <c r="B200" s="42" t="s">
        <v>113</v>
      </c>
      <c r="C200" s="34">
        <v>1</v>
      </c>
      <c r="G200" s="34">
        <v>4</v>
      </c>
      <c r="H200" s="34">
        <v>20</v>
      </c>
      <c r="O200" s="34">
        <v>7</v>
      </c>
      <c r="V200" s="34">
        <f t="shared" si="27"/>
        <v>31</v>
      </c>
      <c r="X200" s="38"/>
    </row>
    <row r="201" spans="1:24" hidden="1" outlineLevel="1" x14ac:dyDescent="0.25">
      <c r="A201" s="34" t="s">
        <v>224</v>
      </c>
      <c r="B201" s="42" t="s">
        <v>114</v>
      </c>
      <c r="C201" s="34">
        <v>1</v>
      </c>
      <c r="G201" s="34">
        <v>6</v>
      </c>
      <c r="H201" s="34">
        <v>12</v>
      </c>
      <c r="M201" s="34">
        <v>2</v>
      </c>
      <c r="P201" s="34">
        <v>13.5</v>
      </c>
      <c r="V201" s="34">
        <f t="shared" si="27"/>
        <v>33.5</v>
      </c>
      <c r="X201" s="38"/>
    </row>
    <row r="202" spans="1:24" ht="26.4" hidden="1" outlineLevel="1" x14ac:dyDescent="0.25">
      <c r="A202" s="34" t="s">
        <v>224</v>
      </c>
      <c r="B202" s="42" t="s">
        <v>133</v>
      </c>
      <c r="C202" s="34">
        <v>3</v>
      </c>
      <c r="R202" s="34">
        <v>34</v>
      </c>
      <c r="V202" s="34">
        <f t="shared" si="27"/>
        <v>34</v>
      </c>
      <c r="X202" s="38"/>
    </row>
    <row r="203" spans="1:24" ht="26.4" hidden="1" outlineLevel="1" x14ac:dyDescent="0.25">
      <c r="A203" s="34" t="s">
        <v>224</v>
      </c>
      <c r="B203" s="42" t="s">
        <v>134</v>
      </c>
      <c r="C203" s="34">
        <v>4</v>
      </c>
      <c r="S203" s="34">
        <v>79.2</v>
      </c>
      <c r="V203" s="34">
        <f t="shared" si="27"/>
        <v>79.2</v>
      </c>
    </row>
    <row r="204" spans="1:24" hidden="1" outlineLevel="1" x14ac:dyDescent="0.25">
      <c r="A204" t="s">
        <v>224</v>
      </c>
      <c r="B204" t="s">
        <v>123</v>
      </c>
      <c r="C204">
        <v>5</v>
      </c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>
        <v>59.4</v>
      </c>
      <c r="T204"/>
      <c r="U204"/>
      <c r="V204" s="34">
        <f t="shared" si="27"/>
        <v>59.4</v>
      </c>
    </row>
    <row r="205" spans="1:24" hidden="1" outlineLevel="1" x14ac:dyDescent="0.25">
      <c r="H205" s="37"/>
      <c r="N205" s="38"/>
      <c r="V205" s="34">
        <f t="shared" si="27"/>
        <v>0</v>
      </c>
    </row>
    <row r="206" spans="1:24" hidden="1" outlineLevel="1" x14ac:dyDescent="0.25">
      <c r="H206" s="37"/>
      <c r="N206" s="38"/>
      <c r="V206" s="34">
        <f t="shared" si="27"/>
        <v>0</v>
      </c>
    </row>
    <row r="207" spans="1:24" hidden="1" outlineLevel="1" x14ac:dyDescent="0.25">
      <c r="H207" s="37"/>
      <c r="N207" s="38"/>
      <c r="V207" s="34">
        <f t="shared" si="27"/>
        <v>0</v>
      </c>
    </row>
    <row r="208" spans="1:24" hidden="1" outlineLevel="1" x14ac:dyDescent="0.25">
      <c r="H208" s="37"/>
      <c r="N208" s="38"/>
      <c r="V208" s="34">
        <f t="shared" si="27"/>
        <v>0</v>
      </c>
    </row>
    <row r="209" spans="1:25" hidden="1" outlineLevel="1" x14ac:dyDescent="0.25">
      <c r="H209" s="37"/>
      <c r="N209" s="38"/>
      <c r="S209" s="38"/>
      <c r="V209" s="34">
        <f t="shared" si="27"/>
        <v>0</v>
      </c>
    </row>
    <row r="210" spans="1:25" hidden="1" outlineLevel="1" x14ac:dyDescent="0.25">
      <c r="H210" s="37"/>
      <c r="N210" s="38"/>
      <c r="S210" s="38"/>
      <c r="V210" s="34">
        <f t="shared" si="27"/>
        <v>0</v>
      </c>
    </row>
    <row r="211" spans="1:25" hidden="1" outlineLevel="1" x14ac:dyDescent="0.25">
      <c r="H211" s="37"/>
      <c r="N211" s="38"/>
      <c r="S211" s="38"/>
      <c r="V211" s="34">
        <f t="shared" si="27"/>
        <v>0</v>
      </c>
    </row>
    <row r="212" spans="1:25" hidden="1" outlineLevel="1" x14ac:dyDescent="0.25">
      <c r="H212" s="37"/>
      <c r="N212" s="38"/>
      <c r="S212" s="38"/>
      <c r="V212" s="34">
        <f t="shared" si="27"/>
        <v>0</v>
      </c>
    </row>
    <row r="213" spans="1:25" hidden="1" outlineLevel="1" x14ac:dyDescent="0.25">
      <c r="H213" s="37"/>
      <c r="N213" s="38"/>
      <c r="S213" s="38"/>
      <c r="V213" s="34">
        <f t="shared" si="27"/>
        <v>0</v>
      </c>
    </row>
    <row r="214" spans="1:25" hidden="1" outlineLevel="1" x14ac:dyDescent="0.25">
      <c r="H214" s="37"/>
      <c r="N214" s="38"/>
      <c r="S214" s="38"/>
      <c r="V214" s="34">
        <f t="shared" si="27"/>
        <v>0</v>
      </c>
    </row>
    <row r="215" spans="1:25" ht="13.8" hidden="1" outlineLevel="1" thickBot="1" x14ac:dyDescent="0.3"/>
    <row r="216" spans="1:25" ht="12.75" customHeight="1" x14ac:dyDescent="0.25">
      <c r="A216" s="145">
        <v>7</v>
      </c>
      <c r="B216" s="147" t="s">
        <v>202</v>
      </c>
      <c r="C216" s="147" t="s">
        <v>32</v>
      </c>
      <c r="D216" s="149" t="s">
        <v>12</v>
      </c>
      <c r="E216" s="46" t="s">
        <v>15</v>
      </c>
      <c r="F216" s="66">
        <v>0.75</v>
      </c>
      <c r="G216" s="36">
        <f t="shared" ref="G216:U216" si="28">SUM(G218:G228)</f>
        <v>0</v>
      </c>
      <c r="H216" s="36">
        <f t="shared" si="28"/>
        <v>64</v>
      </c>
      <c r="I216" s="36">
        <f t="shared" si="28"/>
        <v>0</v>
      </c>
      <c r="J216" s="36">
        <f t="shared" si="28"/>
        <v>0</v>
      </c>
      <c r="K216" s="36">
        <f t="shared" si="28"/>
        <v>0</v>
      </c>
      <c r="L216" s="36">
        <f t="shared" si="28"/>
        <v>0</v>
      </c>
      <c r="M216" s="36">
        <f t="shared" si="28"/>
        <v>0</v>
      </c>
      <c r="N216" s="36">
        <f t="shared" si="28"/>
        <v>0</v>
      </c>
      <c r="O216" s="36">
        <f t="shared" si="28"/>
        <v>0</v>
      </c>
      <c r="P216" s="36">
        <f t="shared" si="28"/>
        <v>0</v>
      </c>
      <c r="Q216" s="36">
        <f t="shared" si="28"/>
        <v>0</v>
      </c>
      <c r="R216" s="36">
        <f t="shared" si="28"/>
        <v>0</v>
      </c>
      <c r="S216" s="36">
        <f t="shared" si="28"/>
        <v>0</v>
      </c>
      <c r="T216" s="36">
        <f t="shared" si="28"/>
        <v>0</v>
      </c>
      <c r="U216" s="36">
        <f t="shared" si="28"/>
        <v>0</v>
      </c>
      <c r="V216" s="36">
        <f>SUM(V218:V228)</f>
        <v>64</v>
      </c>
      <c r="W216" s="151">
        <f>V216+V217</f>
        <v>522.34999999999991</v>
      </c>
    </row>
    <row r="217" spans="1:25" ht="13.8" collapsed="1" thickBot="1" x14ac:dyDescent="0.3">
      <c r="A217" s="146"/>
      <c r="B217" s="148"/>
      <c r="C217" s="148"/>
      <c r="D217" s="150"/>
      <c r="E217" s="47"/>
      <c r="F217" s="67"/>
      <c r="G217" s="39">
        <f>SUM(G229:G246)</f>
        <v>42</v>
      </c>
      <c r="H217" s="41">
        <f>SUM(H229:H246)</f>
        <v>64</v>
      </c>
      <c r="I217" s="39">
        <f>SUM(I229:I246)</f>
        <v>0</v>
      </c>
      <c r="J217" s="39">
        <f>SUM(J229:J246)</f>
        <v>0</v>
      </c>
      <c r="K217" s="39">
        <f t="shared" ref="K217:U217" si="29">SUM(K229:K246)</f>
        <v>4</v>
      </c>
      <c r="L217" s="39">
        <f t="shared" si="29"/>
        <v>96</v>
      </c>
      <c r="M217" s="39">
        <f t="shared" si="29"/>
        <v>4</v>
      </c>
      <c r="N217" s="39">
        <f t="shared" si="29"/>
        <v>25.5</v>
      </c>
      <c r="O217" s="39">
        <f t="shared" si="29"/>
        <v>8.75</v>
      </c>
      <c r="P217" s="39">
        <f t="shared" si="29"/>
        <v>25.5</v>
      </c>
      <c r="Q217" s="39">
        <f t="shared" si="29"/>
        <v>0</v>
      </c>
      <c r="R217" s="39">
        <f t="shared" si="29"/>
        <v>50</v>
      </c>
      <c r="S217" s="39">
        <f t="shared" si="29"/>
        <v>138.6</v>
      </c>
      <c r="T217" s="39">
        <f t="shared" si="29"/>
        <v>0</v>
      </c>
      <c r="U217" s="39">
        <f t="shared" si="29"/>
        <v>0</v>
      </c>
      <c r="V217" s="39">
        <f>SUM(V229:V246)</f>
        <v>458.34999999999997</v>
      </c>
      <c r="W217" s="152"/>
      <c r="Y217" s="38"/>
    </row>
    <row r="218" spans="1:25" ht="52.8" hidden="1" outlineLevel="1" x14ac:dyDescent="0.25">
      <c r="A218" t="s">
        <v>223</v>
      </c>
      <c r="B218" s="42" t="s">
        <v>68</v>
      </c>
      <c r="C218">
        <v>4</v>
      </c>
      <c r="D218"/>
      <c r="E218"/>
      <c r="F218"/>
      <c r="G218"/>
      <c r="H218">
        <v>64</v>
      </c>
      <c r="I218"/>
      <c r="J218"/>
      <c r="K218"/>
      <c r="L218"/>
      <c r="M218"/>
      <c r="N218"/>
      <c r="O218"/>
      <c r="P218"/>
      <c r="Q218"/>
      <c r="R218"/>
      <c r="S218"/>
      <c r="T218"/>
      <c r="U218"/>
      <c r="V218" s="34">
        <f t="shared" ref="V218:V227" si="30">SUM(G218:U218)</f>
        <v>64</v>
      </c>
    </row>
    <row r="219" spans="1:25" hidden="1" outlineLevel="1" x14ac:dyDescent="0.25">
      <c r="V219" s="34">
        <f t="shared" si="30"/>
        <v>0</v>
      </c>
    </row>
    <row r="220" spans="1:25" hidden="1" outlineLevel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 s="34">
        <f t="shared" si="30"/>
        <v>0</v>
      </c>
    </row>
    <row r="221" spans="1:25" hidden="1" outlineLevel="1" x14ac:dyDescent="0.25">
      <c r="V221" s="34">
        <f t="shared" si="30"/>
        <v>0</v>
      </c>
    </row>
    <row r="222" spans="1:25" hidden="1" outlineLevel="1" x14ac:dyDescent="0.25">
      <c r="V222" s="34">
        <f t="shared" si="30"/>
        <v>0</v>
      </c>
    </row>
    <row r="223" spans="1:25" hidden="1" outlineLevel="1" x14ac:dyDescent="0.25">
      <c r="V223" s="34">
        <f t="shared" si="30"/>
        <v>0</v>
      </c>
    </row>
    <row r="224" spans="1:25" hidden="1" outlineLevel="1" x14ac:dyDescent="0.25">
      <c r="V224" s="34">
        <f t="shared" si="30"/>
        <v>0</v>
      </c>
    </row>
    <row r="225" spans="1:24" hidden="1" outlineLevel="1" x14ac:dyDescent="0.25">
      <c r="V225" s="34">
        <f t="shared" si="30"/>
        <v>0</v>
      </c>
    </row>
    <row r="226" spans="1:24" hidden="1" outlineLevel="1" x14ac:dyDescent="0.25">
      <c r="V226" s="34">
        <f t="shared" si="30"/>
        <v>0</v>
      </c>
    </row>
    <row r="227" spans="1:24" hidden="1" outlineLevel="1" x14ac:dyDescent="0.25">
      <c r="V227" s="34">
        <f t="shared" si="30"/>
        <v>0</v>
      </c>
    </row>
    <row r="228" spans="1:24" hidden="1" outlineLevel="1" x14ac:dyDescent="0.25">
      <c r="B228" s="155" t="s">
        <v>29</v>
      </c>
      <c r="C228" s="155"/>
      <c r="D228" s="155"/>
      <c r="E228" s="155"/>
      <c r="F228" s="155"/>
      <c r="G228" s="155"/>
      <c r="H228" s="155"/>
      <c r="I228" s="155"/>
      <c r="J228" s="155"/>
      <c r="K228" s="155"/>
      <c r="L228" s="155"/>
      <c r="M228" s="155"/>
      <c r="N228" s="155"/>
      <c r="O228" s="155"/>
      <c r="P228" s="155"/>
      <c r="Q228" s="155"/>
      <c r="R228" s="155"/>
      <c r="S228" s="155"/>
      <c r="T228" s="155"/>
      <c r="U228" s="155"/>
      <c r="V228" s="103"/>
    </row>
    <row r="229" spans="1:24" ht="39.6" hidden="1" outlineLevel="1" x14ac:dyDescent="0.25">
      <c r="A229" s="34" t="s">
        <v>224</v>
      </c>
      <c r="B229" s="42" t="s">
        <v>99</v>
      </c>
      <c r="C229" s="34">
        <v>3</v>
      </c>
      <c r="G229" s="34">
        <v>6</v>
      </c>
      <c r="H229" s="34">
        <v>16</v>
      </c>
      <c r="K229" s="34">
        <v>2</v>
      </c>
      <c r="M229" s="34">
        <v>2</v>
      </c>
      <c r="N229" s="34">
        <v>13</v>
      </c>
      <c r="P229" s="34">
        <v>13</v>
      </c>
      <c r="V229" s="34">
        <f t="shared" ref="V229:V245" si="31">SUM(G229:U229)</f>
        <v>52</v>
      </c>
      <c r="X229" s="38"/>
    </row>
    <row r="230" spans="1:24" ht="39.6" hidden="1" outlineLevel="1" x14ac:dyDescent="0.25">
      <c r="A230" s="34" t="s">
        <v>224</v>
      </c>
      <c r="B230" s="42" t="s">
        <v>99</v>
      </c>
      <c r="C230" s="34">
        <v>4</v>
      </c>
      <c r="L230" s="34">
        <v>96</v>
      </c>
      <c r="V230" s="34">
        <f t="shared" si="31"/>
        <v>96</v>
      </c>
    </row>
    <row r="231" spans="1:24" ht="39.6" hidden="1" outlineLevel="1" x14ac:dyDescent="0.25">
      <c r="A231" s="34" t="s">
        <v>224</v>
      </c>
      <c r="B231" s="42" t="s">
        <v>104</v>
      </c>
      <c r="C231" s="34">
        <v>2</v>
      </c>
      <c r="G231" s="34">
        <v>8</v>
      </c>
      <c r="H231" s="34">
        <v>16</v>
      </c>
      <c r="K231" s="34">
        <v>2</v>
      </c>
      <c r="M231" s="34">
        <v>2</v>
      </c>
      <c r="N231" s="34">
        <v>12.5</v>
      </c>
      <c r="P231" s="34">
        <v>12.5</v>
      </c>
      <c r="V231" s="34">
        <f t="shared" si="31"/>
        <v>53</v>
      </c>
      <c r="X231" s="38"/>
    </row>
    <row r="232" spans="1:24" ht="26.4" hidden="1" outlineLevel="1" x14ac:dyDescent="0.25">
      <c r="A232" s="34" t="s">
        <v>224</v>
      </c>
      <c r="B232" s="42" t="s">
        <v>123</v>
      </c>
      <c r="C232" s="34">
        <v>5</v>
      </c>
      <c r="S232" s="34">
        <v>59.4</v>
      </c>
      <c r="V232" s="34">
        <f t="shared" si="31"/>
        <v>59.4</v>
      </c>
      <c r="X232" s="38"/>
    </row>
    <row r="233" spans="1:24" ht="26.4" hidden="1" outlineLevel="1" x14ac:dyDescent="0.25">
      <c r="A233" s="34" t="s">
        <v>223</v>
      </c>
      <c r="B233" s="42" t="s">
        <v>86</v>
      </c>
      <c r="C233" s="34">
        <v>4</v>
      </c>
      <c r="S233" s="34">
        <v>79.2</v>
      </c>
      <c r="V233" s="34">
        <f t="shared" si="31"/>
        <v>79.2</v>
      </c>
      <c r="X233" s="38"/>
    </row>
    <row r="234" spans="1:24" ht="26.4" hidden="1" outlineLevel="1" x14ac:dyDescent="0.25">
      <c r="A234" s="34" t="s">
        <v>223</v>
      </c>
      <c r="B234" s="42" t="s">
        <v>232</v>
      </c>
      <c r="C234" s="34">
        <v>1</v>
      </c>
      <c r="G234" s="34">
        <v>28</v>
      </c>
      <c r="H234" s="34">
        <v>32</v>
      </c>
      <c r="O234" s="34">
        <v>8.75</v>
      </c>
      <c r="V234" s="34">
        <f t="shared" si="31"/>
        <v>68.75</v>
      </c>
    </row>
    <row r="235" spans="1:24" ht="26.4" hidden="1" outlineLevel="1" x14ac:dyDescent="0.25">
      <c r="A235" s="34" t="s">
        <v>224</v>
      </c>
      <c r="B235" s="42" t="s">
        <v>122</v>
      </c>
      <c r="C235" s="34">
        <v>5</v>
      </c>
      <c r="H235" s="37"/>
      <c r="N235" s="38"/>
      <c r="R235" s="34">
        <v>50</v>
      </c>
      <c r="V235" s="34">
        <f t="shared" si="31"/>
        <v>50</v>
      </c>
    </row>
    <row r="236" spans="1:24" hidden="1" outlineLevel="1" x14ac:dyDescent="0.25">
      <c r="H236" s="37"/>
      <c r="N236" s="38"/>
      <c r="V236" s="34">
        <f t="shared" si="31"/>
        <v>0</v>
      </c>
    </row>
    <row r="237" spans="1:24" hidden="1" outlineLevel="1" x14ac:dyDescent="0.25">
      <c r="H237" s="37"/>
      <c r="N237" s="38"/>
      <c r="V237" s="34">
        <f t="shared" si="31"/>
        <v>0</v>
      </c>
    </row>
    <row r="238" spans="1:24" hidden="1" outlineLevel="1" x14ac:dyDescent="0.25">
      <c r="H238" s="37"/>
      <c r="N238" s="38"/>
      <c r="V238" s="34">
        <f t="shared" si="31"/>
        <v>0</v>
      </c>
    </row>
    <row r="239" spans="1:24" hidden="1" outlineLevel="1" x14ac:dyDescent="0.25">
      <c r="H239" s="37"/>
      <c r="N239" s="38"/>
      <c r="V239" s="34">
        <f t="shared" si="31"/>
        <v>0</v>
      </c>
    </row>
    <row r="240" spans="1:24" hidden="1" outlineLevel="1" x14ac:dyDescent="0.25">
      <c r="H240" s="37"/>
      <c r="N240" s="38"/>
      <c r="S240" s="38"/>
      <c r="V240" s="34">
        <f t="shared" si="31"/>
        <v>0</v>
      </c>
    </row>
    <row r="241" spans="1:25" hidden="1" outlineLevel="1" x14ac:dyDescent="0.25">
      <c r="H241" s="37"/>
      <c r="N241" s="38"/>
      <c r="S241" s="38"/>
      <c r="V241" s="34">
        <f t="shared" si="31"/>
        <v>0</v>
      </c>
    </row>
    <row r="242" spans="1:25" hidden="1" outlineLevel="1" x14ac:dyDescent="0.25">
      <c r="H242" s="37"/>
      <c r="N242" s="38"/>
      <c r="S242" s="38"/>
      <c r="V242" s="34">
        <f t="shared" si="31"/>
        <v>0</v>
      </c>
    </row>
    <row r="243" spans="1:25" hidden="1" outlineLevel="1" x14ac:dyDescent="0.25">
      <c r="H243" s="37"/>
      <c r="N243" s="38"/>
      <c r="S243" s="38"/>
      <c r="V243" s="34">
        <f t="shared" si="31"/>
        <v>0</v>
      </c>
    </row>
    <row r="244" spans="1:25" hidden="1" outlineLevel="1" x14ac:dyDescent="0.25">
      <c r="H244" s="37"/>
      <c r="N244" s="38"/>
      <c r="S244" s="38"/>
      <c r="V244" s="34">
        <f t="shared" si="31"/>
        <v>0</v>
      </c>
    </row>
    <row r="245" spans="1:25" hidden="1" outlineLevel="1" x14ac:dyDescent="0.25">
      <c r="H245" s="37"/>
      <c r="N245" s="38"/>
      <c r="S245" s="38"/>
      <c r="V245" s="34">
        <f t="shared" si="31"/>
        <v>0</v>
      </c>
    </row>
    <row r="246" spans="1:25" ht="13.8" hidden="1" outlineLevel="1" thickBot="1" x14ac:dyDescent="0.3"/>
    <row r="247" spans="1:25" ht="12.75" customHeight="1" x14ac:dyDescent="0.25">
      <c r="A247" s="145">
        <v>8</v>
      </c>
      <c r="B247" s="147" t="s">
        <v>203</v>
      </c>
      <c r="C247" s="147" t="s">
        <v>32</v>
      </c>
      <c r="D247" s="149" t="s">
        <v>12</v>
      </c>
      <c r="E247" s="46"/>
      <c r="F247" s="66"/>
      <c r="G247" s="36">
        <f t="shared" ref="G247:U247" si="32">SUM(G249:G259)</f>
        <v>6</v>
      </c>
      <c r="H247" s="36">
        <f t="shared" si="32"/>
        <v>4</v>
      </c>
      <c r="I247" s="36">
        <f t="shared" si="32"/>
        <v>0</v>
      </c>
      <c r="J247" s="36">
        <f t="shared" si="32"/>
        <v>0</v>
      </c>
      <c r="K247" s="36">
        <f t="shared" si="32"/>
        <v>0</v>
      </c>
      <c r="L247" s="36">
        <f t="shared" si="32"/>
        <v>0</v>
      </c>
      <c r="M247" s="36">
        <f t="shared" si="32"/>
        <v>0</v>
      </c>
      <c r="N247" s="36">
        <f t="shared" si="32"/>
        <v>0</v>
      </c>
      <c r="O247" s="36">
        <f t="shared" si="32"/>
        <v>4.9000000000000004</v>
      </c>
      <c r="P247" s="36">
        <f t="shared" si="32"/>
        <v>0</v>
      </c>
      <c r="Q247" s="36">
        <f t="shared" si="32"/>
        <v>0</v>
      </c>
      <c r="R247" s="36">
        <f t="shared" si="32"/>
        <v>0</v>
      </c>
      <c r="S247" s="36">
        <f t="shared" si="32"/>
        <v>0</v>
      </c>
      <c r="T247" s="36">
        <f t="shared" si="32"/>
        <v>0</v>
      </c>
      <c r="U247" s="36">
        <f t="shared" si="32"/>
        <v>0</v>
      </c>
      <c r="V247" s="36">
        <f>SUM(V249:V259)</f>
        <v>14.9</v>
      </c>
      <c r="W247" s="151">
        <f>V247+V248</f>
        <v>412.79999999999995</v>
      </c>
    </row>
    <row r="248" spans="1:25" ht="13.8" collapsed="1" thickBot="1" x14ac:dyDescent="0.3">
      <c r="A248" s="146"/>
      <c r="B248" s="148"/>
      <c r="C248" s="148"/>
      <c r="D248" s="150"/>
      <c r="E248" s="47" t="s">
        <v>33</v>
      </c>
      <c r="F248" s="67">
        <v>0.5</v>
      </c>
      <c r="G248" s="39">
        <f>SUM(G260:G277)</f>
        <v>44</v>
      </c>
      <c r="H248" s="41">
        <f>SUM(H260:H277)</f>
        <v>78</v>
      </c>
      <c r="I248" s="39">
        <f>SUM(I260:I277)</f>
        <v>0</v>
      </c>
      <c r="J248" s="39">
        <f>SUM(J260:J277)</f>
        <v>0</v>
      </c>
      <c r="K248" s="39">
        <f t="shared" ref="K248:U248" si="33">SUM(K260:K277)</f>
        <v>0</v>
      </c>
      <c r="L248" s="39">
        <f t="shared" si="33"/>
        <v>0</v>
      </c>
      <c r="M248" s="39">
        <f t="shared" si="33"/>
        <v>2</v>
      </c>
      <c r="N248" s="39">
        <f t="shared" si="33"/>
        <v>0</v>
      </c>
      <c r="O248" s="39">
        <f t="shared" si="33"/>
        <v>6.3</v>
      </c>
      <c r="P248" s="39">
        <f t="shared" si="33"/>
        <v>7</v>
      </c>
      <c r="Q248" s="39">
        <f t="shared" si="33"/>
        <v>0</v>
      </c>
      <c r="R248" s="39">
        <f t="shared" si="33"/>
        <v>122</v>
      </c>
      <c r="S248" s="39">
        <f t="shared" si="33"/>
        <v>138.6</v>
      </c>
      <c r="T248" s="39">
        <f t="shared" si="33"/>
        <v>0</v>
      </c>
      <c r="U248" s="39">
        <f t="shared" si="33"/>
        <v>0</v>
      </c>
      <c r="V248" s="39">
        <f>SUM(V260:V277)</f>
        <v>397.9</v>
      </c>
      <c r="W248" s="152"/>
      <c r="Y248" s="38"/>
    </row>
    <row r="249" spans="1:25" ht="39.6" hidden="1" outlineLevel="1" x14ac:dyDescent="0.25">
      <c r="A249" s="34" t="s">
        <v>224</v>
      </c>
      <c r="B249" s="42" t="s">
        <v>111</v>
      </c>
      <c r="C249" s="34">
        <v>3</v>
      </c>
      <c r="G249" s="34">
        <v>6</v>
      </c>
      <c r="H249" s="34">
        <v>4</v>
      </c>
      <c r="O249" s="34">
        <v>4.9000000000000004</v>
      </c>
      <c r="V249" s="34">
        <f t="shared" ref="V249:V258" si="34">SUM(G249:U249)</f>
        <v>14.9</v>
      </c>
    </row>
    <row r="250" spans="1:25" hidden="1" outlineLevel="1" x14ac:dyDescent="0.25">
      <c r="V250" s="34">
        <f t="shared" si="34"/>
        <v>0</v>
      </c>
    </row>
    <row r="251" spans="1:25" hidden="1" outlineLevel="1" x14ac:dyDescent="0.25">
      <c r="V251" s="34">
        <f t="shared" si="34"/>
        <v>0</v>
      </c>
    </row>
    <row r="252" spans="1:25" hidden="1" outlineLevel="1" x14ac:dyDescent="0.25">
      <c r="V252" s="34">
        <f t="shared" si="34"/>
        <v>0</v>
      </c>
    </row>
    <row r="253" spans="1:25" hidden="1" outlineLevel="1" x14ac:dyDescent="0.25">
      <c r="V253" s="34">
        <f t="shared" si="34"/>
        <v>0</v>
      </c>
    </row>
    <row r="254" spans="1:25" hidden="1" outlineLevel="1" x14ac:dyDescent="0.25">
      <c r="V254" s="34">
        <f t="shared" si="34"/>
        <v>0</v>
      </c>
    </row>
    <row r="255" spans="1:25" hidden="1" outlineLevel="1" x14ac:dyDescent="0.25">
      <c r="V255" s="34">
        <f t="shared" si="34"/>
        <v>0</v>
      </c>
    </row>
    <row r="256" spans="1:25" hidden="1" outlineLevel="1" x14ac:dyDescent="0.25">
      <c r="V256" s="34">
        <f t="shared" si="34"/>
        <v>0</v>
      </c>
    </row>
    <row r="257" spans="1:24" hidden="1" outlineLevel="1" x14ac:dyDescent="0.25">
      <c r="V257" s="34">
        <f t="shared" si="34"/>
        <v>0</v>
      </c>
    </row>
    <row r="258" spans="1:24" hidden="1" outlineLevel="1" x14ac:dyDescent="0.25">
      <c r="V258" s="34">
        <f t="shared" si="34"/>
        <v>0</v>
      </c>
    </row>
    <row r="259" spans="1:24" hidden="1" outlineLevel="1" x14ac:dyDescent="0.25">
      <c r="B259" s="155" t="s">
        <v>29</v>
      </c>
      <c r="C259" s="155"/>
      <c r="D259" s="155"/>
      <c r="E259" s="155"/>
      <c r="F259" s="155"/>
      <c r="G259" s="155"/>
      <c r="H259" s="155"/>
      <c r="I259" s="155"/>
      <c r="J259" s="155"/>
      <c r="K259" s="155"/>
      <c r="L259" s="155"/>
      <c r="M259" s="155"/>
      <c r="N259" s="155"/>
      <c r="O259" s="155"/>
      <c r="P259" s="155"/>
      <c r="Q259" s="155"/>
      <c r="R259" s="155"/>
      <c r="S259" s="155"/>
      <c r="T259" s="155"/>
      <c r="U259" s="155"/>
      <c r="V259" s="103"/>
    </row>
    <row r="260" spans="1:24" ht="39.6" hidden="1" outlineLevel="1" x14ac:dyDescent="0.25">
      <c r="A260" s="34" t="s">
        <v>223</v>
      </c>
      <c r="B260" s="42" t="s">
        <v>92</v>
      </c>
      <c r="C260" s="34">
        <v>3</v>
      </c>
      <c r="G260" s="34">
        <v>34</v>
      </c>
      <c r="H260" s="34">
        <v>68</v>
      </c>
      <c r="O260" s="34">
        <v>6.3</v>
      </c>
      <c r="V260" s="34">
        <f t="shared" ref="V260:V276" si="35">SUM(G260:U260)</f>
        <v>108.3</v>
      </c>
      <c r="X260" s="38"/>
    </row>
    <row r="261" spans="1:24" hidden="1" outlineLevel="1" x14ac:dyDescent="0.25">
      <c r="A261" t="s">
        <v>223</v>
      </c>
      <c r="B261" t="s">
        <v>84</v>
      </c>
      <c r="C261">
        <v>3</v>
      </c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>
        <v>74</v>
      </c>
      <c r="S261"/>
      <c r="T261"/>
      <c r="U261"/>
      <c r="V261" s="34">
        <f t="shared" si="35"/>
        <v>74</v>
      </c>
    </row>
    <row r="262" spans="1:24" hidden="1" outlineLevel="1" x14ac:dyDescent="0.25">
      <c r="A262" t="s">
        <v>224</v>
      </c>
      <c r="B262" t="s">
        <v>111</v>
      </c>
      <c r="C262">
        <v>3</v>
      </c>
      <c r="D262"/>
      <c r="E262"/>
      <c r="F262"/>
      <c r="G262">
        <v>10</v>
      </c>
      <c r="H262">
        <v>10</v>
      </c>
      <c r="I262"/>
      <c r="J262"/>
      <c r="K262"/>
      <c r="L262"/>
      <c r="M262">
        <v>2</v>
      </c>
      <c r="N262"/>
      <c r="O262"/>
      <c r="P262">
        <v>7</v>
      </c>
      <c r="Q262"/>
      <c r="R262"/>
      <c r="S262"/>
      <c r="T262"/>
      <c r="U262"/>
      <c r="V262" s="34">
        <f t="shared" si="35"/>
        <v>29</v>
      </c>
      <c r="X262" s="38"/>
    </row>
    <row r="263" spans="1:24" ht="26.4" hidden="1" outlineLevel="1" x14ac:dyDescent="0.25">
      <c r="A263" s="34" t="s">
        <v>224</v>
      </c>
      <c r="B263" s="42" t="s">
        <v>121</v>
      </c>
      <c r="C263" s="34">
        <v>4</v>
      </c>
      <c r="R263" s="34">
        <v>48</v>
      </c>
      <c r="V263" s="34">
        <f t="shared" si="35"/>
        <v>48</v>
      </c>
      <c r="X263" s="38"/>
    </row>
    <row r="264" spans="1:24" ht="26.4" hidden="1" outlineLevel="1" x14ac:dyDescent="0.25">
      <c r="A264" s="34" t="s">
        <v>224</v>
      </c>
      <c r="B264" s="42" t="s">
        <v>123</v>
      </c>
      <c r="C264" s="34">
        <v>5</v>
      </c>
      <c r="S264" s="34">
        <v>138.6</v>
      </c>
      <c r="V264" s="34">
        <f t="shared" si="35"/>
        <v>138.6</v>
      </c>
      <c r="X264" s="38"/>
    </row>
    <row r="265" spans="1:24" hidden="1" outlineLevel="1" x14ac:dyDescent="0.25">
      <c r="V265" s="34">
        <f t="shared" si="35"/>
        <v>0</v>
      </c>
    </row>
    <row r="266" spans="1:24" hidden="1" outlineLevel="1" x14ac:dyDescent="0.25">
      <c r="H266" s="37"/>
      <c r="N266" s="38"/>
      <c r="V266" s="34">
        <f t="shared" si="35"/>
        <v>0</v>
      </c>
    </row>
    <row r="267" spans="1:24" hidden="1" outlineLevel="1" x14ac:dyDescent="0.25">
      <c r="H267" s="37"/>
      <c r="N267" s="38"/>
      <c r="V267" s="34">
        <f t="shared" si="35"/>
        <v>0</v>
      </c>
    </row>
    <row r="268" spans="1:24" hidden="1" outlineLevel="1" x14ac:dyDescent="0.25">
      <c r="H268" s="37"/>
      <c r="N268" s="38"/>
      <c r="V268" s="34">
        <f t="shared" si="35"/>
        <v>0</v>
      </c>
    </row>
    <row r="269" spans="1:24" hidden="1" outlineLevel="1" x14ac:dyDescent="0.25">
      <c r="H269" s="37"/>
      <c r="N269" s="38"/>
      <c r="V269" s="34">
        <f t="shared" si="35"/>
        <v>0</v>
      </c>
    </row>
    <row r="270" spans="1:24" hidden="1" outlineLevel="1" x14ac:dyDescent="0.25">
      <c r="H270" s="37"/>
      <c r="N270" s="38"/>
      <c r="V270" s="34">
        <f t="shared" si="35"/>
        <v>0</v>
      </c>
    </row>
    <row r="271" spans="1:24" hidden="1" outlineLevel="1" x14ac:dyDescent="0.25">
      <c r="H271" s="37"/>
      <c r="N271" s="38"/>
      <c r="S271" s="38"/>
      <c r="V271" s="34">
        <f t="shared" si="35"/>
        <v>0</v>
      </c>
    </row>
    <row r="272" spans="1:24" hidden="1" outlineLevel="1" x14ac:dyDescent="0.25">
      <c r="H272" s="37"/>
      <c r="N272" s="38"/>
      <c r="S272" s="38"/>
      <c r="V272" s="34">
        <f t="shared" si="35"/>
        <v>0</v>
      </c>
    </row>
    <row r="273" spans="1:25" hidden="1" outlineLevel="1" x14ac:dyDescent="0.25">
      <c r="H273" s="37"/>
      <c r="N273" s="38"/>
      <c r="S273" s="38"/>
      <c r="V273" s="34">
        <f t="shared" si="35"/>
        <v>0</v>
      </c>
    </row>
    <row r="274" spans="1:25" hidden="1" outlineLevel="1" x14ac:dyDescent="0.25">
      <c r="H274" s="37"/>
      <c r="N274" s="38"/>
      <c r="S274" s="38"/>
      <c r="V274" s="34">
        <f t="shared" si="35"/>
        <v>0</v>
      </c>
    </row>
    <row r="275" spans="1:25" hidden="1" outlineLevel="1" x14ac:dyDescent="0.25">
      <c r="H275" s="37"/>
      <c r="N275" s="38"/>
      <c r="S275" s="38"/>
      <c r="V275" s="34">
        <f t="shared" si="35"/>
        <v>0</v>
      </c>
    </row>
    <row r="276" spans="1:25" hidden="1" outlineLevel="1" x14ac:dyDescent="0.25">
      <c r="H276" s="37"/>
      <c r="N276" s="38"/>
      <c r="S276" s="38"/>
      <c r="V276" s="34">
        <f t="shared" si="35"/>
        <v>0</v>
      </c>
    </row>
    <row r="277" spans="1:25" ht="13.8" hidden="1" outlineLevel="1" thickBot="1" x14ac:dyDescent="0.3"/>
    <row r="278" spans="1:25" ht="12.75" customHeight="1" x14ac:dyDescent="0.25">
      <c r="A278" s="145">
        <v>9</v>
      </c>
      <c r="B278" s="147" t="s">
        <v>204</v>
      </c>
      <c r="C278" s="147" t="s">
        <v>32</v>
      </c>
      <c r="D278" s="149" t="s">
        <v>12</v>
      </c>
      <c r="E278" s="46"/>
      <c r="F278" s="66"/>
      <c r="G278" s="36">
        <f t="shared" ref="G278:U278" si="36">SUM(G280:G290)</f>
        <v>64</v>
      </c>
      <c r="H278" s="36">
        <f t="shared" si="36"/>
        <v>128</v>
      </c>
      <c r="I278" s="36">
        <f t="shared" si="36"/>
        <v>0</v>
      </c>
      <c r="J278" s="36">
        <f t="shared" si="36"/>
        <v>0</v>
      </c>
      <c r="K278" s="36">
        <f t="shared" si="36"/>
        <v>4</v>
      </c>
      <c r="L278" s="36">
        <f t="shared" si="36"/>
        <v>0</v>
      </c>
      <c r="M278" s="36">
        <f t="shared" si="36"/>
        <v>8</v>
      </c>
      <c r="N278" s="36">
        <f t="shared" si="36"/>
        <v>21</v>
      </c>
      <c r="O278" s="36">
        <f t="shared" si="36"/>
        <v>0</v>
      </c>
      <c r="P278" s="36">
        <f t="shared" si="36"/>
        <v>37.5</v>
      </c>
      <c r="Q278" s="36">
        <f t="shared" si="36"/>
        <v>0</v>
      </c>
      <c r="R278" s="36">
        <f t="shared" si="36"/>
        <v>0</v>
      </c>
      <c r="S278" s="36">
        <f t="shared" si="36"/>
        <v>0</v>
      </c>
      <c r="T278" s="36">
        <f t="shared" si="36"/>
        <v>0</v>
      </c>
      <c r="U278" s="36">
        <f t="shared" si="36"/>
        <v>0</v>
      </c>
      <c r="V278" s="36">
        <f>SUM(V280:V290)</f>
        <v>262.5</v>
      </c>
      <c r="W278" s="151">
        <f>V278+V279</f>
        <v>748.90000000000009</v>
      </c>
    </row>
    <row r="279" spans="1:25" ht="13.8" collapsed="1" thickBot="1" x14ac:dyDescent="0.3">
      <c r="A279" s="146"/>
      <c r="B279" s="148"/>
      <c r="C279" s="148"/>
      <c r="D279" s="150"/>
      <c r="E279" s="47" t="s">
        <v>33</v>
      </c>
      <c r="F279" s="67">
        <v>0.75</v>
      </c>
      <c r="G279" s="39">
        <f>SUM(G291:G308)</f>
        <v>106</v>
      </c>
      <c r="H279" s="41">
        <f>SUM(H291:H308)</f>
        <v>180</v>
      </c>
      <c r="I279" s="39">
        <f>SUM(I291:I308)</f>
        <v>0</v>
      </c>
      <c r="J279" s="39">
        <f>SUM(J291:J308)</f>
        <v>0</v>
      </c>
      <c r="K279" s="39">
        <f t="shared" ref="K279:U279" si="37">SUM(K291:K308)</f>
        <v>8</v>
      </c>
      <c r="L279" s="39">
        <f t="shared" si="37"/>
        <v>0</v>
      </c>
      <c r="M279" s="39">
        <f t="shared" si="37"/>
        <v>16</v>
      </c>
      <c r="N279" s="39">
        <f t="shared" si="37"/>
        <v>41</v>
      </c>
      <c r="O279" s="39">
        <f t="shared" si="37"/>
        <v>0</v>
      </c>
      <c r="P279" s="39">
        <f t="shared" si="37"/>
        <v>76</v>
      </c>
      <c r="Q279" s="39">
        <f t="shared" si="37"/>
        <v>0</v>
      </c>
      <c r="R279" s="39">
        <f t="shared" si="37"/>
        <v>0</v>
      </c>
      <c r="S279" s="39">
        <f t="shared" si="37"/>
        <v>59.400000000000006</v>
      </c>
      <c r="T279" s="39">
        <f t="shared" si="37"/>
        <v>0</v>
      </c>
      <c r="U279" s="39">
        <f t="shared" si="37"/>
        <v>0</v>
      </c>
      <c r="V279" s="39">
        <f>SUM(V291:V308)</f>
        <v>486.40000000000003</v>
      </c>
      <c r="W279" s="152"/>
      <c r="Y279" s="38"/>
    </row>
    <row r="280" spans="1:25" ht="39.6" hidden="1" outlineLevel="1" x14ac:dyDescent="0.25">
      <c r="A280" s="34" t="s">
        <v>223</v>
      </c>
      <c r="B280" s="42" t="s">
        <v>69</v>
      </c>
      <c r="C280" s="34">
        <v>4</v>
      </c>
      <c r="G280" s="34">
        <v>48</v>
      </c>
      <c r="H280" s="34">
        <v>96</v>
      </c>
      <c r="M280" s="34">
        <v>4</v>
      </c>
      <c r="P280" s="34">
        <v>16.5</v>
      </c>
      <c r="V280" s="34">
        <f t="shared" ref="V280:V289" si="38">SUM(G280:U280)</f>
        <v>164.5</v>
      </c>
    </row>
    <row r="281" spans="1:25" ht="39.6" hidden="1" outlineLevel="1" x14ac:dyDescent="0.25">
      <c r="A281" s="34" t="s">
        <v>224</v>
      </c>
      <c r="B281" s="42" t="s">
        <v>102</v>
      </c>
      <c r="C281" s="34">
        <v>5</v>
      </c>
      <c r="G281" s="34">
        <v>8</v>
      </c>
      <c r="H281" s="34">
        <v>16</v>
      </c>
      <c r="K281" s="34">
        <v>2</v>
      </c>
      <c r="M281" s="34">
        <v>2</v>
      </c>
      <c r="N281" s="34">
        <v>12.5</v>
      </c>
      <c r="P281" s="34">
        <v>12.5</v>
      </c>
      <c r="V281" s="34">
        <f t="shared" si="38"/>
        <v>53</v>
      </c>
    </row>
    <row r="282" spans="1:25" ht="39.6" hidden="1" outlineLevel="1" x14ac:dyDescent="0.25">
      <c r="A282" s="34" t="s">
        <v>224</v>
      </c>
      <c r="B282" s="42" t="s">
        <v>107</v>
      </c>
      <c r="C282" s="34">
        <v>3</v>
      </c>
      <c r="G282" s="34">
        <v>8</v>
      </c>
      <c r="H282" s="34">
        <v>16</v>
      </c>
      <c r="K282" s="34">
        <v>2</v>
      </c>
      <c r="M282" s="34">
        <v>2</v>
      </c>
      <c r="N282" s="34">
        <v>8.5</v>
      </c>
      <c r="P282" s="34">
        <v>8.5</v>
      </c>
      <c r="V282" s="34">
        <f t="shared" si="38"/>
        <v>45</v>
      </c>
    </row>
    <row r="283" spans="1:25" hidden="1" outlineLevel="1" x14ac:dyDescent="0.25">
      <c r="V283" s="34">
        <f t="shared" si="38"/>
        <v>0</v>
      </c>
    </row>
    <row r="284" spans="1:25" hidden="1" outlineLevel="1" x14ac:dyDescent="0.25">
      <c r="V284" s="34">
        <f t="shared" si="38"/>
        <v>0</v>
      </c>
    </row>
    <row r="285" spans="1:25" hidden="1" outlineLevel="1" x14ac:dyDescent="0.25">
      <c r="V285" s="34">
        <f t="shared" si="38"/>
        <v>0</v>
      </c>
    </row>
    <row r="286" spans="1:25" hidden="1" outlineLevel="1" x14ac:dyDescent="0.25">
      <c r="V286" s="34">
        <f t="shared" si="38"/>
        <v>0</v>
      </c>
    </row>
    <row r="287" spans="1:25" hidden="1" outlineLevel="1" x14ac:dyDescent="0.25">
      <c r="V287" s="34">
        <f t="shared" si="38"/>
        <v>0</v>
      </c>
    </row>
    <row r="288" spans="1:25" hidden="1" outlineLevel="1" x14ac:dyDescent="0.25">
      <c r="V288" s="34">
        <f t="shared" si="38"/>
        <v>0</v>
      </c>
    </row>
    <row r="289" spans="1:24" hidden="1" outlineLevel="1" x14ac:dyDescent="0.25">
      <c r="V289" s="34">
        <f t="shared" si="38"/>
        <v>0</v>
      </c>
    </row>
    <row r="290" spans="1:24" hidden="1" outlineLevel="1" x14ac:dyDescent="0.25">
      <c r="B290" s="155" t="s">
        <v>29</v>
      </c>
      <c r="C290" s="155"/>
      <c r="D290" s="155"/>
      <c r="E290" s="155"/>
      <c r="F290" s="155"/>
      <c r="G290" s="155"/>
      <c r="H290" s="155"/>
      <c r="I290" s="155"/>
      <c r="J290" s="155"/>
      <c r="K290" s="155"/>
      <c r="L290" s="155"/>
      <c r="M290" s="155"/>
      <c r="N290" s="155"/>
      <c r="O290" s="155"/>
      <c r="P290" s="155"/>
      <c r="Q290" s="155"/>
      <c r="R290" s="155"/>
      <c r="S290" s="155"/>
      <c r="T290" s="155"/>
      <c r="U290" s="155"/>
      <c r="V290" s="103"/>
    </row>
    <row r="291" spans="1:24" ht="52.8" hidden="1" outlineLevel="1" x14ac:dyDescent="0.25">
      <c r="A291" s="34" t="s">
        <v>223</v>
      </c>
      <c r="B291" s="42" t="s">
        <v>81</v>
      </c>
      <c r="C291" s="34">
        <v>3</v>
      </c>
      <c r="G291" s="34">
        <v>32</v>
      </c>
      <c r="H291" s="34">
        <v>32</v>
      </c>
      <c r="M291" s="34">
        <v>4</v>
      </c>
      <c r="P291" s="34">
        <v>18.5</v>
      </c>
      <c r="V291" s="34">
        <f t="shared" ref="V291:V307" si="39">SUM(G291:U291)</f>
        <v>86.5</v>
      </c>
      <c r="X291" s="38"/>
    </row>
    <row r="292" spans="1:24" ht="39.6" hidden="1" outlineLevel="1" x14ac:dyDescent="0.25">
      <c r="A292" s="34" t="s">
        <v>224</v>
      </c>
      <c r="B292" s="42" t="s">
        <v>102</v>
      </c>
      <c r="C292" s="34">
        <v>4</v>
      </c>
      <c r="G292" s="34">
        <v>8</v>
      </c>
      <c r="H292" s="34">
        <v>16</v>
      </c>
      <c r="K292" s="34">
        <v>2</v>
      </c>
      <c r="M292" s="34">
        <v>2</v>
      </c>
      <c r="N292" s="34">
        <v>12</v>
      </c>
      <c r="P292" s="34">
        <v>12</v>
      </c>
      <c r="V292" s="34">
        <f t="shared" si="39"/>
        <v>52</v>
      </c>
    </row>
    <row r="293" spans="1:24" ht="52.8" hidden="1" outlineLevel="1" x14ac:dyDescent="0.25">
      <c r="A293" s="34" t="s">
        <v>224</v>
      </c>
      <c r="B293" s="42" t="s">
        <v>131</v>
      </c>
      <c r="C293" s="34">
        <v>3</v>
      </c>
      <c r="G293" s="34">
        <v>8</v>
      </c>
      <c r="H293" s="34">
        <v>16</v>
      </c>
      <c r="K293" s="34">
        <v>2</v>
      </c>
      <c r="M293" s="34">
        <v>2</v>
      </c>
      <c r="N293" s="34">
        <v>8.5</v>
      </c>
      <c r="P293" s="34">
        <v>8.5</v>
      </c>
      <c r="V293" s="34">
        <f t="shared" si="39"/>
        <v>45</v>
      </c>
      <c r="X293" s="38"/>
    </row>
    <row r="294" spans="1:24" ht="39.6" hidden="1" outlineLevel="1" x14ac:dyDescent="0.25">
      <c r="A294" s="34" t="s">
        <v>224</v>
      </c>
      <c r="B294" s="42" t="s">
        <v>107</v>
      </c>
      <c r="C294" s="34">
        <v>3</v>
      </c>
      <c r="G294" s="34">
        <v>8</v>
      </c>
      <c r="H294" s="34">
        <v>16</v>
      </c>
      <c r="K294" s="34">
        <v>2</v>
      </c>
      <c r="M294" s="34">
        <v>2</v>
      </c>
      <c r="N294" s="34">
        <v>8.5</v>
      </c>
      <c r="P294" s="34">
        <v>8.5</v>
      </c>
      <c r="V294" s="34">
        <f t="shared" si="39"/>
        <v>45</v>
      </c>
      <c r="X294" s="38"/>
    </row>
    <row r="295" spans="1:24" ht="52.8" hidden="1" outlineLevel="1" x14ac:dyDescent="0.25">
      <c r="A295" s="34" t="s">
        <v>224</v>
      </c>
      <c r="B295" s="42" t="s">
        <v>120</v>
      </c>
      <c r="C295" s="34">
        <v>4</v>
      </c>
      <c r="G295" s="34">
        <v>8</v>
      </c>
      <c r="H295" s="34">
        <v>16</v>
      </c>
      <c r="K295" s="34">
        <v>2</v>
      </c>
      <c r="M295" s="34">
        <v>2</v>
      </c>
      <c r="N295" s="34">
        <v>12</v>
      </c>
      <c r="P295" s="34">
        <v>12</v>
      </c>
      <c r="V295" s="34">
        <f t="shared" si="39"/>
        <v>52</v>
      </c>
      <c r="X295" s="38"/>
    </row>
    <row r="296" spans="1:24" ht="39.6" hidden="1" outlineLevel="1" x14ac:dyDescent="0.25">
      <c r="A296" s="34" t="s">
        <v>223</v>
      </c>
      <c r="B296" s="42" t="s">
        <v>69</v>
      </c>
      <c r="C296" s="34">
        <v>4</v>
      </c>
      <c r="G296" s="34">
        <v>42</v>
      </c>
      <c r="H296" s="34">
        <v>84</v>
      </c>
      <c r="M296" s="34">
        <v>4</v>
      </c>
      <c r="P296" s="34">
        <v>16.5</v>
      </c>
      <c r="V296" s="34">
        <f t="shared" si="39"/>
        <v>146.5</v>
      </c>
    </row>
    <row r="297" spans="1:24" ht="26.4" hidden="1" outlineLevel="1" x14ac:dyDescent="0.25">
      <c r="A297" s="34" t="s">
        <v>223</v>
      </c>
      <c r="B297" s="42" t="s">
        <v>86</v>
      </c>
      <c r="C297" s="34">
        <v>4</v>
      </c>
      <c r="H297" s="37"/>
      <c r="N297" s="38"/>
      <c r="S297" s="34">
        <v>19.8</v>
      </c>
      <c r="V297" s="34">
        <f t="shared" si="39"/>
        <v>19.8</v>
      </c>
    </row>
    <row r="298" spans="1:24" ht="26.4" hidden="1" outlineLevel="1" x14ac:dyDescent="0.25">
      <c r="A298" s="34" t="s">
        <v>224</v>
      </c>
      <c r="B298" s="42" t="s">
        <v>134</v>
      </c>
      <c r="C298" s="34">
        <v>4</v>
      </c>
      <c r="H298" s="37"/>
      <c r="N298" s="38"/>
      <c r="S298" s="34">
        <v>39.6</v>
      </c>
      <c r="V298" s="34">
        <f t="shared" si="39"/>
        <v>39.6</v>
      </c>
    </row>
    <row r="299" spans="1:24" hidden="1" outlineLevel="1" x14ac:dyDescent="0.25">
      <c r="H299" s="37"/>
      <c r="N299" s="38"/>
      <c r="V299" s="34">
        <f t="shared" si="39"/>
        <v>0</v>
      </c>
    </row>
    <row r="300" spans="1:24" hidden="1" outlineLevel="1" x14ac:dyDescent="0.25">
      <c r="H300" s="37"/>
      <c r="N300" s="38"/>
      <c r="V300" s="34">
        <f t="shared" si="39"/>
        <v>0</v>
      </c>
    </row>
    <row r="301" spans="1:24" hidden="1" outlineLevel="1" x14ac:dyDescent="0.25">
      <c r="H301" s="37"/>
      <c r="N301" s="38"/>
      <c r="V301" s="34">
        <f t="shared" si="39"/>
        <v>0</v>
      </c>
    </row>
    <row r="302" spans="1:24" hidden="1" outlineLevel="1" x14ac:dyDescent="0.25">
      <c r="H302" s="37"/>
      <c r="N302" s="38"/>
      <c r="S302" s="38"/>
      <c r="V302" s="34">
        <f t="shared" si="39"/>
        <v>0</v>
      </c>
    </row>
    <row r="303" spans="1:24" hidden="1" outlineLevel="1" x14ac:dyDescent="0.25">
      <c r="H303" s="37"/>
      <c r="N303" s="38"/>
      <c r="S303" s="38"/>
      <c r="V303" s="34">
        <f t="shared" si="39"/>
        <v>0</v>
      </c>
    </row>
    <row r="304" spans="1:24" hidden="1" outlineLevel="1" x14ac:dyDescent="0.25">
      <c r="H304" s="37"/>
      <c r="N304" s="38"/>
      <c r="S304" s="38"/>
      <c r="V304" s="34">
        <f t="shared" si="39"/>
        <v>0</v>
      </c>
    </row>
    <row r="305" spans="1:25" hidden="1" outlineLevel="1" x14ac:dyDescent="0.25">
      <c r="H305" s="37"/>
      <c r="N305" s="38"/>
      <c r="S305" s="38"/>
      <c r="V305" s="34">
        <f t="shared" si="39"/>
        <v>0</v>
      </c>
    </row>
    <row r="306" spans="1:25" hidden="1" outlineLevel="1" x14ac:dyDescent="0.25">
      <c r="H306" s="37"/>
      <c r="N306" s="38"/>
      <c r="S306" s="38"/>
      <c r="V306" s="34">
        <f t="shared" si="39"/>
        <v>0</v>
      </c>
    </row>
    <row r="307" spans="1:25" hidden="1" outlineLevel="1" x14ac:dyDescent="0.25">
      <c r="H307" s="37"/>
      <c r="N307" s="38"/>
      <c r="S307" s="38"/>
      <c r="V307" s="34">
        <f t="shared" si="39"/>
        <v>0</v>
      </c>
    </row>
    <row r="308" spans="1:25" ht="13.8" hidden="1" outlineLevel="1" thickBot="1" x14ac:dyDescent="0.3"/>
    <row r="309" spans="1:25" ht="12.75" customHeight="1" x14ac:dyDescent="0.25">
      <c r="A309" s="145">
        <v>10</v>
      </c>
      <c r="B309" s="147" t="s">
        <v>205</v>
      </c>
      <c r="C309" s="147" t="s">
        <v>61</v>
      </c>
      <c r="D309" s="149" t="s">
        <v>12</v>
      </c>
      <c r="E309" s="46"/>
      <c r="F309" s="66"/>
      <c r="G309" s="36">
        <f t="shared" ref="G309:U309" si="40">SUM(G311:G321)</f>
        <v>0</v>
      </c>
      <c r="H309" s="36">
        <f t="shared" si="40"/>
        <v>146</v>
      </c>
      <c r="I309" s="36">
        <f t="shared" si="40"/>
        <v>0</v>
      </c>
      <c r="J309" s="36">
        <f t="shared" si="40"/>
        <v>0</v>
      </c>
      <c r="K309" s="36">
        <f t="shared" si="40"/>
        <v>0</v>
      </c>
      <c r="L309" s="36">
        <f t="shared" si="40"/>
        <v>0</v>
      </c>
      <c r="M309" s="36">
        <f t="shared" si="40"/>
        <v>0</v>
      </c>
      <c r="N309" s="36">
        <f t="shared" si="40"/>
        <v>0</v>
      </c>
      <c r="O309" s="36">
        <f t="shared" si="40"/>
        <v>0</v>
      </c>
      <c r="P309" s="36">
        <f t="shared" si="40"/>
        <v>0</v>
      </c>
      <c r="Q309" s="36">
        <f t="shared" si="40"/>
        <v>0</v>
      </c>
      <c r="R309" s="36">
        <f t="shared" si="40"/>
        <v>0</v>
      </c>
      <c r="S309" s="36">
        <f t="shared" si="40"/>
        <v>0</v>
      </c>
      <c r="T309" s="36">
        <f t="shared" si="40"/>
        <v>0</v>
      </c>
      <c r="U309" s="36">
        <f t="shared" si="40"/>
        <v>0</v>
      </c>
      <c r="V309" s="36">
        <f>SUM(V311:V321)</f>
        <v>146</v>
      </c>
      <c r="W309" s="151">
        <f>V309+V310</f>
        <v>262</v>
      </c>
    </row>
    <row r="310" spans="1:25" ht="13.8" collapsed="1" thickBot="1" x14ac:dyDescent="0.3">
      <c r="A310" s="146"/>
      <c r="B310" s="148"/>
      <c r="C310" s="148"/>
      <c r="D310" s="150"/>
      <c r="E310" s="47" t="s">
        <v>33</v>
      </c>
      <c r="F310" s="67">
        <v>0.25</v>
      </c>
      <c r="G310" s="39">
        <f>SUM(G322:G339)</f>
        <v>0</v>
      </c>
      <c r="H310" s="41">
        <f>SUM(H322:H339)</f>
        <v>116</v>
      </c>
      <c r="I310" s="39">
        <f>SUM(I322:I339)</f>
        <v>0</v>
      </c>
      <c r="J310" s="39">
        <f>SUM(J322:J339)</f>
        <v>0</v>
      </c>
      <c r="K310" s="39">
        <f t="shared" ref="K310:U310" si="41">SUM(K322:K339)</f>
        <v>0</v>
      </c>
      <c r="L310" s="39">
        <f t="shared" si="41"/>
        <v>0</v>
      </c>
      <c r="M310" s="39">
        <f t="shared" si="41"/>
        <v>0</v>
      </c>
      <c r="N310" s="39">
        <f t="shared" si="41"/>
        <v>0</v>
      </c>
      <c r="O310" s="39">
        <f t="shared" si="41"/>
        <v>0</v>
      </c>
      <c r="P310" s="39">
        <f t="shared" si="41"/>
        <v>0</v>
      </c>
      <c r="Q310" s="39">
        <f t="shared" si="41"/>
        <v>0</v>
      </c>
      <c r="R310" s="39">
        <f t="shared" si="41"/>
        <v>0</v>
      </c>
      <c r="S310" s="39">
        <f t="shared" si="41"/>
        <v>0</v>
      </c>
      <c r="T310" s="39">
        <f t="shared" si="41"/>
        <v>0</v>
      </c>
      <c r="U310" s="39">
        <f t="shared" si="41"/>
        <v>0</v>
      </c>
      <c r="V310" s="39">
        <f>SUM(V322:V339)</f>
        <v>116</v>
      </c>
      <c r="W310" s="152"/>
      <c r="Y310" s="38"/>
    </row>
    <row r="311" spans="1:25" hidden="1" outlineLevel="1" x14ac:dyDescent="0.25">
      <c r="A311" s="34" t="s">
        <v>223</v>
      </c>
      <c r="B311" s="42" t="s">
        <v>70</v>
      </c>
      <c r="C311" s="34">
        <v>2</v>
      </c>
      <c r="H311" s="34">
        <v>34</v>
      </c>
      <c r="V311" s="34">
        <f t="shared" ref="V311:V320" si="42">SUM(G311:U311)</f>
        <v>34</v>
      </c>
    </row>
    <row r="312" spans="1:25" ht="39.6" hidden="1" outlineLevel="1" x14ac:dyDescent="0.25">
      <c r="A312" s="34" t="s">
        <v>223</v>
      </c>
      <c r="B312" s="42" t="s">
        <v>67</v>
      </c>
      <c r="C312" s="34">
        <v>4</v>
      </c>
      <c r="H312" s="34">
        <v>96</v>
      </c>
      <c r="V312" s="34">
        <f t="shared" si="42"/>
        <v>96</v>
      </c>
    </row>
    <row r="313" spans="1:25" hidden="1" outlineLevel="1" x14ac:dyDescent="0.25">
      <c r="A313" t="s">
        <v>224</v>
      </c>
      <c r="B313" t="s">
        <v>100</v>
      </c>
      <c r="C313">
        <v>4</v>
      </c>
      <c r="D313"/>
      <c r="E313"/>
      <c r="F313"/>
      <c r="G313"/>
      <c r="H313">
        <v>16</v>
      </c>
      <c r="I313"/>
      <c r="J313"/>
      <c r="K313"/>
      <c r="L313"/>
      <c r="M313"/>
      <c r="N313"/>
      <c r="O313"/>
      <c r="P313"/>
      <c r="Q313"/>
      <c r="R313"/>
      <c r="S313"/>
      <c r="T313"/>
      <c r="U313"/>
      <c r="V313" s="34">
        <f t="shared" si="42"/>
        <v>16</v>
      </c>
    </row>
    <row r="314" spans="1:25" hidden="1" outlineLevel="1" x14ac:dyDescent="0.25">
      <c r="V314" s="34">
        <f t="shared" si="42"/>
        <v>0</v>
      </c>
    </row>
    <row r="315" spans="1:25" hidden="1" outlineLevel="1" x14ac:dyDescent="0.25">
      <c r="V315" s="34">
        <f t="shared" si="42"/>
        <v>0</v>
      </c>
    </row>
    <row r="316" spans="1:25" hidden="1" outlineLevel="1" x14ac:dyDescent="0.25">
      <c r="V316" s="34">
        <f t="shared" si="42"/>
        <v>0</v>
      </c>
    </row>
    <row r="317" spans="1:25" hidden="1" outlineLevel="1" x14ac:dyDescent="0.25">
      <c r="V317" s="34">
        <f t="shared" si="42"/>
        <v>0</v>
      </c>
    </row>
    <row r="318" spans="1:25" hidden="1" outlineLevel="1" x14ac:dyDescent="0.25">
      <c r="V318" s="34">
        <f t="shared" si="42"/>
        <v>0</v>
      </c>
    </row>
    <row r="319" spans="1:25" hidden="1" outlineLevel="1" x14ac:dyDescent="0.25">
      <c r="V319" s="34">
        <f t="shared" si="42"/>
        <v>0</v>
      </c>
    </row>
    <row r="320" spans="1:25" hidden="1" outlineLevel="1" x14ac:dyDescent="0.25">
      <c r="V320" s="34">
        <f t="shared" si="42"/>
        <v>0</v>
      </c>
    </row>
    <row r="321" spans="1:24" hidden="1" outlineLevel="1" x14ac:dyDescent="0.25">
      <c r="B321" s="155" t="s">
        <v>29</v>
      </c>
      <c r="C321" s="155"/>
      <c r="D321" s="155"/>
      <c r="E321" s="155"/>
      <c r="F321" s="155"/>
      <c r="G321" s="155"/>
      <c r="H321" s="155"/>
      <c r="I321" s="155"/>
      <c r="J321" s="155"/>
      <c r="K321" s="155"/>
      <c r="L321" s="155"/>
      <c r="M321" s="155"/>
      <c r="N321" s="155"/>
      <c r="O321" s="155"/>
      <c r="P321" s="155"/>
      <c r="Q321" s="155"/>
      <c r="R321" s="155"/>
      <c r="S321" s="155"/>
      <c r="T321" s="155"/>
      <c r="U321" s="155"/>
      <c r="V321" s="103"/>
    </row>
    <row r="322" spans="1:24" ht="39.6" hidden="1" outlineLevel="1" x14ac:dyDescent="0.25">
      <c r="A322" s="34" t="s">
        <v>223</v>
      </c>
      <c r="B322" s="42" t="s">
        <v>67</v>
      </c>
      <c r="C322" s="34">
        <v>3</v>
      </c>
      <c r="H322" s="34">
        <v>32</v>
      </c>
      <c r="V322" s="34">
        <f t="shared" ref="V322:V338" si="43">SUM(G322:U322)</f>
        <v>32</v>
      </c>
      <c r="X322" s="38"/>
    </row>
    <row r="323" spans="1:24" hidden="1" outlineLevel="1" x14ac:dyDescent="0.25">
      <c r="A323" t="s">
        <v>224</v>
      </c>
      <c r="B323" t="s">
        <v>132</v>
      </c>
      <c r="C323">
        <v>3</v>
      </c>
      <c r="D323"/>
      <c r="E323"/>
      <c r="F323"/>
      <c r="G323"/>
      <c r="H323">
        <v>16</v>
      </c>
      <c r="I323"/>
      <c r="J323"/>
      <c r="K323"/>
      <c r="L323"/>
      <c r="M323"/>
      <c r="N323"/>
      <c r="O323"/>
      <c r="P323"/>
      <c r="Q323"/>
      <c r="R323"/>
      <c r="S323"/>
      <c r="T323"/>
      <c r="U323"/>
      <c r="V323" s="34">
        <f t="shared" si="43"/>
        <v>16</v>
      </c>
    </row>
    <row r="324" spans="1:24" ht="26.4" hidden="1" outlineLevel="1" x14ac:dyDescent="0.25">
      <c r="A324" s="34" t="s">
        <v>223</v>
      </c>
      <c r="B324" s="42" t="s">
        <v>93</v>
      </c>
      <c r="C324" s="34">
        <v>2</v>
      </c>
      <c r="H324" s="34">
        <v>68</v>
      </c>
      <c r="V324" s="34">
        <f t="shared" si="43"/>
        <v>68</v>
      </c>
      <c r="X324" s="38"/>
    </row>
    <row r="325" spans="1:24" hidden="1" outlineLevel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 s="34">
        <f t="shared" si="43"/>
        <v>0</v>
      </c>
      <c r="X325" s="38"/>
    </row>
    <row r="326" spans="1:24" hidden="1" outlineLevel="1" x14ac:dyDescent="0.25">
      <c r="V326" s="34">
        <f t="shared" si="43"/>
        <v>0</v>
      </c>
      <c r="X326" s="38"/>
    </row>
    <row r="327" spans="1:24" hidden="1" outlineLevel="1" x14ac:dyDescent="0.25">
      <c r="V327" s="34">
        <f t="shared" si="43"/>
        <v>0</v>
      </c>
    </row>
    <row r="328" spans="1:24" hidden="1" outlineLevel="1" x14ac:dyDescent="0.25">
      <c r="H328" s="37"/>
      <c r="N328" s="38"/>
      <c r="V328" s="34">
        <f t="shared" si="43"/>
        <v>0</v>
      </c>
    </row>
    <row r="329" spans="1:24" hidden="1" outlineLevel="1" x14ac:dyDescent="0.25">
      <c r="H329" s="37"/>
      <c r="N329" s="38"/>
      <c r="V329" s="34">
        <f t="shared" si="43"/>
        <v>0</v>
      </c>
    </row>
    <row r="330" spans="1:24" hidden="1" outlineLevel="1" x14ac:dyDescent="0.25">
      <c r="H330" s="37"/>
      <c r="N330" s="38"/>
      <c r="V330" s="34">
        <f t="shared" si="43"/>
        <v>0</v>
      </c>
    </row>
    <row r="331" spans="1:24" hidden="1" outlineLevel="1" x14ac:dyDescent="0.25">
      <c r="H331" s="37"/>
      <c r="N331" s="38"/>
      <c r="V331" s="34">
        <f t="shared" si="43"/>
        <v>0</v>
      </c>
    </row>
    <row r="332" spans="1:24" hidden="1" outlineLevel="1" x14ac:dyDescent="0.25">
      <c r="H332" s="37"/>
      <c r="N332" s="38"/>
      <c r="V332" s="34">
        <f t="shared" si="43"/>
        <v>0</v>
      </c>
    </row>
    <row r="333" spans="1:24" hidden="1" outlineLevel="1" x14ac:dyDescent="0.25">
      <c r="H333" s="37"/>
      <c r="N333" s="38"/>
      <c r="S333" s="38"/>
      <c r="V333" s="34">
        <f t="shared" si="43"/>
        <v>0</v>
      </c>
    </row>
    <row r="334" spans="1:24" hidden="1" outlineLevel="1" x14ac:dyDescent="0.25">
      <c r="H334" s="37"/>
      <c r="N334" s="38"/>
      <c r="S334" s="38"/>
      <c r="V334" s="34">
        <f t="shared" si="43"/>
        <v>0</v>
      </c>
    </row>
    <row r="335" spans="1:24" hidden="1" outlineLevel="1" x14ac:dyDescent="0.25">
      <c r="H335" s="37"/>
      <c r="N335" s="38"/>
      <c r="S335" s="38"/>
      <c r="V335" s="34">
        <f t="shared" si="43"/>
        <v>0</v>
      </c>
    </row>
    <row r="336" spans="1:24" hidden="1" outlineLevel="1" x14ac:dyDescent="0.25">
      <c r="H336" s="37"/>
      <c r="N336" s="38"/>
      <c r="S336" s="38"/>
      <c r="V336" s="34">
        <f t="shared" si="43"/>
        <v>0</v>
      </c>
    </row>
    <row r="337" spans="1:25" hidden="1" outlineLevel="1" x14ac:dyDescent="0.25">
      <c r="H337" s="37"/>
      <c r="N337" s="38"/>
      <c r="S337" s="38"/>
      <c r="V337" s="34">
        <f t="shared" si="43"/>
        <v>0</v>
      </c>
    </row>
    <row r="338" spans="1:25" hidden="1" outlineLevel="1" x14ac:dyDescent="0.25">
      <c r="H338" s="37"/>
      <c r="N338" s="38"/>
      <c r="S338" s="38"/>
      <c r="V338" s="34">
        <f t="shared" si="43"/>
        <v>0</v>
      </c>
    </row>
    <row r="339" spans="1:25" ht="13.8" hidden="1" outlineLevel="1" thickBot="1" x14ac:dyDescent="0.3"/>
    <row r="340" spans="1:25" ht="12.75" customHeight="1" x14ac:dyDescent="0.25">
      <c r="A340" s="145">
        <v>11</v>
      </c>
      <c r="B340" s="147" t="s">
        <v>216</v>
      </c>
      <c r="C340" s="147" t="s">
        <v>32</v>
      </c>
      <c r="D340" s="149" t="s">
        <v>12</v>
      </c>
      <c r="E340" s="46"/>
      <c r="F340" s="66"/>
      <c r="G340" s="36">
        <f t="shared" ref="G340:U340" si="44">SUM(G342:G352)</f>
        <v>34</v>
      </c>
      <c r="H340" s="36">
        <f t="shared" si="44"/>
        <v>136</v>
      </c>
      <c r="I340" s="36">
        <f t="shared" si="44"/>
        <v>0</v>
      </c>
      <c r="J340" s="36">
        <f t="shared" si="44"/>
        <v>0</v>
      </c>
      <c r="K340" s="36">
        <f t="shared" si="44"/>
        <v>0</v>
      </c>
      <c r="L340" s="36">
        <f t="shared" si="44"/>
        <v>0</v>
      </c>
      <c r="M340" s="36">
        <f t="shared" si="44"/>
        <v>2</v>
      </c>
      <c r="N340" s="36">
        <f t="shared" si="44"/>
        <v>0</v>
      </c>
      <c r="O340" s="36">
        <f t="shared" si="44"/>
        <v>0</v>
      </c>
      <c r="P340" s="36">
        <f t="shared" si="44"/>
        <v>10.5</v>
      </c>
      <c r="Q340" s="36">
        <f t="shared" si="44"/>
        <v>0</v>
      </c>
      <c r="R340" s="36">
        <f t="shared" si="44"/>
        <v>0</v>
      </c>
      <c r="S340" s="36">
        <f t="shared" si="44"/>
        <v>0</v>
      </c>
      <c r="T340" s="36">
        <f t="shared" si="44"/>
        <v>0</v>
      </c>
      <c r="U340" s="36">
        <f t="shared" si="44"/>
        <v>0</v>
      </c>
      <c r="V340" s="36">
        <f>SUM(V342:V352)</f>
        <v>182.5</v>
      </c>
      <c r="W340" s="151">
        <f>V340+V341</f>
        <v>440.5</v>
      </c>
    </row>
    <row r="341" spans="1:25" ht="13.8" collapsed="1" thickBot="1" x14ac:dyDescent="0.3">
      <c r="A341" s="146"/>
      <c r="B341" s="148"/>
      <c r="C341" s="148"/>
      <c r="D341" s="150"/>
      <c r="E341" s="47" t="s">
        <v>33</v>
      </c>
      <c r="F341" s="67">
        <v>0.25</v>
      </c>
      <c r="G341" s="39">
        <f>SUM(G353:G370)</f>
        <v>40</v>
      </c>
      <c r="H341" s="41">
        <f>SUM(H353:H370)</f>
        <v>138</v>
      </c>
      <c r="I341" s="39">
        <f>SUM(I353:I370)</f>
        <v>0</v>
      </c>
      <c r="J341" s="39">
        <f>SUM(J353:J370)</f>
        <v>0</v>
      </c>
      <c r="K341" s="39">
        <f t="shared" ref="K341:U341" si="45">SUM(K353:K370)</f>
        <v>2</v>
      </c>
      <c r="L341" s="39">
        <f t="shared" si="45"/>
        <v>54</v>
      </c>
      <c r="M341" s="39">
        <f t="shared" si="45"/>
        <v>4</v>
      </c>
      <c r="N341" s="39">
        <f t="shared" si="45"/>
        <v>5.5</v>
      </c>
      <c r="O341" s="39">
        <f t="shared" si="45"/>
        <v>0</v>
      </c>
      <c r="P341" s="39">
        <f t="shared" si="45"/>
        <v>14.5</v>
      </c>
      <c r="Q341" s="39">
        <f t="shared" si="45"/>
        <v>0</v>
      </c>
      <c r="R341" s="39">
        <f t="shared" si="45"/>
        <v>0</v>
      </c>
      <c r="S341" s="39">
        <f t="shared" si="45"/>
        <v>0</v>
      </c>
      <c r="T341" s="39">
        <f t="shared" si="45"/>
        <v>0</v>
      </c>
      <c r="U341" s="39">
        <f t="shared" si="45"/>
        <v>0</v>
      </c>
      <c r="V341" s="39">
        <f>SUM(V353:V370)</f>
        <v>258</v>
      </c>
      <c r="W341" s="152"/>
      <c r="Y341" s="38"/>
    </row>
    <row r="342" spans="1:25" ht="26.4" hidden="1" outlineLevel="1" x14ac:dyDescent="0.25">
      <c r="A342" s="34" t="s">
        <v>223</v>
      </c>
      <c r="B342" s="42" t="s">
        <v>73</v>
      </c>
      <c r="C342" s="34">
        <v>3</v>
      </c>
      <c r="H342" s="34">
        <v>68</v>
      </c>
      <c r="V342" s="34">
        <f t="shared" ref="V342:V351" si="46">SUM(G342:U342)</f>
        <v>68</v>
      </c>
    </row>
    <row r="343" spans="1:25" ht="39.6" hidden="1" outlineLevel="1" x14ac:dyDescent="0.25">
      <c r="A343" s="34" t="s">
        <v>223</v>
      </c>
      <c r="B343" s="42" t="s">
        <v>237</v>
      </c>
      <c r="C343" s="34">
        <v>1</v>
      </c>
      <c r="G343" s="34">
        <v>34</v>
      </c>
      <c r="H343" s="34">
        <v>68</v>
      </c>
      <c r="M343" s="34">
        <v>2</v>
      </c>
      <c r="P343" s="34">
        <v>10.5</v>
      </c>
      <c r="V343" s="34">
        <f t="shared" si="46"/>
        <v>114.5</v>
      </c>
    </row>
    <row r="344" spans="1:25" hidden="1" outlineLevel="1" x14ac:dyDescent="0.25">
      <c r="V344" s="34">
        <f t="shared" si="46"/>
        <v>0</v>
      </c>
    </row>
    <row r="345" spans="1:25" hidden="1" outlineLevel="1" x14ac:dyDescent="0.25">
      <c r="V345" s="34">
        <f t="shared" si="46"/>
        <v>0</v>
      </c>
    </row>
    <row r="346" spans="1:25" hidden="1" outlineLevel="1" x14ac:dyDescent="0.25">
      <c r="V346" s="34">
        <f t="shared" si="46"/>
        <v>0</v>
      </c>
    </row>
    <row r="347" spans="1:25" hidden="1" outlineLevel="1" x14ac:dyDescent="0.25">
      <c r="V347" s="34">
        <f t="shared" si="46"/>
        <v>0</v>
      </c>
    </row>
    <row r="348" spans="1:25" hidden="1" outlineLevel="1" x14ac:dyDescent="0.25">
      <c r="V348" s="34">
        <f t="shared" si="46"/>
        <v>0</v>
      </c>
    </row>
    <row r="349" spans="1:25" hidden="1" outlineLevel="1" x14ac:dyDescent="0.25">
      <c r="V349" s="34">
        <f t="shared" si="46"/>
        <v>0</v>
      </c>
    </row>
    <row r="350" spans="1:25" hidden="1" outlineLevel="1" x14ac:dyDescent="0.25">
      <c r="V350" s="34">
        <f t="shared" si="46"/>
        <v>0</v>
      </c>
    </row>
    <row r="351" spans="1:25" hidden="1" outlineLevel="1" x14ac:dyDescent="0.25">
      <c r="V351" s="34">
        <f t="shared" si="46"/>
        <v>0</v>
      </c>
    </row>
    <row r="352" spans="1:25" hidden="1" outlineLevel="1" x14ac:dyDescent="0.25">
      <c r="B352" s="155" t="s">
        <v>29</v>
      </c>
      <c r="C352" s="155"/>
      <c r="D352" s="155"/>
      <c r="E352" s="155"/>
      <c r="F352" s="155"/>
      <c r="G352" s="155"/>
      <c r="H352" s="155"/>
      <c r="I352" s="155"/>
      <c r="J352" s="155"/>
      <c r="K352" s="155"/>
      <c r="L352" s="155"/>
      <c r="M352" s="155"/>
      <c r="N352" s="155"/>
      <c r="O352" s="155"/>
      <c r="P352" s="155"/>
      <c r="Q352" s="155"/>
      <c r="R352" s="155"/>
      <c r="S352" s="155"/>
      <c r="T352" s="155"/>
      <c r="U352" s="155"/>
      <c r="V352" s="103"/>
    </row>
    <row r="353" spans="1:24" ht="52.8" hidden="1" outlineLevel="1" x14ac:dyDescent="0.25">
      <c r="A353" s="34" t="s">
        <v>223</v>
      </c>
      <c r="B353" s="42" t="s">
        <v>81</v>
      </c>
      <c r="C353" s="34">
        <v>3</v>
      </c>
      <c r="H353" s="34">
        <v>64</v>
      </c>
      <c r="V353" s="34">
        <f t="shared" ref="V353:V369" si="47">SUM(G353:U353)</f>
        <v>64</v>
      </c>
      <c r="X353" s="38"/>
    </row>
    <row r="354" spans="1:24" ht="39.6" hidden="1" outlineLevel="1" x14ac:dyDescent="0.25">
      <c r="A354" s="34" t="s">
        <v>223</v>
      </c>
      <c r="B354" s="42" t="s">
        <v>94</v>
      </c>
      <c r="C354" s="34">
        <v>3</v>
      </c>
      <c r="G354" s="34">
        <v>34</v>
      </c>
      <c r="H354" s="34">
        <v>68</v>
      </c>
      <c r="L354" s="34">
        <v>54</v>
      </c>
      <c r="M354" s="34">
        <v>2</v>
      </c>
      <c r="P354" s="34">
        <v>9</v>
      </c>
      <c r="V354" s="34">
        <f t="shared" si="47"/>
        <v>167</v>
      </c>
    </row>
    <row r="355" spans="1:24" ht="39.6" hidden="1" outlineLevel="1" x14ac:dyDescent="0.25">
      <c r="A355" s="34" t="s">
        <v>224</v>
      </c>
      <c r="B355" s="42" t="s">
        <v>141</v>
      </c>
      <c r="C355" s="34">
        <v>3</v>
      </c>
      <c r="G355" s="34">
        <v>6</v>
      </c>
      <c r="H355" s="34">
        <v>6</v>
      </c>
      <c r="K355" s="34">
        <v>2</v>
      </c>
      <c r="M355" s="34">
        <v>2</v>
      </c>
      <c r="N355" s="34">
        <v>5.5</v>
      </c>
      <c r="P355" s="34">
        <v>5.5</v>
      </c>
      <c r="V355" s="34">
        <f t="shared" si="47"/>
        <v>27</v>
      </c>
      <c r="X355" s="38"/>
    </row>
    <row r="356" spans="1:24" hidden="1" outlineLevel="1" x14ac:dyDescent="0.25">
      <c r="V356" s="34">
        <f t="shared" si="47"/>
        <v>0</v>
      </c>
      <c r="X356" s="38"/>
    </row>
    <row r="357" spans="1:24" hidden="1" outlineLevel="1" x14ac:dyDescent="0.25">
      <c r="V357" s="34">
        <f t="shared" si="47"/>
        <v>0</v>
      </c>
      <c r="X357" s="38"/>
    </row>
    <row r="358" spans="1:24" hidden="1" outlineLevel="1" x14ac:dyDescent="0.25">
      <c r="V358" s="34">
        <f t="shared" si="47"/>
        <v>0</v>
      </c>
    </row>
    <row r="359" spans="1:24" hidden="1" outlineLevel="1" x14ac:dyDescent="0.25">
      <c r="H359" s="37"/>
      <c r="N359" s="38"/>
      <c r="V359" s="34">
        <f t="shared" si="47"/>
        <v>0</v>
      </c>
    </row>
    <row r="360" spans="1:24" hidden="1" outlineLevel="1" x14ac:dyDescent="0.25">
      <c r="H360" s="37"/>
      <c r="N360" s="38"/>
      <c r="V360" s="34">
        <f t="shared" si="47"/>
        <v>0</v>
      </c>
    </row>
    <row r="361" spans="1:24" hidden="1" outlineLevel="1" x14ac:dyDescent="0.25">
      <c r="H361" s="37"/>
      <c r="N361" s="38"/>
      <c r="V361" s="34">
        <f t="shared" si="47"/>
        <v>0</v>
      </c>
    </row>
    <row r="362" spans="1:24" hidden="1" outlineLevel="1" x14ac:dyDescent="0.25">
      <c r="H362" s="37"/>
      <c r="N362" s="38"/>
      <c r="V362" s="34">
        <f t="shared" si="47"/>
        <v>0</v>
      </c>
    </row>
    <row r="363" spans="1:24" hidden="1" outlineLevel="1" x14ac:dyDescent="0.25">
      <c r="H363" s="37"/>
      <c r="N363" s="38"/>
      <c r="V363" s="34">
        <f t="shared" si="47"/>
        <v>0</v>
      </c>
    </row>
    <row r="364" spans="1:24" hidden="1" outlineLevel="1" x14ac:dyDescent="0.25">
      <c r="H364" s="37"/>
      <c r="N364" s="38"/>
      <c r="S364" s="38"/>
      <c r="V364" s="34">
        <f t="shared" si="47"/>
        <v>0</v>
      </c>
    </row>
    <row r="365" spans="1:24" hidden="1" outlineLevel="1" x14ac:dyDescent="0.25">
      <c r="H365" s="37"/>
      <c r="N365" s="38"/>
      <c r="S365" s="38"/>
      <c r="V365" s="34">
        <f t="shared" si="47"/>
        <v>0</v>
      </c>
    </row>
    <row r="366" spans="1:24" hidden="1" outlineLevel="1" x14ac:dyDescent="0.25">
      <c r="H366" s="37"/>
      <c r="N366" s="38"/>
      <c r="S366" s="38"/>
      <c r="V366" s="34">
        <f t="shared" si="47"/>
        <v>0</v>
      </c>
    </row>
    <row r="367" spans="1:24" hidden="1" outlineLevel="1" x14ac:dyDescent="0.25">
      <c r="H367" s="37"/>
      <c r="N367" s="38"/>
      <c r="S367" s="38"/>
      <c r="V367" s="34">
        <f t="shared" si="47"/>
        <v>0</v>
      </c>
    </row>
    <row r="368" spans="1:24" hidden="1" outlineLevel="1" x14ac:dyDescent="0.25">
      <c r="H368" s="37"/>
      <c r="N368" s="38"/>
      <c r="S368" s="38"/>
      <c r="V368" s="34">
        <f t="shared" si="47"/>
        <v>0</v>
      </c>
    </row>
    <row r="369" spans="1:25" hidden="1" outlineLevel="1" x14ac:dyDescent="0.25">
      <c r="H369" s="37"/>
      <c r="N369" s="38"/>
      <c r="S369" s="38"/>
      <c r="V369" s="34">
        <f t="shared" si="47"/>
        <v>0</v>
      </c>
    </row>
    <row r="370" spans="1:25" ht="13.8" hidden="1" outlineLevel="1" thickBot="1" x14ac:dyDescent="0.3"/>
    <row r="371" spans="1:25" ht="12.75" customHeight="1" x14ac:dyDescent="0.25">
      <c r="A371" s="145">
        <v>12</v>
      </c>
      <c r="B371" s="147" t="s">
        <v>206</v>
      </c>
      <c r="C371" s="147" t="s">
        <v>9</v>
      </c>
      <c r="D371" s="149" t="s">
        <v>34</v>
      </c>
      <c r="E371" s="46" t="s">
        <v>15</v>
      </c>
      <c r="F371" s="66">
        <v>0.25</v>
      </c>
      <c r="G371" s="36">
        <f t="shared" ref="G371:U371" si="48">SUM(G373:G383)</f>
        <v>70</v>
      </c>
      <c r="H371" s="36">
        <f t="shared" si="48"/>
        <v>24</v>
      </c>
      <c r="I371" s="36">
        <f t="shared" si="48"/>
        <v>0</v>
      </c>
      <c r="J371" s="36">
        <f t="shared" si="48"/>
        <v>0</v>
      </c>
      <c r="K371" s="36">
        <f t="shared" si="48"/>
        <v>0</v>
      </c>
      <c r="L371" s="36">
        <f t="shared" si="48"/>
        <v>72</v>
      </c>
      <c r="M371" s="36">
        <f t="shared" si="48"/>
        <v>4</v>
      </c>
      <c r="N371" s="36">
        <f t="shared" si="48"/>
        <v>0</v>
      </c>
      <c r="O371" s="36">
        <f t="shared" si="48"/>
        <v>0</v>
      </c>
      <c r="P371" s="36">
        <f t="shared" si="48"/>
        <v>12</v>
      </c>
      <c r="Q371" s="36">
        <f t="shared" si="48"/>
        <v>0</v>
      </c>
      <c r="R371" s="36">
        <f t="shared" si="48"/>
        <v>0</v>
      </c>
      <c r="S371" s="36">
        <f t="shared" si="48"/>
        <v>0</v>
      </c>
      <c r="T371" s="36">
        <f t="shared" si="48"/>
        <v>0</v>
      </c>
      <c r="U371" s="36">
        <f t="shared" si="48"/>
        <v>0</v>
      </c>
      <c r="V371" s="36">
        <f>SUM(V373:V383)</f>
        <v>182</v>
      </c>
      <c r="W371" s="151">
        <f>V371+V372</f>
        <v>255</v>
      </c>
    </row>
    <row r="372" spans="1:25" ht="13.8" collapsed="1" thickBot="1" x14ac:dyDescent="0.3">
      <c r="A372" s="146"/>
      <c r="B372" s="148"/>
      <c r="C372" s="148"/>
      <c r="D372" s="150"/>
      <c r="E372" s="47"/>
      <c r="F372" s="67"/>
      <c r="G372" s="39">
        <f>SUM(G384:G401)</f>
        <v>4</v>
      </c>
      <c r="H372" s="41">
        <f>SUM(H384:H401)</f>
        <v>4</v>
      </c>
      <c r="I372" s="39">
        <f>SUM(I384:I401)</f>
        <v>0</v>
      </c>
      <c r="J372" s="39">
        <f>SUM(J384:J401)</f>
        <v>0</v>
      </c>
      <c r="K372" s="39">
        <f t="shared" ref="K372:U372" si="49">SUM(K384:K401)</f>
        <v>0</v>
      </c>
      <c r="L372" s="39">
        <f t="shared" si="49"/>
        <v>56</v>
      </c>
      <c r="M372" s="39">
        <f t="shared" si="49"/>
        <v>2</v>
      </c>
      <c r="N372" s="39">
        <f t="shared" si="49"/>
        <v>0</v>
      </c>
      <c r="O372" s="39">
        <f t="shared" si="49"/>
        <v>0</v>
      </c>
      <c r="P372" s="39">
        <f t="shared" si="49"/>
        <v>7</v>
      </c>
      <c r="Q372" s="39">
        <f t="shared" si="49"/>
        <v>0</v>
      </c>
      <c r="R372" s="39">
        <f t="shared" si="49"/>
        <v>0</v>
      </c>
      <c r="S372" s="39">
        <f t="shared" si="49"/>
        <v>0</v>
      </c>
      <c r="T372" s="39">
        <f t="shared" si="49"/>
        <v>0</v>
      </c>
      <c r="U372" s="39">
        <f t="shared" si="49"/>
        <v>0</v>
      </c>
      <c r="V372" s="39">
        <f>SUM(V384:V401)</f>
        <v>73</v>
      </c>
      <c r="W372" s="152"/>
      <c r="Y372" s="38"/>
    </row>
    <row r="373" spans="1:25" ht="26.4" hidden="1" outlineLevel="1" x14ac:dyDescent="0.25">
      <c r="A373" s="34" t="s">
        <v>223</v>
      </c>
      <c r="B373" s="42" t="s">
        <v>73</v>
      </c>
      <c r="C373" s="34">
        <v>3</v>
      </c>
      <c r="G373" s="34">
        <v>34</v>
      </c>
      <c r="L373" s="34">
        <v>72</v>
      </c>
      <c r="M373" s="34">
        <v>2</v>
      </c>
      <c r="P373" s="34">
        <v>9</v>
      </c>
      <c r="V373" s="34">
        <f t="shared" ref="V373:V382" si="50">SUM(G373:U373)</f>
        <v>117</v>
      </c>
    </row>
    <row r="374" spans="1:25" hidden="1" outlineLevel="1" x14ac:dyDescent="0.25">
      <c r="A374" t="s">
        <v>225</v>
      </c>
      <c r="B374" t="s">
        <v>148</v>
      </c>
      <c r="C374">
        <v>1</v>
      </c>
      <c r="D374"/>
      <c r="E374"/>
      <c r="F374"/>
      <c r="G374">
        <v>36</v>
      </c>
      <c r="H374">
        <v>24</v>
      </c>
      <c r="I374"/>
      <c r="J374"/>
      <c r="K374"/>
      <c r="L374"/>
      <c r="M374">
        <v>2</v>
      </c>
      <c r="N374"/>
      <c r="O374"/>
      <c r="P374">
        <v>3</v>
      </c>
      <c r="Q374"/>
      <c r="R374"/>
      <c r="S374"/>
      <c r="T374"/>
      <c r="U374"/>
      <c r="V374" s="34">
        <f t="shared" si="50"/>
        <v>65</v>
      </c>
    </row>
    <row r="375" spans="1:25" hidden="1" outlineLevel="1" x14ac:dyDescent="0.25">
      <c r="V375" s="34">
        <f t="shared" si="50"/>
        <v>0</v>
      </c>
    </row>
    <row r="376" spans="1:25" hidden="1" outlineLevel="1" x14ac:dyDescent="0.25">
      <c r="V376" s="34">
        <f t="shared" si="50"/>
        <v>0</v>
      </c>
    </row>
    <row r="377" spans="1:25" hidden="1" outlineLevel="1" x14ac:dyDescent="0.25">
      <c r="V377" s="34">
        <f t="shared" si="50"/>
        <v>0</v>
      </c>
    </row>
    <row r="378" spans="1:25" hidden="1" outlineLevel="1" x14ac:dyDescent="0.25">
      <c r="V378" s="34">
        <f t="shared" si="50"/>
        <v>0</v>
      </c>
    </row>
    <row r="379" spans="1:25" hidden="1" outlineLevel="1" x14ac:dyDescent="0.25">
      <c r="V379" s="34">
        <f t="shared" si="50"/>
        <v>0</v>
      </c>
    </row>
    <row r="380" spans="1:25" hidden="1" outlineLevel="1" x14ac:dyDescent="0.25">
      <c r="V380" s="34">
        <f t="shared" si="50"/>
        <v>0</v>
      </c>
    </row>
    <row r="381" spans="1:25" hidden="1" outlineLevel="1" x14ac:dyDescent="0.25">
      <c r="V381" s="34">
        <f t="shared" si="50"/>
        <v>0</v>
      </c>
    </row>
    <row r="382" spans="1:25" hidden="1" outlineLevel="1" x14ac:dyDescent="0.25">
      <c r="V382" s="34">
        <f t="shared" si="50"/>
        <v>0</v>
      </c>
    </row>
    <row r="383" spans="1:25" hidden="1" outlineLevel="1" x14ac:dyDescent="0.25">
      <c r="B383" s="155" t="s">
        <v>29</v>
      </c>
      <c r="C383" s="155"/>
      <c r="D383" s="155"/>
      <c r="E383" s="155"/>
      <c r="F383" s="155"/>
      <c r="G383" s="155"/>
      <c r="H383" s="155"/>
      <c r="I383" s="155"/>
      <c r="J383" s="155"/>
      <c r="K383" s="155"/>
      <c r="L383" s="155"/>
      <c r="M383" s="155"/>
      <c r="N383" s="155"/>
      <c r="O383" s="155"/>
      <c r="P383" s="155"/>
      <c r="Q383" s="155"/>
      <c r="R383" s="155"/>
      <c r="S383" s="155"/>
      <c r="T383" s="155"/>
      <c r="U383" s="155"/>
      <c r="V383" s="103"/>
    </row>
    <row r="384" spans="1:25" ht="26.4" hidden="1" outlineLevel="1" x14ac:dyDescent="0.25">
      <c r="A384" s="34" t="s">
        <v>224</v>
      </c>
      <c r="B384" s="42" t="s">
        <v>140</v>
      </c>
      <c r="C384" s="34">
        <v>2</v>
      </c>
      <c r="G384" s="34">
        <v>4</v>
      </c>
      <c r="H384" s="34">
        <v>4</v>
      </c>
      <c r="L384" s="34">
        <v>56</v>
      </c>
      <c r="M384" s="34">
        <v>2</v>
      </c>
      <c r="P384" s="34">
        <v>7</v>
      </c>
      <c r="V384" s="34">
        <f t="shared" ref="V384:V400" si="51">SUM(G384:U384)</f>
        <v>73</v>
      </c>
      <c r="X384" s="38"/>
    </row>
    <row r="385" spans="1:24" hidden="1" outlineLevel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 s="34">
        <f t="shared" si="51"/>
        <v>0</v>
      </c>
    </row>
    <row r="386" spans="1:24" hidden="1" outlineLevel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 s="34">
        <f t="shared" si="51"/>
        <v>0</v>
      </c>
      <c r="X386" s="38"/>
    </row>
    <row r="387" spans="1:24" hidden="1" outlineLevel="1" x14ac:dyDescent="0.25">
      <c r="V387" s="34">
        <f t="shared" si="51"/>
        <v>0</v>
      </c>
      <c r="X387" s="38"/>
    </row>
    <row r="388" spans="1:24" hidden="1" outlineLevel="1" x14ac:dyDescent="0.25">
      <c r="V388" s="34">
        <f t="shared" si="51"/>
        <v>0</v>
      </c>
      <c r="X388" s="38"/>
    </row>
    <row r="389" spans="1:24" hidden="1" outlineLevel="1" x14ac:dyDescent="0.25">
      <c r="V389" s="34">
        <f t="shared" si="51"/>
        <v>0</v>
      </c>
    </row>
    <row r="390" spans="1:24" hidden="1" outlineLevel="1" x14ac:dyDescent="0.25">
      <c r="H390" s="37"/>
      <c r="N390" s="38"/>
      <c r="V390" s="34">
        <f t="shared" si="51"/>
        <v>0</v>
      </c>
    </row>
    <row r="391" spans="1:24" hidden="1" outlineLevel="1" x14ac:dyDescent="0.25">
      <c r="H391" s="37"/>
      <c r="N391" s="38"/>
      <c r="V391" s="34">
        <f t="shared" si="51"/>
        <v>0</v>
      </c>
    </row>
    <row r="392" spans="1:24" hidden="1" outlineLevel="1" x14ac:dyDescent="0.25">
      <c r="H392" s="37"/>
      <c r="N392" s="38"/>
      <c r="V392" s="34">
        <f t="shared" si="51"/>
        <v>0</v>
      </c>
    </row>
    <row r="393" spans="1:24" hidden="1" outlineLevel="1" x14ac:dyDescent="0.25">
      <c r="H393" s="37"/>
      <c r="N393" s="38"/>
      <c r="V393" s="34">
        <f t="shared" si="51"/>
        <v>0</v>
      </c>
    </row>
    <row r="394" spans="1:24" hidden="1" outlineLevel="1" x14ac:dyDescent="0.25">
      <c r="H394" s="37"/>
      <c r="N394" s="38"/>
      <c r="V394" s="34">
        <f t="shared" si="51"/>
        <v>0</v>
      </c>
    </row>
    <row r="395" spans="1:24" hidden="1" outlineLevel="1" x14ac:dyDescent="0.25">
      <c r="H395" s="37"/>
      <c r="N395" s="38"/>
      <c r="S395" s="38"/>
      <c r="V395" s="34">
        <f t="shared" si="51"/>
        <v>0</v>
      </c>
    </row>
    <row r="396" spans="1:24" hidden="1" outlineLevel="1" x14ac:dyDescent="0.25">
      <c r="H396" s="37"/>
      <c r="N396" s="38"/>
      <c r="S396" s="38"/>
      <c r="V396" s="34">
        <f t="shared" si="51"/>
        <v>0</v>
      </c>
    </row>
    <row r="397" spans="1:24" hidden="1" outlineLevel="1" x14ac:dyDescent="0.25">
      <c r="H397" s="37"/>
      <c r="N397" s="38"/>
      <c r="S397" s="38"/>
      <c r="V397" s="34">
        <f t="shared" si="51"/>
        <v>0</v>
      </c>
    </row>
    <row r="398" spans="1:24" hidden="1" outlineLevel="1" x14ac:dyDescent="0.25">
      <c r="H398" s="37"/>
      <c r="N398" s="38"/>
      <c r="S398" s="38"/>
      <c r="V398" s="34">
        <f t="shared" si="51"/>
        <v>0</v>
      </c>
    </row>
    <row r="399" spans="1:24" hidden="1" outlineLevel="1" x14ac:dyDescent="0.25">
      <c r="H399" s="37"/>
      <c r="N399" s="38"/>
      <c r="S399" s="38"/>
      <c r="V399" s="34">
        <f t="shared" si="51"/>
        <v>0</v>
      </c>
    </row>
    <row r="400" spans="1:24" hidden="1" outlineLevel="1" x14ac:dyDescent="0.25">
      <c r="H400" s="37"/>
      <c r="N400" s="38"/>
      <c r="S400" s="38"/>
      <c r="V400" s="34">
        <f t="shared" si="51"/>
        <v>0</v>
      </c>
    </row>
    <row r="401" spans="1:25" ht="13.8" hidden="1" outlineLevel="1" thickBot="1" x14ac:dyDescent="0.3"/>
    <row r="402" spans="1:25" ht="12.75" customHeight="1" x14ac:dyDescent="0.25">
      <c r="A402" s="145">
        <v>13</v>
      </c>
      <c r="B402" s="147" t="s">
        <v>207</v>
      </c>
      <c r="C402" s="147" t="s">
        <v>9</v>
      </c>
      <c r="D402" s="149" t="s">
        <v>34</v>
      </c>
      <c r="E402" s="46" t="s">
        <v>15</v>
      </c>
      <c r="F402" s="66">
        <v>0.25</v>
      </c>
      <c r="G402" s="36">
        <f t="shared" ref="G402:U402" si="52">SUM(G404:G414)</f>
        <v>24</v>
      </c>
      <c r="H402" s="36">
        <f t="shared" si="52"/>
        <v>16</v>
      </c>
      <c r="I402" s="36">
        <f t="shared" si="52"/>
        <v>8</v>
      </c>
      <c r="J402" s="36">
        <f t="shared" si="52"/>
        <v>0</v>
      </c>
      <c r="K402" s="36">
        <f t="shared" si="52"/>
        <v>0</v>
      </c>
      <c r="L402" s="36">
        <f t="shared" si="52"/>
        <v>0</v>
      </c>
      <c r="M402" s="36">
        <f t="shared" si="52"/>
        <v>2</v>
      </c>
      <c r="N402" s="36">
        <f t="shared" si="52"/>
        <v>0</v>
      </c>
      <c r="O402" s="36">
        <f t="shared" si="52"/>
        <v>0</v>
      </c>
      <c r="P402" s="36">
        <f t="shared" si="52"/>
        <v>3</v>
      </c>
      <c r="Q402" s="36">
        <f t="shared" si="52"/>
        <v>0</v>
      </c>
      <c r="R402" s="36">
        <f t="shared" si="52"/>
        <v>0</v>
      </c>
      <c r="S402" s="36">
        <f t="shared" si="52"/>
        <v>0</v>
      </c>
      <c r="T402" s="36">
        <f t="shared" si="52"/>
        <v>0</v>
      </c>
      <c r="U402" s="36">
        <f t="shared" si="52"/>
        <v>0</v>
      </c>
      <c r="V402" s="36">
        <f>SUM(V404:V414)</f>
        <v>53</v>
      </c>
      <c r="W402" s="151">
        <f>V402+V403</f>
        <v>224.45</v>
      </c>
    </row>
    <row r="403" spans="1:25" ht="13.8" collapsed="1" thickBot="1" x14ac:dyDescent="0.3">
      <c r="A403" s="146"/>
      <c r="B403" s="148"/>
      <c r="C403" s="148"/>
      <c r="D403" s="150"/>
      <c r="E403" s="47"/>
      <c r="F403" s="67"/>
      <c r="G403" s="39">
        <f>SUM(G415:G432)</f>
        <v>4</v>
      </c>
      <c r="H403" s="41">
        <f>SUM(H415:H432)</f>
        <v>4</v>
      </c>
      <c r="I403" s="39">
        <f>SUM(I415:I432)</f>
        <v>4</v>
      </c>
      <c r="J403" s="39">
        <f>SUM(J415:J432)</f>
        <v>0</v>
      </c>
      <c r="K403" s="39">
        <f t="shared" ref="K403:U403" si="53">SUM(K415:K432)</f>
        <v>0</v>
      </c>
      <c r="L403" s="39">
        <f t="shared" si="53"/>
        <v>0</v>
      </c>
      <c r="M403" s="39">
        <f t="shared" si="53"/>
        <v>0</v>
      </c>
      <c r="N403" s="39">
        <f t="shared" si="53"/>
        <v>0</v>
      </c>
      <c r="O403" s="39">
        <f t="shared" si="53"/>
        <v>1.05</v>
      </c>
      <c r="P403" s="39">
        <f t="shared" si="53"/>
        <v>0</v>
      </c>
      <c r="Q403" s="39">
        <f t="shared" si="53"/>
        <v>0</v>
      </c>
      <c r="R403" s="39">
        <f t="shared" si="53"/>
        <v>0</v>
      </c>
      <c r="S403" s="39">
        <f t="shared" si="53"/>
        <v>158.4</v>
      </c>
      <c r="T403" s="39">
        <f t="shared" si="53"/>
        <v>0</v>
      </c>
      <c r="U403" s="39">
        <f t="shared" si="53"/>
        <v>0</v>
      </c>
      <c r="V403" s="39">
        <f>SUM(V415:V432)</f>
        <v>171.45</v>
      </c>
      <c r="W403" s="152"/>
      <c r="Y403" s="38"/>
    </row>
    <row r="404" spans="1:25" ht="26.4" hidden="1" outlineLevel="1" x14ac:dyDescent="0.25">
      <c r="A404" s="34" t="s">
        <v>225</v>
      </c>
      <c r="B404" s="42" t="s">
        <v>234</v>
      </c>
      <c r="C404" s="34">
        <v>1</v>
      </c>
      <c r="G404" s="34">
        <v>24</v>
      </c>
      <c r="H404" s="34">
        <v>16</v>
      </c>
      <c r="I404" s="34">
        <v>8</v>
      </c>
      <c r="M404" s="34">
        <v>2</v>
      </c>
      <c r="P404" s="34">
        <v>3</v>
      </c>
      <c r="V404" s="34">
        <f t="shared" ref="V404:V413" si="54">SUM(G404:U404)</f>
        <v>53</v>
      </c>
    </row>
    <row r="405" spans="1:25" hidden="1" outlineLevel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 s="34">
        <f t="shared" si="54"/>
        <v>0</v>
      </c>
    </row>
    <row r="406" spans="1:25" hidden="1" outlineLevel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 s="34">
        <f t="shared" si="54"/>
        <v>0</v>
      </c>
    </row>
    <row r="407" spans="1:25" hidden="1" outlineLevel="1" x14ac:dyDescent="0.25">
      <c r="V407" s="34">
        <f t="shared" si="54"/>
        <v>0</v>
      </c>
    </row>
    <row r="408" spans="1:25" hidden="1" outlineLevel="1" x14ac:dyDescent="0.25">
      <c r="V408" s="34">
        <f t="shared" si="54"/>
        <v>0</v>
      </c>
    </row>
    <row r="409" spans="1:25" hidden="1" outlineLevel="1" x14ac:dyDescent="0.25">
      <c r="V409" s="34">
        <f t="shared" si="54"/>
        <v>0</v>
      </c>
    </row>
    <row r="410" spans="1:25" hidden="1" outlineLevel="1" x14ac:dyDescent="0.25">
      <c r="V410" s="34">
        <f t="shared" si="54"/>
        <v>0</v>
      </c>
    </row>
    <row r="411" spans="1:25" hidden="1" outlineLevel="1" x14ac:dyDescent="0.25">
      <c r="V411" s="34">
        <f t="shared" si="54"/>
        <v>0</v>
      </c>
    </row>
    <row r="412" spans="1:25" hidden="1" outlineLevel="1" x14ac:dyDescent="0.25">
      <c r="V412" s="34">
        <f t="shared" si="54"/>
        <v>0</v>
      </c>
    </row>
    <row r="413" spans="1:25" hidden="1" outlineLevel="1" x14ac:dyDescent="0.25">
      <c r="V413" s="34">
        <f t="shared" si="54"/>
        <v>0</v>
      </c>
    </row>
    <row r="414" spans="1:25" hidden="1" outlineLevel="1" x14ac:dyDescent="0.25">
      <c r="B414" s="155" t="s">
        <v>29</v>
      </c>
      <c r="C414" s="155"/>
      <c r="D414" s="155"/>
      <c r="E414" s="155"/>
      <c r="F414" s="155"/>
      <c r="G414" s="155"/>
      <c r="H414" s="155"/>
      <c r="I414" s="155"/>
      <c r="J414" s="155"/>
      <c r="K414" s="155"/>
      <c r="L414" s="155"/>
      <c r="M414" s="155"/>
      <c r="N414" s="155"/>
      <c r="O414" s="155"/>
      <c r="P414" s="155"/>
      <c r="Q414" s="155"/>
      <c r="R414" s="155"/>
      <c r="S414" s="155"/>
      <c r="T414" s="155"/>
      <c r="U414" s="155"/>
      <c r="V414" s="103"/>
    </row>
    <row r="415" spans="1:25" ht="26.4" hidden="1" outlineLevel="1" x14ac:dyDescent="0.25">
      <c r="A415" t="s">
        <v>226</v>
      </c>
      <c r="B415" s="42" t="s">
        <v>167</v>
      </c>
      <c r="C415">
        <v>2</v>
      </c>
      <c r="D415"/>
      <c r="E415"/>
      <c r="F415"/>
      <c r="G415">
        <v>4</v>
      </c>
      <c r="H415">
        <v>4</v>
      </c>
      <c r="I415">
        <v>4</v>
      </c>
      <c r="J415"/>
      <c r="K415"/>
      <c r="L415"/>
      <c r="M415"/>
      <c r="N415"/>
      <c r="O415">
        <v>1.05</v>
      </c>
      <c r="P415"/>
      <c r="Q415"/>
      <c r="R415"/>
      <c r="S415"/>
      <c r="T415"/>
      <c r="U415"/>
      <c r="V415" s="34">
        <f t="shared" ref="V415:V431" si="55">SUM(G415:U415)</f>
        <v>13.05</v>
      </c>
      <c r="X415" s="38"/>
    </row>
    <row r="416" spans="1:25" ht="26.4" hidden="1" outlineLevel="1" x14ac:dyDescent="0.25">
      <c r="A416" s="34" t="s">
        <v>223</v>
      </c>
      <c r="B416" s="42" t="s">
        <v>86</v>
      </c>
      <c r="C416" s="34">
        <v>4</v>
      </c>
      <c r="S416" s="34">
        <v>59.4</v>
      </c>
      <c r="V416" s="34">
        <f t="shared" si="55"/>
        <v>59.4</v>
      </c>
    </row>
    <row r="417" spans="1:24" ht="26.4" hidden="1" outlineLevel="1" x14ac:dyDescent="0.25">
      <c r="A417" s="34" t="s">
        <v>224</v>
      </c>
      <c r="B417" s="42" t="s">
        <v>134</v>
      </c>
      <c r="C417" s="34">
        <v>4</v>
      </c>
      <c r="S417" s="34">
        <v>99</v>
      </c>
      <c r="V417" s="34">
        <f t="shared" si="55"/>
        <v>99</v>
      </c>
      <c r="X417" s="38"/>
    </row>
    <row r="418" spans="1:24" hidden="1" outlineLevel="1" x14ac:dyDescent="0.25">
      <c r="V418" s="34">
        <f t="shared" si="55"/>
        <v>0</v>
      </c>
      <c r="X418" s="38"/>
    </row>
    <row r="419" spans="1:24" hidden="1" outlineLevel="1" x14ac:dyDescent="0.25">
      <c r="V419" s="34">
        <f t="shared" si="55"/>
        <v>0</v>
      </c>
      <c r="X419" s="38"/>
    </row>
    <row r="420" spans="1:24" hidden="1" outlineLevel="1" x14ac:dyDescent="0.25">
      <c r="V420" s="34">
        <f t="shared" si="55"/>
        <v>0</v>
      </c>
    </row>
    <row r="421" spans="1:24" hidden="1" outlineLevel="1" x14ac:dyDescent="0.25">
      <c r="H421" s="37"/>
      <c r="N421" s="38"/>
      <c r="V421" s="34">
        <f t="shared" si="55"/>
        <v>0</v>
      </c>
    </row>
    <row r="422" spans="1:24" hidden="1" outlineLevel="1" x14ac:dyDescent="0.25">
      <c r="H422" s="37"/>
      <c r="N422" s="38"/>
      <c r="V422" s="34">
        <f t="shared" si="55"/>
        <v>0</v>
      </c>
    </row>
    <row r="423" spans="1:24" hidden="1" outlineLevel="1" x14ac:dyDescent="0.25">
      <c r="H423" s="37"/>
      <c r="N423" s="38"/>
      <c r="V423" s="34">
        <f t="shared" si="55"/>
        <v>0</v>
      </c>
    </row>
    <row r="424" spans="1:24" hidden="1" outlineLevel="1" x14ac:dyDescent="0.25">
      <c r="H424" s="37"/>
      <c r="N424" s="38"/>
      <c r="V424" s="34">
        <f t="shared" si="55"/>
        <v>0</v>
      </c>
    </row>
    <row r="425" spans="1:24" hidden="1" outlineLevel="1" x14ac:dyDescent="0.25">
      <c r="H425" s="37"/>
      <c r="N425" s="38"/>
      <c r="V425" s="34">
        <f t="shared" si="55"/>
        <v>0</v>
      </c>
    </row>
    <row r="426" spans="1:24" hidden="1" outlineLevel="1" x14ac:dyDescent="0.25">
      <c r="H426" s="37"/>
      <c r="N426" s="38"/>
      <c r="S426" s="38"/>
      <c r="V426" s="34">
        <f t="shared" si="55"/>
        <v>0</v>
      </c>
    </row>
    <row r="427" spans="1:24" hidden="1" outlineLevel="1" x14ac:dyDescent="0.25">
      <c r="H427" s="37"/>
      <c r="N427" s="38"/>
      <c r="S427" s="38"/>
      <c r="V427" s="34">
        <f t="shared" si="55"/>
        <v>0</v>
      </c>
    </row>
    <row r="428" spans="1:24" hidden="1" outlineLevel="1" x14ac:dyDescent="0.25">
      <c r="H428" s="37"/>
      <c r="N428" s="38"/>
      <c r="S428" s="38"/>
      <c r="V428" s="34">
        <f t="shared" si="55"/>
        <v>0</v>
      </c>
    </row>
    <row r="429" spans="1:24" hidden="1" outlineLevel="1" x14ac:dyDescent="0.25">
      <c r="H429" s="37"/>
      <c r="N429" s="38"/>
      <c r="S429" s="38"/>
      <c r="V429" s="34">
        <f t="shared" si="55"/>
        <v>0</v>
      </c>
    </row>
    <row r="430" spans="1:24" hidden="1" outlineLevel="1" x14ac:dyDescent="0.25">
      <c r="H430" s="37"/>
      <c r="N430" s="38"/>
      <c r="S430" s="38"/>
      <c r="V430" s="34">
        <f t="shared" si="55"/>
        <v>0</v>
      </c>
    </row>
    <row r="431" spans="1:24" hidden="1" outlineLevel="1" x14ac:dyDescent="0.25">
      <c r="H431" s="37"/>
      <c r="N431" s="38"/>
      <c r="S431" s="38"/>
      <c r="V431" s="34">
        <f t="shared" si="55"/>
        <v>0</v>
      </c>
    </row>
    <row r="432" spans="1:24" ht="13.8" hidden="1" outlineLevel="1" thickBot="1" x14ac:dyDescent="0.3"/>
    <row r="433" spans="1:25" ht="12.75" customHeight="1" x14ac:dyDescent="0.25">
      <c r="A433" s="145">
        <v>14</v>
      </c>
      <c r="B433" s="147" t="s">
        <v>208</v>
      </c>
      <c r="C433" s="147" t="s">
        <v>32</v>
      </c>
      <c r="D433" s="149" t="s">
        <v>34</v>
      </c>
      <c r="E433" s="46" t="s">
        <v>15</v>
      </c>
      <c r="F433" s="66">
        <v>0.5</v>
      </c>
      <c r="G433" s="36">
        <f t="shared" ref="G433:U433" si="56">SUM(G435:G445)</f>
        <v>112</v>
      </c>
      <c r="H433" s="36">
        <f t="shared" si="56"/>
        <v>90</v>
      </c>
      <c r="I433" s="36">
        <f t="shared" si="56"/>
        <v>0</v>
      </c>
      <c r="J433" s="36">
        <f t="shared" si="56"/>
        <v>0</v>
      </c>
      <c r="K433" s="36">
        <f t="shared" si="56"/>
        <v>4</v>
      </c>
      <c r="L433" s="36">
        <f t="shared" si="56"/>
        <v>0</v>
      </c>
      <c r="M433" s="36">
        <f t="shared" si="56"/>
        <v>10</v>
      </c>
      <c r="N433" s="36">
        <f t="shared" si="56"/>
        <v>17.5</v>
      </c>
      <c r="O433" s="36">
        <f t="shared" si="56"/>
        <v>0</v>
      </c>
      <c r="P433" s="36">
        <f t="shared" si="56"/>
        <v>43.5</v>
      </c>
      <c r="Q433" s="36">
        <f t="shared" si="56"/>
        <v>0</v>
      </c>
      <c r="R433" s="36">
        <f t="shared" si="56"/>
        <v>0</v>
      </c>
      <c r="S433" s="36">
        <f t="shared" si="56"/>
        <v>0</v>
      </c>
      <c r="T433" s="36">
        <f t="shared" si="56"/>
        <v>0</v>
      </c>
      <c r="U433" s="36">
        <f t="shared" si="56"/>
        <v>0</v>
      </c>
      <c r="V433" s="36">
        <f>SUM(V435:V445)</f>
        <v>277</v>
      </c>
      <c r="W433" s="151">
        <f>V433+V434</f>
        <v>493.8</v>
      </c>
    </row>
    <row r="434" spans="1:25" ht="13.8" collapsed="1" thickBot="1" x14ac:dyDescent="0.3">
      <c r="A434" s="146"/>
      <c r="B434" s="148"/>
      <c r="C434" s="148"/>
      <c r="D434" s="150"/>
      <c r="E434" s="47"/>
      <c r="F434" s="67"/>
      <c r="G434" s="39">
        <f>SUM(G446:G463)</f>
        <v>74</v>
      </c>
      <c r="H434" s="41">
        <f>SUM(H446:H463)</f>
        <v>64</v>
      </c>
      <c r="I434" s="39">
        <f>SUM(I446:I463)</f>
        <v>0</v>
      </c>
      <c r="J434" s="39">
        <f>SUM(J446:J463)</f>
        <v>0</v>
      </c>
      <c r="K434" s="39">
        <f t="shared" ref="K434:U434" si="57">SUM(K446:K463)</f>
        <v>2</v>
      </c>
      <c r="L434" s="39">
        <f t="shared" si="57"/>
        <v>0</v>
      </c>
      <c r="M434" s="39">
        <f t="shared" si="57"/>
        <v>8</v>
      </c>
      <c r="N434" s="39">
        <f t="shared" si="57"/>
        <v>8.5</v>
      </c>
      <c r="O434" s="39">
        <f t="shared" si="57"/>
        <v>0</v>
      </c>
      <c r="P434" s="39">
        <f t="shared" si="57"/>
        <v>40.5</v>
      </c>
      <c r="Q434" s="39">
        <f t="shared" si="57"/>
        <v>0</v>
      </c>
      <c r="R434" s="39">
        <f t="shared" si="57"/>
        <v>0</v>
      </c>
      <c r="S434" s="39">
        <f t="shared" si="57"/>
        <v>19.8</v>
      </c>
      <c r="T434" s="39">
        <f t="shared" si="57"/>
        <v>0</v>
      </c>
      <c r="U434" s="39">
        <f t="shared" si="57"/>
        <v>0</v>
      </c>
      <c r="V434" s="39">
        <f>SUM(V446:V463)</f>
        <v>216.8</v>
      </c>
      <c r="W434" s="152"/>
      <c r="Y434" s="38"/>
    </row>
    <row r="435" spans="1:25" ht="39.6" hidden="1" outlineLevel="1" x14ac:dyDescent="0.25">
      <c r="A435" s="2" t="s">
        <v>223</v>
      </c>
      <c r="B435" s="82" t="s">
        <v>67</v>
      </c>
      <c r="C435" s="51">
        <v>4</v>
      </c>
      <c r="D435" s="51"/>
      <c r="E435" s="51"/>
      <c r="F435" s="51"/>
      <c r="G435" s="51">
        <v>64</v>
      </c>
      <c r="H435" s="51">
        <v>48</v>
      </c>
      <c r="I435" s="51"/>
      <c r="J435" s="51"/>
      <c r="K435" s="51"/>
      <c r="L435" s="51"/>
      <c r="M435" s="51">
        <v>4</v>
      </c>
      <c r="N435" s="51"/>
      <c r="O435" s="51"/>
      <c r="P435" s="51">
        <v>16.5</v>
      </c>
      <c r="Q435" s="51"/>
      <c r="R435" s="51"/>
      <c r="S435" s="51"/>
      <c r="T435" s="51"/>
      <c r="U435" s="51"/>
      <c r="V435" s="34">
        <f t="shared" ref="V435:V444" si="58">SUM(G435:U435)</f>
        <v>132.5</v>
      </c>
    </row>
    <row r="436" spans="1:25" hidden="1" outlineLevel="1" x14ac:dyDescent="0.25">
      <c r="A436" s="34" t="s">
        <v>223</v>
      </c>
      <c r="B436" s="42" t="s">
        <v>70</v>
      </c>
      <c r="C436" s="34">
        <v>2</v>
      </c>
      <c r="G436" s="34">
        <v>34</v>
      </c>
      <c r="H436" s="34">
        <v>34</v>
      </c>
      <c r="M436" s="34">
        <v>2</v>
      </c>
      <c r="P436" s="34">
        <v>9.5</v>
      </c>
      <c r="V436" s="34">
        <f t="shared" si="58"/>
        <v>79.5</v>
      </c>
    </row>
    <row r="437" spans="1:25" ht="39.6" hidden="1" outlineLevel="1" x14ac:dyDescent="0.25">
      <c r="A437" s="34" t="s">
        <v>224</v>
      </c>
      <c r="B437" s="42" t="s">
        <v>100</v>
      </c>
      <c r="C437" s="34">
        <v>4</v>
      </c>
      <c r="G437" s="34">
        <v>6</v>
      </c>
      <c r="K437" s="34">
        <v>2</v>
      </c>
      <c r="M437" s="34">
        <v>2</v>
      </c>
      <c r="N437" s="34">
        <v>12</v>
      </c>
      <c r="P437" s="34">
        <v>12</v>
      </c>
      <c r="V437" s="34">
        <f t="shared" si="58"/>
        <v>34</v>
      </c>
    </row>
    <row r="438" spans="1:25" ht="26.4" hidden="1" outlineLevel="1" x14ac:dyDescent="0.25">
      <c r="A438" s="34" t="s">
        <v>224</v>
      </c>
      <c r="B438" s="42" t="s">
        <v>112</v>
      </c>
      <c r="C438" s="34">
        <v>3</v>
      </c>
      <c r="G438" s="34">
        <v>8</v>
      </c>
      <c r="H438" s="34">
        <v>8</v>
      </c>
      <c r="K438" s="34">
        <v>2</v>
      </c>
      <c r="M438" s="34">
        <v>2</v>
      </c>
      <c r="N438" s="34">
        <v>5.5</v>
      </c>
      <c r="P438" s="34">
        <v>5.5</v>
      </c>
      <c r="V438" s="34">
        <f t="shared" si="58"/>
        <v>31</v>
      </c>
    </row>
    <row r="439" spans="1:25" hidden="1" outlineLevel="1" x14ac:dyDescent="0.25">
      <c r="V439" s="34">
        <f t="shared" si="58"/>
        <v>0</v>
      </c>
    </row>
    <row r="440" spans="1:25" hidden="1" outlineLevel="1" x14ac:dyDescent="0.25">
      <c r="V440" s="34">
        <f t="shared" si="58"/>
        <v>0</v>
      </c>
    </row>
    <row r="441" spans="1:25" hidden="1" outlineLevel="1" x14ac:dyDescent="0.25">
      <c r="V441" s="34">
        <f t="shared" si="58"/>
        <v>0</v>
      </c>
    </row>
    <row r="442" spans="1:25" hidden="1" outlineLevel="1" x14ac:dyDescent="0.25">
      <c r="V442" s="34">
        <f t="shared" si="58"/>
        <v>0</v>
      </c>
    </row>
    <row r="443" spans="1:25" hidden="1" outlineLevel="1" x14ac:dyDescent="0.25">
      <c r="V443" s="34">
        <f t="shared" si="58"/>
        <v>0</v>
      </c>
    </row>
    <row r="444" spans="1:25" hidden="1" outlineLevel="1" x14ac:dyDescent="0.25">
      <c r="V444" s="34">
        <f t="shared" si="58"/>
        <v>0</v>
      </c>
    </row>
    <row r="445" spans="1:25" hidden="1" outlineLevel="1" x14ac:dyDescent="0.25">
      <c r="B445" s="155" t="s">
        <v>29</v>
      </c>
      <c r="C445" s="155"/>
      <c r="D445" s="155"/>
      <c r="E445" s="155"/>
      <c r="F445" s="155"/>
      <c r="G445" s="155"/>
      <c r="H445" s="155"/>
      <c r="I445" s="155"/>
      <c r="J445" s="155"/>
      <c r="K445" s="155"/>
      <c r="L445" s="155"/>
      <c r="M445" s="155"/>
      <c r="N445" s="155"/>
      <c r="O445" s="155"/>
      <c r="P445" s="155"/>
      <c r="Q445" s="155"/>
      <c r="R445" s="155"/>
      <c r="S445" s="155"/>
      <c r="T445" s="155"/>
      <c r="U445" s="155"/>
      <c r="V445" s="103"/>
    </row>
    <row r="446" spans="1:25" ht="39.6" hidden="1" outlineLevel="1" x14ac:dyDescent="0.25">
      <c r="A446" s="34" t="s">
        <v>223</v>
      </c>
      <c r="B446" s="42" t="s">
        <v>67</v>
      </c>
      <c r="C446" s="34">
        <v>3</v>
      </c>
      <c r="G446" s="34">
        <v>32</v>
      </c>
      <c r="H446" s="34">
        <v>64</v>
      </c>
      <c r="M446" s="34">
        <v>4</v>
      </c>
      <c r="P446" s="34">
        <v>18.5</v>
      </c>
      <c r="V446" s="34">
        <f t="shared" ref="V446:V462" si="59">SUM(G446:U446)</f>
        <v>118.5</v>
      </c>
      <c r="X446" s="38"/>
    </row>
    <row r="447" spans="1:25" hidden="1" outlineLevel="1" x14ac:dyDescent="0.25">
      <c r="A447" t="s">
        <v>223</v>
      </c>
      <c r="B447" t="s">
        <v>93</v>
      </c>
      <c r="C447">
        <v>2</v>
      </c>
      <c r="D447"/>
      <c r="E447"/>
      <c r="F447"/>
      <c r="G447">
        <v>34</v>
      </c>
      <c r="H447"/>
      <c r="I447"/>
      <c r="J447"/>
      <c r="K447"/>
      <c r="L447"/>
      <c r="M447">
        <v>2</v>
      </c>
      <c r="N447"/>
      <c r="O447"/>
      <c r="P447">
        <v>13.5</v>
      </c>
      <c r="Q447"/>
      <c r="R447"/>
      <c r="S447"/>
      <c r="T447"/>
      <c r="U447"/>
      <c r="V447" s="34">
        <f t="shared" si="59"/>
        <v>49.5</v>
      </c>
    </row>
    <row r="448" spans="1:25" ht="39.6" hidden="1" outlineLevel="1" x14ac:dyDescent="0.25">
      <c r="A448" s="34" t="s">
        <v>224</v>
      </c>
      <c r="B448" s="42" t="s">
        <v>132</v>
      </c>
      <c r="C448" s="34">
        <v>3</v>
      </c>
      <c r="G448" s="34">
        <v>8</v>
      </c>
      <c r="K448" s="34">
        <v>2</v>
      </c>
      <c r="M448" s="34">
        <v>2</v>
      </c>
      <c r="N448" s="34">
        <v>8.5</v>
      </c>
      <c r="P448" s="34">
        <v>8.5</v>
      </c>
      <c r="V448" s="34">
        <f t="shared" si="59"/>
        <v>29</v>
      </c>
      <c r="X448" s="38"/>
    </row>
    <row r="449" spans="1:24" ht="26.4" hidden="1" outlineLevel="1" x14ac:dyDescent="0.25">
      <c r="A449" s="34" t="s">
        <v>223</v>
      </c>
      <c r="B449" s="42" t="s">
        <v>86</v>
      </c>
      <c r="C449" s="34">
        <v>4</v>
      </c>
      <c r="S449" s="34">
        <v>19.8</v>
      </c>
      <c r="V449" s="34">
        <f t="shared" si="59"/>
        <v>19.8</v>
      </c>
      <c r="X449" s="38"/>
    </row>
    <row r="450" spans="1:24" hidden="1" outlineLevel="1" x14ac:dyDescent="0.25">
      <c r="V450" s="34">
        <f t="shared" si="59"/>
        <v>0</v>
      </c>
      <c r="X450" s="38"/>
    </row>
    <row r="451" spans="1:24" hidden="1" outlineLevel="1" x14ac:dyDescent="0.25">
      <c r="V451" s="34">
        <f t="shared" si="59"/>
        <v>0</v>
      </c>
    </row>
    <row r="452" spans="1:24" hidden="1" outlineLevel="1" x14ac:dyDescent="0.25">
      <c r="H452" s="37"/>
      <c r="N452" s="38"/>
      <c r="V452" s="34">
        <f t="shared" si="59"/>
        <v>0</v>
      </c>
    </row>
    <row r="453" spans="1:24" hidden="1" outlineLevel="1" x14ac:dyDescent="0.25">
      <c r="H453" s="37"/>
      <c r="N453" s="38"/>
      <c r="V453" s="34">
        <f t="shared" si="59"/>
        <v>0</v>
      </c>
    </row>
    <row r="454" spans="1:24" hidden="1" outlineLevel="1" x14ac:dyDescent="0.25">
      <c r="H454" s="37"/>
      <c r="N454" s="38"/>
      <c r="V454" s="34">
        <f t="shared" si="59"/>
        <v>0</v>
      </c>
    </row>
    <row r="455" spans="1:24" hidden="1" outlineLevel="1" x14ac:dyDescent="0.25">
      <c r="H455" s="37"/>
      <c r="N455" s="38"/>
      <c r="V455" s="34">
        <f t="shared" si="59"/>
        <v>0</v>
      </c>
    </row>
    <row r="456" spans="1:24" hidden="1" outlineLevel="1" x14ac:dyDescent="0.25">
      <c r="H456" s="37"/>
      <c r="N456" s="38"/>
      <c r="V456" s="34">
        <f t="shared" si="59"/>
        <v>0</v>
      </c>
    </row>
    <row r="457" spans="1:24" hidden="1" outlineLevel="1" x14ac:dyDescent="0.25">
      <c r="H457" s="37"/>
      <c r="N457" s="38"/>
      <c r="S457" s="38"/>
      <c r="V457" s="34">
        <f t="shared" si="59"/>
        <v>0</v>
      </c>
    </row>
    <row r="458" spans="1:24" hidden="1" outlineLevel="1" x14ac:dyDescent="0.25">
      <c r="H458" s="37"/>
      <c r="N458" s="38"/>
      <c r="S458" s="38"/>
      <c r="V458" s="34">
        <f t="shared" si="59"/>
        <v>0</v>
      </c>
    </row>
    <row r="459" spans="1:24" hidden="1" outlineLevel="1" x14ac:dyDescent="0.25">
      <c r="H459" s="37"/>
      <c r="N459" s="38"/>
      <c r="S459" s="38"/>
      <c r="V459" s="34">
        <f t="shared" si="59"/>
        <v>0</v>
      </c>
    </row>
    <row r="460" spans="1:24" hidden="1" outlineLevel="1" x14ac:dyDescent="0.25">
      <c r="H460" s="37"/>
      <c r="N460" s="38"/>
      <c r="S460" s="38"/>
      <c r="V460" s="34">
        <f t="shared" si="59"/>
        <v>0</v>
      </c>
    </row>
    <row r="461" spans="1:24" hidden="1" outlineLevel="1" x14ac:dyDescent="0.25">
      <c r="H461" s="37"/>
      <c r="N461" s="38"/>
      <c r="S461" s="38"/>
      <c r="V461" s="34">
        <f t="shared" si="59"/>
        <v>0</v>
      </c>
    </row>
    <row r="462" spans="1:24" hidden="1" outlineLevel="1" x14ac:dyDescent="0.25">
      <c r="H462" s="37"/>
      <c r="N462" s="38"/>
      <c r="S462" s="38"/>
      <c r="V462" s="34">
        <f t="shared" si="59"/>
        <v>0</v>
      </c>
    </row>
    <row r="463" spans="1:24" ht="13.8" hidden="1" outlineLevel="1" thickBot="1" x14ac:dyDescent="0.3"/>
    <row r="464" spans="1:24" ht="12.75" customHeight="1" x14ac:dyDescent="0.25">
      <c r="A464" s="145">
        <v>15</v>
      </c>
      <c r="B464" s="147" t="s">
        <v>209</v>
      </c>
      <c r="C464" s="147" t="s">
        <v>9</v>
      </c>
      <c r="D464" s="149" t="s">
        <v>34</v>
      </c>
      <c r="E464" s="46" t="s">
        <v>15</v>
      </c>
      <c r="F464" s="66">
        <v>0.5</v>
      </c>
      <c r="G464" s="36">
        <f t="shared" ref="G464:U464" si="60">SUM(G466:G476)</f>
        <v>64</v>
      </c>
      <c r="H464" s="36">
        <f t="shared" si="60"/>
        <v>30</v>
      </c>
      <c r="I464" s="36">
        <f t="shared" si="60"/>
        <v>16</v>
      </c>
      <c r="J464" s="36">
        <f t="shared" si="60"/>
        <v>0</v>
      </c>
      <c r="K464" s="36">
        <f t="shared" si="60"/>
        <v>0</v>
      </c>
      <c r="L464" s="36">
        <f t="shared" si="60"/>
        <v>0</v>
      </c>
      <c r="M464" s="36">
        <f t="shared" si="60"/>
        <v>4</v>
      </c>
      <c r="N464" s="36">
        <f t="shared" si="60"/>
        <v>0</v>
      </c>
      <c r="O464" s="36">
        <f t="shared" si="60"/>
        <v>6.65</v>
      </c>
      <c r="P464" s="36">
        <f t="shared" si="60"/>
        <v>3</v>
      </c>
      <c r="Q464" s="36">
        <f t="shared" si="60"/>
        <v>0</v>
      </c>
      <c r="R464" s="36">
        <f t="shared" si="60"/>
        <v>0</v>
      </c>
      <c r="S464" s="36">
        <f t="shared" si="60"/>
        <v>0</v>
      </c>
      <c r="T464" s="36">
        <f t="shared" si="60"/>
        <v>0</v>
      </c>
      <c r="U464" s="36">
        <f t="shared" si="60"/>
        <v>0</v>
      </c>
      <c r="V464" s="36">
        <f>SUM(V466:V476)</f>
        <v>123.65</v>
      </c>
      <c r="W464" s="151">
        <f>V464+V465</f>
        <v>471.35</v>
      </c>
    </row>
    <row r="465" spans="1:25" ht="13.8" collapsed="1" thickBot="1" x14ac:dyDescent="0.3">
      <c r="A465" s="146"/>
      <c r="B465" s="148"/>
      <c r="C465" s="148"/>
      <c r="D465" s="150"/>
      <c r="E465" s="47"/>
      <c r="F465" s="67"/>
      <c r="G465" s="39">
        <f>SUM(G477:G494)</f>
        <v>92</v>
      </c>
      <c r="H465" s="41">
        <f>SUM(H477:H494)</f>
        <v>96</v>
      </c>
      <c r="I465" s="39">
        <f>SUM(I477:I494)</f>
        <v>0</v>
      </c>
      <c r="J465" s="39">
        <f>SUM(J477:J494)</f>
        <v>0</v>
      </c>
      <c r="K465" s="39">
        <f t="shared" ref="K465:U465" si="61">SUM(K477:K494)</f>
        <v>0</v>
      </c>
      <c r="L465" s="39">
        <f t="shared" si="61"/>
        <v>0</v>
      </c>
      <c r="M465" s="39">
        <f t="shared" si="61"/>
        <v>2</v>
      </c>
      <c r="N465" s="39">
        <f t="shared" si="61"/>
        <v>0</v>
      </c>
      <c r="O465" s="39">
        <f t="shared" si="61"/>
        <v>16.100000000000001</v>
      </c>
      <c r="P465" s="39">
        <f t="shared" si="61"/>
        <v>3</v>
      </c>
      <c r="Q465" s="39">
        <f t="shared" si="61"/>
        <v>0</v>
      </c>
      <c r="R465" s="39">
        <f t="shared" si="61"/>
        <v>0</v>
      </c>
      <c r="S465" s="39">
        <f t="shared" si="61"/>
        <v>138.6</v>
      </c>
      <c r="T465" s="39">
        <f t="shared" si="61"/>
        <v>0</v>
      </c>
      <c r="U465" s="39">
        <f t="shared" si="61"/>
        <v>0</v>
      </c>
      <c r="V465" s="39">
        <f>SUM(V477:V494)</f>
        <v>347.70000000000005</v>
      </c>
      <c r="W465" s="152"/>
      <c r="Y465" s="38"/>
    </row>
    <row r="466" spans="1:25" ht="26.4" hidden="1" outlineLevel="1" x14ac:dyDescent="0.25">
      <c r="A466" s="34" t="s">
        <v>223</v>
      </c>
      <c r="B466" s="42" t="s">
        <v>72</v>
      </c>
      <c r="C466" s="34">
        <v>2</v>
      </c>
      <c r="G466" s="34">
        <v>34</v>
      </c>
      <c r="I466" s="34">
        <v>16</v>
      </c>
      <c r="O466" s="34">
        <v>6.65</v>
      </c>
      <c r="V466" s="34">
        <f t="shared" ref="V466:V475" si="62">SUM(G466:U466)</f>
        <v>56.65</v>
      </c>
    </row>
    <row r="467" spans="1:25" ht="39.6" hidden="1" outlineLevel="1" x14ac:dyDescent="0.25">
      <c r="A467" s="34" t="s">
        <v>225</v>
      </c>
      <c r="B467" s="42" t="s">
        <v>149</v>
      </c>
      <c r="C467" s="34">
        <v>2</v>
      </c>
      <c r="G467" s="34">
        <v>24</v>
      </c>
      <c r="H467" s="34">
        <v>24</v>
      </c>
      <c r="M467" s="34">
        <v>2</v>
      </c>
      <c r="P467" s="34">
        <v>1.5</v>
      </c>
      <c r="V467" s="34">
        <f t="shared" si="62"/>
        <v>51.5</v>
      </c>
    </row>
    <row r="468" spans="1:25" ht="52.8" hidden="1" outlineLevel="1" x14ac:dyDescent="0.25">
      <c r="A468" s="34" t="s">
        <v>226</v>
      </c>
      <c r="B468" s="42" t="s">
        <v>163</v>
      </c>
      <c r="C468" s="34">
        <v>2</v>
      </c>
      <c r="G468" s="34">
        <v>6</v>
      </c>
      <c r="H468" s="34">
        <v>6</v>
      </c>
      <c r="M468" s="34">
        <v>2</v>
      </c>
      <c r="P468" s="34">
        <v>1.5</v>
      </c>
      <c r="V468" s="34">
        <f t="shared" si="62"/>
        <v>15.5</v>
      </c>
    </row>
    <row r="469" spans="1:25" hidden="1" outlineLevel="1" x14ac:dyDescent="0.25">
      <c r="V469" s="34">
        <f t="shared" si="62"/>
        <v>0</v>
      </c>
    </row>
    <row r="470" spans="1:25" hidden="1" outlineLevel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 s="34">
        <f t="shared" si="62"/>
        <v>0</v>
      </c>
    </row>
    <row r="471" spans="1:25" hidden="1" outlineLevel="1" x14ac:dyDescent="0.25">
      <c r="V471" s="34">
        <f t="shared" si="62"/>
        <v>0</v>
      </c>
    </row>
    <row r="472" spans="1:25" hidden="1" outlineLevel="1" x14ac:dyDescent="0.25">
      <c r="V472" s="34">
        <f t="shared" si="62"/>
        <v>0</v>
      </c>
    </row>
    <row r="473" spans="1:25" hidden="1" outlineLevel="1" x14ac:dyDescent="0.25">
      <c r="V473" s="34">
        <f t="shared" si="62"/>
        <v>0</v>
      </c>
    </row>
    <row r="474" spans="1:25" hidden="1" outlineLevel="1" x14ac:dyDescent="0.25">
      <c r="V474" s="34">
        <f t="shared" si="62"/>
        <v>0</v>
      </c>
    </row>
    <row r="475" spans="1:25" hidden="1" outlineLevel="1" x14ac:dyDescent="0.25">
      <c r="V475" s="34">
        <f t="shared" si="62"/>
        <v>0</v>
      </c>
    </row>
    <row r="476" spans="1:25" hidden="1" outlineLevel="1" x14ac:dyDescent="0.25">
      <c r="B476" s="155" t="s">
        <v>29</v>
      </c>
      <c r="C476" s="155"/>
      <c r="D476" s="155"/>
      <c r="E476" s="155"/>
      <c r="F476" s="155"/>
      <c r="G476" s="155"/>
      <c r="H476" s="155"/>
      <c r="I476" s="155"/>
      <c r="J476" s="155"/>
      <c r="K476" s="155"/>
      <c r="L476" s="155"/>
      <c r="M476" s="155"/>
      <c r="N476" s="155"/>
      <c r="O476" s="155"/>
      <c r="P476" s="155"/>
      <c r="Q476" s="155"/>
      <c r="R476" s="155"/>
      <c r="S476" s="155"/>
      <c r="T476" s="155"/>
      <c r="U476" s="155"/>
      <c r="V476" s="103"/>
    </row>
    <row r="477" spans="1:25" ht="26.4" hidden="1" outlineLevel="1" x14ac:dyDescent="0.25">
      <c r="A477" s="34" t="s">
        <v>223</v>
      </c>
      <c r="B477" s="42" t="s">
        <v>80</v>
      </c>
      <c r="C477" s="34">
        <v>1</v>
      </c>
      <c r="G477" s="34">
        <v>34</v>
      </c>
      <c r="H477" s="34">
        <v>32</v>
      </c>
      <c r="O477" s="34">
        <v>8.75</v>
      </c>
      <c r="V477" s="34">
        <f t="shared" ref="V477:V493" si="63">SUM(G477:U477)</f>
        <v>74.75</v>
      </c>
      <c r="X477" s="38"/>
    </row>
    <row r="478" spans="1:25" ht="26.4" hidden="1" outlineLevel="1" x14ac:dyDescent="0.25">
      <c r="A478" s="34" t="s">
        <v>225</v>
      </c>
      <c r="B478" s="42" t="s">
        <v>153</v>
      </c>
      <c r="C478" s="34">
        <v>1</v>
      </c>
      <c r="G478" s="34">
        <v>24</v>
      </c>
      <c r="H478" s="34">
        <v>32</v>
      </c>
      <c r="M478" s="34">
        <v>2</v>
      </c>
      <c r="P478" s="34">
        <v>3</v>
      </c>
      <c r="V478" s="34">
        <f t="shared" si="63"/>
        <v>61</v>
      </c>
    </row>
    <row r="479" spans="1:25" ht="26.4" hidden="1" outlineLevel="1" x14ac:dyDescent="0.25">
      <c r="A479" s="34" t="s">
        <v>224</v>
      </c>
      <c r="B479" s="42" t="s">
        <v>134</v>
      </c>
      <c r="C479" s="34">
        <v>4</v>
      </c>
      <c r="S479" s="34">
        <v>59.4</v>
      </c>
      <c r="V479" s="34">
        <f t="shared" si="63"/>
        <v>59.4</v>
      </c>
      <c r="X479" s="38"/>
    </row>
    <row r="480" spans="1:25" ht="26.4" hidden="1" outlineLevel="1" x14ac:dyDescent="0.25">
      <c r="A480" s="34" t="s">
        <v>224</v>
      </c>
      <c r="B480" s="42" t="s">
        <v>123</v>
      </c>
      <c r="C480" s="34">
        <v>5</v>
      </c>
      <c r="S480" s="34">
        <v>39.6</v>
      </c>
      <c r="V480" s="34">
        <f t="shared" si="63"/>
        <v>39.6</v>
      </c>
      <c r="X480" s="38"/>
    </row>
    <row r="481" spans="1:25" ht="26.4" hidden="1" outlineLevel="1" x14ac:dyDescent="0.25">
      <c r="A481" s="34" t="s">
        <v>223</v>
      </c>
      <c r="B481" s="42" t="s">
        <v>86</v>
      </c>
      <c r="C481" s="34">
        <v>4</v>
      </c>
      <c r="S481" s="34">
        <v>39.6</v>
      </c>
      <c r="V481" s="34">
        <f t="shared" si="63"/>
        <v>39.6</v>
      </c>
      <c r="X481" s="38"/>
    </row>
    <row r="482" spans="1:25" ht="26.4" hidden="1" outlineLevel="1" x14ac:dyDescent="0.25">
      <c r="A482" s="34" t="s">
        <v>223</v>
      </c>
      <c r="B482" s="42" t="s">
        <v>238</v>
      </c>
      <c r="C482" s="34">
        <v>1</v>
      </c>
      <c r="G482" s="34">
        <v>34</v>
      </c>
      <c r="H482" s="34">
        <v>32</v>
      </c>
      <c r="O482" s="34">
        <v>7.35</v>
      </c>
      <c r="V482" s="34">
        <f t="shared" si="63"/>
        <v>73.349999999999994</v>
      </c>
    </row>
    <row r="483" spans="1:25" hidden="1" outlineLevel="1" x14ac:dyDescent="0.25">
      <c r="H483" s="37"/>
      <c r="N483" s="38"/>
      <c r="V483" s="34">
        <f t="shared" si="63"/>
        <v>0</v>
      </c>
    </row>
    <row r="484" spans="1:25" hidden="1" outlineLevel="1" x14ac:dyDescent="0.25">
      <c r="H484" s="37"/>
      <c r="N484" s="38"/>
      <c r="V484" s="34">
        <f t="shared" si="63"/>
        <v>0</v>
      </c>
    </row>
    <row r="485" spans="1:25" hidden="1" outlineLevel="1" x14ac:dyDescent="0.25">
      <c r="H485" s="37"/>
      <c r="N485" s="38"/>
      <c r="V485" s="34">
        <f t="shared" si="63"/>
        <v>0</v>
      </c>
    </row>
    <row r="486" spans="1:25" hidden="1" outlineLevel="1" x14ac:dyDescent="0.25">
      <c r="H486" s="37"/>
      <c r="N486" s="38"/>
      <c r="V486" s="34">
        <f t="shared" si="63"/>
        <v>0</v>
      </c>
    </row>
    <row r="487" spans="1:25" hidden="1" outlineLevel="1" x14ac:dyDescent="0.25">
      <c r="H487" s="37"/>
      <c r="N487" s="38"/>
      <c r="V487" s="34">
        <f t="shared" si="63"/>
        <v>0</v>
      </c>
    </row>
    <row r="488" spans="1:25" hidden="1" outlineLevel="1" x14ac:dyDescent="0.25">
      <c r="H488" s="37"/>
      <c r="N488" s="38"/>
      <c r="S488" s="38"/>
      <c r="V488" s="34">
        <f t="shared" si="63"/>
        <v>0</v>
      </c>
    </row>
    <row r="489" spans="1:25" hidden="1" outlineLevel="1" x14ac:dyDescent="0.25">
      <c r="H489" s="37"/>
      <c r="N489" s="38"/>
      <c r="S489" s="38"/>
      <c r="V489" s="34">
        <f t="shared" si="63"/>
        <v>0</v>
      </c>
    </row>
    <row r="490" spans="1:25" hidden="1" outlineLevel="1" x14ac:dyDescent="0.25">
      <c r="H490" s="37"/>
      <c r="N490" s="38"/>
      <c r="S490" s="38"/>
      <c r="V490" s="34">
        <f t="shared" si="63"/>
        <v>0</v>
      </c>
    </row>
    <row r="491" spans="1:25" hidden="1" outlineLevel="1" x14ac:dyDescent="0.25">
      <c r="H491" s="37"/>
      <c r="N491" s="38"/>
      <c r="S491" s="38"/>
      <c r="V491" s="34">
        <f t="shared" si="63"/>
        <v>0</v>
      </c>
    </row>
    <row r="492" spans="1:25" hidden="1" outlineLevel="1" x14ac:dyDescent="0.25">
      <c r="H492" s="37"/>
      <c r="N492" s="38"/>
      <c r="S492" s="38"/>
      <c r="V492" s="34">
        <f t="shared" si="63"/>
        <v>0</v>
      </c>
    </row>
    <row r="493" spans="1:25" hidden="1" outlineLevel="1" x14ac:dyDescent="0.25">
      <c r="H493" s="37"/>
      <c r="N493" s="38"/>
      <c r="S493" s="38"/>
      <c r="V493" s="34">
        <f t="shared" si="63"/>
        <v>0</v>
      </c>
    </row>
    <row r="494" spans="1:25" ht="13.8" hidden="1" outlineLevel="1" thickBot="1" x14ac:dyDescent="0.3"/>
    <row r="495" spans="1:25" ht="12.75" customHeight="1" x14ac:dyDescent="0.25">
      <c r="A495" s="145">
        <v>16</v>
      </c>
      <c r="B495" s="147" t="s">
        <v>210</v>
      </c>
      <c r="C495" s="147" t="s">
        <v>9</v>
      </c>
      <c r="D495" s="149" t="s">
        <v>34</v>
      </c>
      <c r="E495" s="46" t="s">
        <v>15</v>
      </c>
      <c r="F495" s="66">
        <v>0.25</v>
      </c>
      <c r="G495" s="36">
        <f t="shared" ref="G495:U495" si="64">SUM(G497:G507)</f>
        <v>74</v>
      </c>
      <c r="H495" s="36">
        <f t="shared" si="64"/>
        <v>64</v>
      </c>
      <c r="I495" s="36">
        <f t="shared" si="64"/>
        <v>18</v>
      </c>
      <c r="J495" s="36">
        <f t="shared" si="64"/>
        <v>0</v>
      </c>
      <c r="K495" s="36">
        <f t="shared" si="64"/>
        <v>0</v>
      </c>
      <c r="L495" s="36">
        <f t="shared" si="64"/>
        <v>0</v>
      </c>
      <c r="M495" s="36">
        <f t="shared" si="64"/>
        <v>6</v>
      </c>
      <c r="N495" s="36">
        <f t="shared" si="64"/>
        <v>0</v>
      </c>
      <c r="O495" s="36">
        <f t="shared" si="64"/>
        <v>2.1</v>
      </c>
      <c r="P495" s="36">
        <f t="shared" si="64"/>
        <v>19.5</v>
      </c>
      <c r="Q495" s="36">
        <f t="shared" si="64"/>
        <v>0</v>
      </c>
      <c r="R495" s="36">
        <f t="shared" si="64"/>
        <v>0</v>
      </c>
      <c r="S495" s="36">
        <f t="shared" si="64"/>
        <v>0</v>
      </c>
      <c r="T495" s="36">
        <f t="shared" si="64"/>
        <v>0</v>
      </c>
      <c r="U495" s="36">
        <f t="shared" si="64"/>
        <v>0</v>
      </c>
      <c r="V495" s="36">
        <f>SUM(V497:V507)</f>
        <v>183.6</v>
      </c>
      <c r="W495" s="151">
        <f>V495+V496</f>
        <v>296.8</v>
      </c>
    </row>
    <row r="496" spans="1:25" ht="13.8" collapsed="1" thickBot="1" x14ac:dyDescent="0.3">
      <c r="A496" s="146"/>
      <c r="B496" s="148"/>
      <c r="C496" s="148"/>
      <c r="D496" s="150"/>
      <c r="E496" s="47"/>
      <c r="F496" s="67"/>
      <c r="G496" s="39">
        <f>SUM(G508:G525)</f>
        <v>0</v>
      </c>
      <c r="H496" s="41">
        <f>SUM(H508:H525)</f>
        <v>34</v>
      </c>
      <c r="I496" s="39">
        <f>SUM(I508:I525)</f>
        <v>0</v>
      </c>
      <c r="J496" s="39">
        <f>SUM(J508:J525)</f>
        <v>0</v>
      </c>
      <c r="K496" s="39">
        <f t="shared" ref="K496:U496" si="65">SUM(K508:K525)</f>
        <v>0</v>
      </c>
      <c r="L496" s="39">
        <f t="shared" si="65"/>
        <v>0</v>
      </c>
      <c r="M496" s="39">
        <f t="shared" si="65"/>
        <v>0</v>
      </c>
      <c r="N496" s="39">
        <f t="shared" si="65"/>
        <v>0</v>
      </c>
      <c r="O496" s="39">
        <f t="shared" si="65"/>
        <v>0</v>
      </c>
      <c r="P496" s="39">
        <f t="shared" si="65"/>
        <v>0</v>
      </c>
      <c r="Q496" s="39">
        <f t="shared" si="65"/>
        <v>0</v>
      </c>
      <c r="R496" s="39">
        <f t="shared" si="65"/>
        <v>0</v>
      </c>
      <c r="S496" s="39">
        <f t="shared" si="65"/>
        <v>79.2</v>
      </c>
      <c r="T496" s="39">
        <f t="shared" si="65"/>
        <v>0</v>
      </c>
      <c r="U496" s="39">
        <f t="shared" si="65"/>
        <v>0</v>
      </c>
      <c r="V496" s="39">
        <f>SUM(V508:V525)</f>
        <v>113.2</v>
      </c>
      <c r="W496" s="152"/>
      <c r="Y496" s="38"/>
    </row>
    <row r="497" spans="1:24" ht="52.8" hidden="1" outlineLevel="1" x14ac:dyDescent="0.25">
      <c r="A497" s="34" t="s">
        <v>223</v>
      </c>
      <c r="B497" s="42" t="s">
        <v>68</v>
      </c>
      <c r="C497" s="34">
        <v>4</v>
      </c>
      <c r="G497" s="34">
        <v>32</v>
      </c>
      <c r="H497" s="34">
        <v>32</v>
      </c>
      <c r="M497" s="34">
        <v>4</v>
      </c>
      <c r="P497" s="34">
        <v>16.5</v>
      </c>
      <c r="V497" s="34">
        <f t="shared" ref="V497:V506" si="66">SUM(G497:U497)</f>
        <v>84.5</v>
      </c>
    </row>
    <row r="498" spans="1:24" ht="13.5" hidden="1" customHeight="1" outlineLevel="1" x14ac:dyDescent="0.25">
      <c r="A498" t="s">
        <v>225</v>
      </c>
      <c r="B498" t="s">
        <v>146</v>
      </c>
      <c r="C498">
        <v>1</v>
      </c>
      <c r="D498"/>
      <c r="E498"/>
      <c r="F498"/>
      <c r="G498">
        <v>18</v>
      </c>
      <c r="H498"/>
      <c r="I498">
        <v>18</v>
      </c>
      <c r="J498"/>
      <c r="K498"/>
      <c r="L498"/>
      <c r="M498"/>
      <c r="N498"/>
      <c r="O498">
        <v>2.1</v>
      </c>
      <c r="P498"/>
      <c r="Q498"/>
      <c r="R498"/>
      <c r="S498"/>
      <c r="T498"/>
      <c r="U498"/>
      <c r="V498" s="34">
        <f t="shared" si="66"/>
        <v>38.1</v>
      </c>
    </row>
    <row r="499" spans="1:24" hidden="1" outlineLevel="1" x14ac:dyDescent="0.25">
      <c r="A499" t="s">
        <v>225</v>
      </c>
      <c r="B499" t="s">
        <v>233</v>
      </c>
      <c r="C499">
        <v>1</v>
      </c>
      <c r="D499"/>
      <c r="E499"/>
      <c r="F499"/>
      <c r="G499">
        <v>24</v>
      </c>
      <c r="H499">
        <v>32</v>
      </c>
      <c r="I499"/>
      <c r="J499"/>
      <c r="K499"/>
      <c r="L499"/>
      <c r="M499">
        <v>2</v>
      </c>
      <c r="N499"/>
      <c r="O499"/>
      <c r="P499">
        <v>3</v>
      </c>
      <c r="Q499"/>
      <c r="R499"/>
      <c r="S499"/>
      <c r="T499"/>
      <c r="U499"/>
      <c r="V499" s="34">
        <f t="shared" si="66"/>
        <v>61</v>
      </c>
    </row>
    <row r="500" spans="1:24" hidden="1" outlineLevel="1" x14ac:dyDescent="0.25">
      <c r="V500" s="34">
        <f t="shared" si="66"/>
        <v>0</v>
      </c>
    </row>
    <row r="501" spans="1:24" hidden="1" outlineLevel="1" x14ac:dyDescent="0.25">
      <c r="V501" s="34">
        <f t="shared" si="66"/>
        <v>0</v>
      </c>
    </row>
    <row r="502" spans="1:24" hidden="1" outlineLevel="1" x14ac:dyDescent="0.25">
      <c r="V502" s="34">
        <f t="shared" si="66"/>
        <v>0</v>
      </c>
    </row>
    <row r="503" spans="1:24" hidden="1" outlineLevel="1" x14ac:dyDescent="0.25">
      <c r="V503" s="34">
        <f t="shared" si="66"/>
        <v>0</v>
      </c>
    </row>
    <row r="504" spans="1:24" hidden="1" outlineLevel="1" x14ac:dyDescent="0.25">
      <c r="V504" s="34">
        <f t="shared" si="66"/>
        <v>0</v>
      </c>
    </row>
    <row r="505" spans="1:24" hidden="1" outlineLevel="1" x14ac:dyDescent="0.25">
      <c r="V505" s="34">
        <f t="shared" si="66"/>
        <v>0</v>
      </c>
    </row>
    <row r="506" spans="1:24" hidden="1" outlineLevel="1" x14ac:dyDescent="0.25">
      <c r="V506" s="34">
        <f t="shared" si="66"/>
        <v>0</v>
      </c>
    </row>
    <row r="507" spans="1:24" hidden="1" outlineLevel="1" x14ac:dyDescent="0.25">
      <c r="B507" s="155" t="s">
        <v>29</v>
      </c>
      <c r="C507" s="155"/>
      <c r="D507" s="155"/>
      <c r="E507" s="155"/>
      <c r="F507" s="155"/>
      <c r="G507" s="155"/>
      <c r="H507" s="155"/>
      <c r="I507" s="155"/>
      <c r="J507" s="155"/>
      <c r="K507" s="155"/>
      <c r="L507" s="155"/>
      <c r="M507" s="155"/>
      <c r="N507" s="155"/>
      <c r="O507" s="155"/>
      <c r="P507" s="155"/>
      <c r="Q507" s="155"/>
      <c r="R507" s="155"/>
      <c r="S507" s="155"/>
      <c r="T507" s="155"/>
      <c r="U507" s="155"/>
      <c r="V507" s="103"/>
    </row>
    <row r="508" spans="1:24" ht="39.6" hidden="1" outlineLevel="1" x14ac:dyDescent="0.25">
      <c r="A508" s="34" t="s">
        <v>223</v>
      </c>
      <c r="B508" s="42" t="s">
        <v>64</v>
      </c>
      <c r="C508" s="34">
        <v>2</v>
      </c>
      <c r="H508" s="34">
        <v>34</v>
      </c>
      <c r="V508" s="34">
        <f t="shared" ref="V508:V524" si="67">SUM(G508:U508)</f>
        <v>34</v>
      </c>
      <c r="X508" s="38"/>
    </row>
    <row r="509" spans="1:24" ht="26.4" hidden="1" outlineLevel="1" x14ac:dyDescent="0.25">
      <c r="A509" s="34" t="s">
        <v>223</v>
      </c>
      <c r="B509" s="42" t="s">
        <v>86</v>
      </c>
      <c r="C509" s="34">
        <v>4</v>
      </c>
      <c r="S509" s="34">
        <v>79.2</v>
      </c>
      <c r="V509" s="34">
        <f t="shared" si="67"/>
        <v>79.2</v>
      </c>
    </row>
    <row r="510" spans="1:24" hidden="1" outlineLevel="1" x14ac:dyDescent="0.25">
      <c r="V510" s="34">
        <f t="shared" si="67"/>
        <v>0</v>
      </c>
      <c r="X510" s="38"/>
    </row>
    <row r="511" spans="1:24" hidden="1" outlineLevel="1" x14ac:dyDescent="0.25">
      <c r="V511" s="34">
        <f t="shared" si="67"/>
        <v>0</v>
      </c>
      <c r="X511" s="38"/>
    </row>
    <row r="512" spans="1:24" hidden="1" outlineLevel="1" x14ac:dyDescent="0.25">
      <c r="V512" s="34">
        <f t="shared" si="67"/>
        <v>0</v>
      </c>
      <c r="X512" s="38"/>
    </row>
    <row r="513" spans="1:25" hidden="1" outlineLevel="1" x14ac:dyDescent="0.25">
      <c r="V513" s="34">
        <f t="shared" si="67"/>
        <v>0</v>
      </c>
    </row>
    <row r="514" spans="1:25" hidden="1" outlineLevel="1" x14ac:dyDescent="0.25">
      <c r="H514" s="37"/>
      <c r="N514" s="38"/>
      <c r="V514" s="34">
        <f t="shared" si="67"/>
        <v>0</v>
      </c>
    </row>
    <row r="515" spans="1:25" hidden="1" outlineLevel="1" x14ac:dyDescent="0.25">
      <c r="H515" s="37"/>
      <c r="N515" s="38"/>
      <c r="V515" s="34">
        <f t="shared" si="67"/>
        <v>0</v>
      </c>
    </row>
    <row r="516" spans="1:25" hidden="1" outlineLevel="1" x14ac:dyDescent="0.25">
      <c r="H516" s="37"/>
      <c r="N516" s="38"/>
      <c r="V516" s="34">
        <f t="shared" si="67"/>
        <v>0</v>
      </c>
    </row>
    <row r="517" spans="1:25" hidden="1" outlineLevel="1" x14ac:dyDescent="0.25">
      <c r="H517" s="37"/>
      <c r="N517" s="38"/>
      <c r="V517" s="34">
        <f t="shared" si="67"/>
        <v>0</v>
      </c>
    </row>
    <row r="518" spans="1:25" hidden="1" outlineLevel="1" x14ac:dyDescent="0.25">
      <c r="H518" s="37"/>
      <c r="N518" s="38"/>
      <c r="V518" s="34">
        <f t="shared" si="67"/>
        <v>0</v>
      </c>
    </row>
    <row r="519" spans="1:25" hidden="1" outlineLevel="1" x14ac:dyDescent="0.25">
      <c r="H519" s="37"/>
      <c r="N519" s="38"/>
      <c r="S519" s="38"/>
      <c r="V519" s="34">
        <f t="shared" si="67"/>
        <v>0</v>
      </c>
    </row>
    <row r="520" spans="1:25" hidden="1" outlineLevel="1" x14ac:dyDescent="0.25">
      <c r="H520" s="37"/>
      <c r="N520" s="38"/>
      <c r="S520" s="38"/>
      <c r="V520" s="34">
        <f t="shared" si="67"/>
        <v>0</v>
      </c>
    </row>
    <row r="521" spans="1:25" hidden="1" outlineLevel="1" x14ac:dyDescent="0.25">
      <c r="H521" s="37"/>
      <c r="N521" s="38"/>
      <c r="S521" s="38"/>
      <c r="V521" s="34">
        <f t="shared" si="67"/>
        <v>0</v>
      </c>
    </row>
    <row r="522" spans="1:25" hidden="1" outlineLevel="1" x14ac:dyDescent="0.25">
      <c r="H522" s="37"/>
      <c r="N522" s="38"/>
      <c r="S522" s="38"/>
      <c r="V522" s="34">
        <f t="shared" si="67"/>
        <v>0</v>
      </c>
    </row>
    <row r="523" spans="1:25" hidden="1" outlineLevel="1" x14ac:dyDescent="0.25">
      <c r="H523" s="37"/>
      <c r="N523" s="38"/>
      <c r="S523" s="38"/>
      <c r="V523" s="34">
        <f t="shared" si="67"/>
        <v>0</v>
      </c>
    </row>
    <row r="524" spans="1:25" hidden="1" outlineLevel="1" x14ac:dyDescent="0.25">
      <c r="H524" s="37"/>
      <c r="N524" s="38"/>
      <c r="S524" s="38"/>
      <c r="V524" s="34">
        <f t="shared" si="67"/>
        <v>0</v>
      </c>
    </row>
    <row r="525" spans="1:25" ht="13.8" hidden="1" outlineLevel="1" thickBot="1" x14ac:dyDescent="0.3"/>
    <row r="526" spans="1:25" ht="12.75" customHeight="1" x14ac:dyDescent="0.25">
      <c r="A526" s="145">
        <v>17</v>
      </c>
      <c r="B526" s="147" t="s">
        <v>211</v>
      </c>
      <c r="C526" s="147" t="s">
        <v>32</v>
      </c>
      <c r="D526" s="149" t="s">
        <v>34</v>
      </c>
      <c r="E526" s="46"/>
      <c r="F526" s="66"/>
      <c r="G526" s="36">
        <f t="shared" ref="G526:U526" si="68">SUM(G528:G538)</f>
        <v>118</v>
      </c>
      <c r="H526" s="36">
        <f t="shared" si="68"/>
        <v>148</v>
      </c>
      <c r="I526" s="36">
        <f t="shared" si="68"/>
        <v>0</v>
      </c>
      <c r="J526" s="36">
        <f t="shared" si="68"/>
        <v>0</v>
      </c>
      <c r="K526" s="36">
        <f t="shared" si="68"/>
        <v>4</v>
      </c>
      <c r="L526" s="36">
        <f t="shared" si="68"/>
        <v>68</v>
      </c>
      <c r="M526" s="36">
        <f t="shared" si="68"/>
        <v>10</v>
      </c>
      <c r="N526" s="36">
        <f t="shared" si="68"/>
        <v>24.5</v>
      </c>
      <c r="O526" s="36">
        <f t="shared" si="68"/>
        <v>0</v>
      </c>
      <c r="P526" s="36">
        <f t="shared" si="68"/>
        <v>54</v>
      </c>
      <c r="Q526" s="36">
        <f t="shared" si="68"/>
        <v>0</v>
      </c>
      <c r="R526" s="36">
        <f t="shared" si="68"/>
        <v>0</v>
      </c>
      <c r="S526" s="36">
        <f t="shared" si="68"/>
        <v>0</v>
      </c>
      <c r="T526" s="36">
        <f t="shared" si="68"/>
        <v>0</v>
      </c>
      <c r="U526" s="36">
        <f t="shared" si="68"/>
        <v>0</v>
      </c>
      <c r="V526" s="36">
        <f>SUM(V528:V538)</f>
        <v>426.5</v>
      </c>
      <c r="W526" s="151">
        <f>V526+V527</f>
        <v>942.1</v>
      </c>
    </row>
    <row r="527" spans="1:25" ht="13.8" collapsed="1" thickBot="1" x14ac:dyDescent="0.3">
      <c r="A527" s="146"/>
      <c r="B527" s="148"/>
      <c r="C527" s="148"/>
      <c r="D527" s="150"/>
      <c r="E527" s="47" t="s">
        <v>33</v>
      </c>
      <c r="F527" s="67">
        <v>0.75</v>
      </c>
      <c r="G527" s="39">
        <f>SUM(G539:G556)</f>
        <v>58</v>
      </c>
      <c r="H527" s="41">
        <f>SUM(H539:H556)</f>
        <v>116</v>
      </c>
      <c r="I527" s="39">
        <f>SUM(I539:I556)</f>
        <v>0</v>
      </c>
      <c r="J527" s="39">
        <f>SUM(J539:J556)</f>
        <v>0</v>
      </c>
      <c r="K527" s="39">
        <f t="shared" ref="K527:U527" si="69">SUM(K539:K556)</f>
        <v>2</v>
      </c>
      <c r="L527" s="39">
        <f t="shared" si="69"/>
        <v>116</v>
      </c>
      <c r="M527" s="39">
        <f t="shared" si="69"/>
        <v>4</v>
      </c>
      <c r="N527" s="39">
        <f t="shared" si="69"/>
        <v>12</v>
      </c>
      <c r="O527" s="39">
        <f t="shared" si="69"/>
        <v>0</v>
      </c>
      <c r="P527" s="39">
        <f t="shared" si="69"/>
        <v>26.5</v>
      </c>
      <c r="Q527" s="39">
        <f t="shared" si="69"/>
        <v>0</v>
      </c>
      <c r="R527" s="39">
        <f t="shared" si="69"/>
        <v>0</v>
      </c>
      <c r="S527" s="39">
        <f t="shared" si="69"/>
        <v>181.1</v>
      </c>
      <c r="T527" s="39">
        <f t="shared" si="69"/>
        <v>0</v>
      </c>
      <c r="U527" s="39">
        <f t="shared" si="69"/>
        <v>0</v>
      </c>
      <c r="V527" s="39">
        <f>SUM(V539:V556)</f>
        <v>515.6</v>
      </c>
      <c r="W527" s="152"/>
      <c r="Y527" s="38"/>
    </row>
    <row r="528" spans="1:25" hidden="1" outlineLevel="1" x14ac:dyDescent="0.25">
      <c r="A528" t="s">
        <v>223</v>
      </c>
      <c r="B528" t="s">
        <v>65</v>
      </c>
      <c r="C528">
        <v>2</v>
      </c>
      <c r="D528"/>
      <c r="E528"/>
      <c r="F528"/>
      <c r="G528">
        <v>34</v>
      </c>
      <c r="H528">
        <v>68</v>
      </c>
      <c r="I528"/>
      <c r="J528"/>
      <c r="K528"/>
      <c r="L528"/>
      <c r="M528">
        <v>2</v>
      </c>
      <c r="N528"/>
      <c r="O528"/>
      <c r="P528">
        <v>14.5</v>
      </c>
      <c r="Q528"/>
      <c r="R528"/>
      <c r="S528"/>
      <c r="T528"/>
      <c r="U528"/>
      <c r="V528" s="34">
        <f t="shared" ref="V528:V537" si="70">SUM(G528:U528)</f>
        <v>118.5</v>
      </c>
    </row>
    <row r="529" spans="1:24" hidden="1" outlineLevel="1" x14ac:dyDescent="0.25">
      <c r="A529" t="s">
        <v>224</v>
      </c>
      <c r="B529" t="s">
        <v>99</v>
      </c>
      <c r="C529">
        <v>4</v>
      </c>
      <c r="D529"/>
      <c r="E529"/>
      <c r="F529"/>
      <c r="G529">
        <v>8</v>
      </c>
      <c r="H529">
        <v>16</v>
      </c>
      <c r="I529"/>
      <c r="J529"/>
      <c r="K529">
        <v>2</v>
      </c>
      <c r="L529"/>
      <c r="M529">
        <v>2</v>
      </c>
      <c r="N529">
        <v>12</v>
      </c>
      <c r="O529"/>
      <c r="P529">
        <v>12</v>
      </c>
      <c r="Q529"/>
      <c r="R529"/>
      <c r="S529"/>
      <c r="T529"/>
      <c r="U529"/>
      <c r="V529" s="34">
        <f t="shared" si="70"/>
        <v>52</v>
      </c>
    </row>
    <row r="530" spans="1:24" ht="39.6" hidden="1" outlineLevel="1" x14ac:dyDescent="0.25">
      <c r="A530" s="34" t="s">
        <v>224</v>
      </c>
      <c r="B530" s="42" t="s">
        <v>104</v>
      </c>
      <c r="C530" s="34">
        <v>2</v>
      </c>
      <c r="G530" s="34">
        <v>8</v>
      </c>
      <c r="H530" s="34">
        <v>16</v>
      </c>
      <c r="K530" s="34">
        <v>2</v>
      </c>
      <c r="M530" s="34">
        <v>2</v>
      </c>
      <c r="N530" s="34">
        <v>12.5</v>
      </c>
      <c r="P530" s="34">
        <v>12.5</v>
      </c>
      <c r="V530" s="34">
        <f t="shared" si="70"/>
        <v>53</v>
      </c>
    </row>
    <row r="531" spans="1:24" ht="39.6" hidden="1" outlineLevel="1" x14ac:dyDescent="0.25">
      <c r="A531" s="34" t="s">
        <v>224</v>
      </c>
      <c r="B531" s="42" t="s">
        <v>104</v>
      </c>
      <c r="C531" s="34">
        <v>3</v>
      </c>
      <c r="L531" s="34">
        <v>68</v>
      </c>
      <c r="V531" s="34">
        <f t="shared" si="70"/>
        <v>68</v>
      </c>
    </row>
    <row r="532" spans="1:24" hidden="1" outlineLevel="1" x14ac:dyDescent="0.25">
      <c r="A532" s="34" t="s">
        <v>223</v>
      </c>
      <c r="B532" s="42" t="s">
        <v>74</v>
      </c>
      <c r="C532" s="34">
        <v>1</v>
      </c>
      <c r="G532" s="34">
        <v>34</v>
      </c>
      <c r="H532" s="34">
        <v>32</v>
      </c>
      <c r="M532" s="34">
        <v>2</v>
      </c>
      <c r="P532" s="34">
        <v>9</v>
      </c>
      <c r="V532" s="34">
        <f t="shared" si="70"/>
        <v>77</v>
      </c>
    </row>
    <row r="533" spans="1:24" hidden="1" outlineLevel="1" x14ac:dyDescent="0.25">
      <c r="A533" s="34" t="s">
        <v>223</v>
      </c>
      <c r="B533" s="42" t="s">
        <v>75</v>
      </c>
      <c r="C533" s="34">
        <v>1</v>
      </c>
      <c r="G533" s="34">
        <v>34</v>
      </c>
      <c r="H533" s="34">
        <v>16</v>
      </c>
      <c r="M533" s="34">
        <v>2</v>
      </c>
      <c r="P533" s="34">
        <v>6</v>
      </c>
      <c r="V533" s="34">
        <f t="shared" si="70"/>
        <v>58</v>
      </c>
    </row>
    <row r="534" spans="1:24" hidden="1" outlineLevel="1" x14ac:dyDescent="0.25">
      <c r="V534" s="34">
        <f t="shared" si="70"/>
        <v>0</v>
      </c>
    </row>
    <row r="535" spans="1:24" hidden="1" outlineLevel="1" x14ac:dyDescent="0.25">
      <c r="V535" s="34">
        <f t="shared" si="70"/>
        <v>0</v>
      </c>
    </row>
    <row r="536" spans="1:24" hidden="1" outlineLevel="1" x14ac:dyDescent="0.25">
      <c r="V536" s="34">
        <f t="shared" si="70"/>
        <v>0</v>
      </c>
    </row>
    <row r="537" spans="1:24" hidden="1" outlineLevel="1" x14ac:dyDescent="0.25">
      <c r="V537" s="34">
        <f t="shared" si="70"/>
        <v>0</v>
      </c>
    </row>
    <row r="538" spans="1:24" hidden="1" outlineLevel="1" x14ac:dyDescent="0.25">
      <c r="B538" s="155" t="s">
        <v>29</v>
      </c>
      <c r="C538" s="155"/>
      <c r="D538" s="155"/>
      <c r="E538" s="155"/>
      <c r="F538" s="155"/>
      <c r="G538" s="155"/>
      <c r="H538" s="155"/>
      <c r="I538" s="155"/>
      <c r="J538" s="155"/>
      <c r="K538" s="155"/>
      <c r="L538" s="155"/>
      <c r="M538" s="155"/>
      <c r="N538" s="155"/>
      <c r="O538" s="155"/>
      <c r="P538" s="155"/>
      <c r="Q538" s="155"/>
      <c r="R538" s="155"/>
      <c r="S538" s="155"/>
      <c r="T538" s="155"/>
      <c r="U538" s="155"/>
      <c r="V538" s="107"/>
    </row>
    <row r="539" spans="1:24" hidden="1" outlineLevel="1" x14ac:dyDescent="0.25">
      <c r="A539" t="s">
        <v>223</v>
      </c>
      <c r="B539" t="s">
        <v>89</v>
      </c>
      <c r="C539">
        <v>4</v>
      </c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>
        <v>16.5</v>
      </c>
      <c r="T539"/>
      <c r="U539"/>
      <c r="V539" s="34">
        <f t="shared" ref="V539:V555" si="71">SUM(G539:U539)</f>
        <v>16.5</v>
      </c>
      <c r="X539" s="38"/>
    </row>
    <row r="540" spans="1:24" hidden="1" outlineLevel="1" x14ac:dyDescent="0.25">
      <c r="A540" t="s">
        <v>224</v>
      </c>
      <c r="B540" t="s">
        <v>126</v>
      </c>
      <c r="C540">
        <v>5</v>
      </c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>
        <v>12.5</v>
      </c>
      <c r="T540"/>
      <c r="U540"/>
      <c r="V540" s="34">
        <f t="shared" si="71"/>
        <v>12.5</v>
      </c>
    </row>
    <row r="541" spans="1:24" hidden="1" outlineLevel="1" x14ac:dyDescent="0.25">
      <c r="A541" t="s">
        <v>224</v>
      </c>
      <c r="B541" t="s">
        <v>137</v>
      </c>
      <c r="C541">
        <v>4</v>
      </c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>
        <v>10.5</v>
      </c>
      <c r="T541"/>
      <c r="U541"/>
      <c r="V541" s="34">
        <f t="shared" si="71"/>
        <v>10.5</v>
      </c>
      <c r="X541" s="38"/>
    </row>
    <row r="542" spans="1:24" ht="39.6" hidden="1" outlineLevel="1" x14ac:dyDescent="0.25">
      <c r="A542" s="34" t="s">
        <v>223</v>
      </c>
      <c r="B542" s="42" t="s">
        <v>65</v>
      </c>
      <c r="C542" s="34">
        <v>2</v>
      </c>
      <c r="G542" s="34">
        <v>50</v>
      </c>
      <c r="H542" s="34">
        <v>100</v>
      </c>
      <c r="L542" s="34">
        <v>116</v>
      </c>
      <c r="M542" s="34">
        <v>2</v>
      </c>
      <c r="P542" s="34">
        <v>14.5</v>
      </c>
      <c r="V542" s="34">
        <f t="shared" si="71"/>
        <v>282.5</v>
      </c>
      <c r="X542" s="38"/>
    </row>
    <row r="543" spans="1:24" ht="39.6" hidden="1" outlineLevel="1" x14ac:dyDescent="0.25">
      <c r="A543" s="34" t="s">
        <v>224</v>
      </c>
      <c r="B543" s="42" t="s">
        <v>100</v>
      </c>
      <c r="C543" s="34">
        <v>4</v>
      </c>
      <c r="G543" s="34">
        <v>8</v>
      </c>
      <c r="H543" s="34">
        <v>16</v>
      </c>
      <c r="K543" s="34">
        <v>2</v>
      </c>
      <c r="M543" s="34">
        <v>2</v>
      </c>
      <c r="N543" s="34">
        <v>12</v>
      </c>
      <c r="P543" s="34">
        <v>12</v>
      </c>
      <c r="V543" s="34">
        <f t="shared" si="71"/>
        <v>52</v>
      </c>
      <c r="X543" s="38"/>
    </row>
    <row r="544" spans="1:24" ht="26.4" hidden="1" outlineLevel="1" x14ac:dyDescent="0.25">
      <c r="A544" s="34" t="s">
        <v>226</v>
      </c>
      <c r="B544" s="42" t="s">
        <v>171</v>
      </c>
      <c r="C544" s="34">
        <v>2</v>
      </c>
      <c r="S544" s="34">
        <v>1.5</v>
      </c>
      <c r="V544" s="34">
        <f t="shared" si="71"/>
        <v>1.5</v>
      </c>
    </row>
    <row r="545" spans="1:25" ht="26.4" hidden="1" outlineLevel="1" x14ac:dyDescent="0.25">
      <c r="A545" s="34" t="s">
        <v>225</v>
      </c>
      <c r="B545" s="42" t="s">
        <v>159</v>
      </c>
      <c r="C545" s="34">
        <v>2</v>
      </c>
      <c r="H545" s="37"/>
      <c r="N545" s="38"/>
      <c r="S545" s="34">
        <v>1.5</v>
      </c>
      <c r="V545" s="34">
        <f t="shared" si="71"/>
        <v>1.5</v>
      </c>
    </row>
    <row r="546" spans="1:25" ht="26.4" hidden="1" outlineLevel="1" x14ac:dyDescent="0.25">
      <c r="A546" s="34" t="s">
        <v>223</v>
      </c>
      <c r="B546" s="42" t="s">
        <v>86</v>
      </c>
      <c r="C546" s="34">
        <v>4</v>
      </c>
      <c r="H546" s="37"/>
      <c r="N546" s="38"/>
      <c r="S546" s="34">
        <v>59.4</v>
      </c>
      <c r="V546" s="34">
        <f t="shared" si="71"/>
        <v>59.4</v>
      </c>
    </row>
    <row r="547" spans="1:25" ht="26.4" hidden="1" outlineLevel="1" x14ac:dyDescent="0.25">
      <c r="A547" s="34" t="s">
        <v>224</v>
      </c>
      <c r="B547" s="42" t="s">
        <v>123</v>
      </c>
      <c r="C547" s="34">
        <v>5</v>
      </c>
      <c r="H547" s="37"/>
      <c r="N547" s="38"/>
      <c r="S547" s="34">
        <v>19.8</v>
      </c>
      <c r="V547" s="34">
        <f t="shared" si="71"/>
        <v>19.8</v>
      </c>
    </row>
    <row r="548" spans="1:25" ht="26.4" hidden="1" outlineLevel="1" x14ac:dyDescent="0.25">
      <c r="A548" s="34" t="s">
        <v>224</v>
      </c>
      <c r="B548" s="42" t="s">
        <v>134</v>
      </c>
      <c r="C548" s="34">
        <v>4</v>
      </c>
      <c r="H548" s="37"/>
      <c r="N548" s="38"/>
      <c r="S548" s="34">
        <v>59.4</v>
      </c>
      <c r="V548" s="34">
        <f t="shared" si="71"/>
        <v>59.4</v>
      </c>
    </row>
    <row r="549" spans="1:25" hidden="1" outlineLevel="1" x14ac:dyDescent="0.25">
      <c r="H549" s="37"/>
      <c r="N549" s="38"/>
      <c r="V549" s="34">
        <f t="shared" si="71"/>
        <v>0</v>
      </c>
    </row>
    <row r="550" spans="1:25" hidden="1" outlineLevel="1" x14ac:dyDescent="0.25">
      <c r="H550" s="37"/>
      <c r="N550" s="38"/>
      <c r="S550" s="38"/>
      <c r="V550" s="34">
        <f t="shared" si="71"/>
        <v>0</v>
      </c>
    </row>
    <row r="551" spans="1:25" hidden="1" outlineLevel="1" x14ac:dyDescent="0.25">
      <c r="H551" s="37"/>
      <c r="N551" s="38"/>
      <c r="S551" s="38"/>
      <c r="V551" s="34">
        <f t="shared" si="71"/>
        <v>0</v>
      </c>
    </row>
    <row r="552" spans="1:25" hidden="1" outlineLevel="1" x14ac:dyDescent="0.25">
      <c r="H552" s="37"/>
      <c r="N552" s="38"/>
      <c r="S552" s="38"/>
      <c r="V552" s="34">
        <f t="shared" si="71"/>
        <v>0</v>
      </c>
    </row>
    <row r="553" spans="1:25" hidden="1" outlineLevel="1" x14ac:dyDescent="0.25">
      <c r="H553" s="37"/>
      <c r="N553" s="38"/>
      <c r="S553" s="38"/>
      <c r="V553" s="34">
        <f t="shared" si="71"/>
        <v>0</v>
      </c>
    </row>
    <row r="554" spans="1:25" hidden="1" outlineLevel="1" x14ac:dyDescent="0.25">
      <c r="H554" s="37"/>
      <c r="N554" s="38"/>
      <c r="S554" s="38"/>
      <c r="V554" s="34">
        <f t="shared" si="71"/>
        <v>0</v>
      </c>
    </row>
    <row r="555" spans="1:25" hidden="1" outlineLevel="1" x14ac:dyDescent="0.25">
      <c r="H555" s="37"/>
      <c r="N555" s="38"/>
      <c r="S555" s="38"/>
      <c r="V555" s="34">
        <f t="shared" si="71"/>
        <v>0</v>
      </c>
    </row>
    <row r="556" spans="1:25" ht="13.8" hidden="1" outlineLevel="1" thickBot="1" x14ac:dyDescent="0.3"/>
    <row r="557" spans="1:25" ht="12.75" customHeight="1" x14ac:dyDescent="0.25">
      <c r="A557" s="145">
        <v>18</v>
      </c>
      <c r="B557" s="147" t="s">
        <v>213</v>
      </c>
      <c r="C557" s="147" t="s">
        <v>61</v>
      </c>
      <c r="D557" s="149" t="s">
        <v>34</v>
      </c>
      <c r="E557" s="46"/>
      <c r="F557" s="66"/>
      <c r="G557" s="36">
        <f t="shared" ref="G557:U557" si="72">SUM(G559:G569)</f>
        <v>0</v>
      </c>
      <c r="H557" s="36">
        <f t="shared" si="72"/>
        <v>0</v>
      </c>
      <c r="I557" s="36">
        <f t="shared" si="72"/>
        <v>0</v>
      </c>
      <c r="J557" s="36">
        <f t="shared" si="72"/>
        <v>0</v>
      </c>
      <c r="K557" s="36">
        <f t="shared" si="72"/>
        <v>0</v>
      </c>
      <c r="L557" s="36">
        <f t="shared" si="72"/>
        <v>0</v>
      </c>
      <c r="M557" s="36">
        <f t="shared" si="72"/>
        <v>0</v>
      </c>
      <c r="N557" s="36">
        <f t="shared" si="72"/>
        <v>0</v>
      </c>
      <c r="O557" s="36">
        <f t="shared" si="72"/>
        <v>0</v>
      </c>
      <c r="P557" s="36">
        <f t="shared" si="72"/>
        <v>0</v>
      </c>
      <c r="Q557" s="36">
        <f t="shared" si="72"/>
        <v>0</v>
      </c>
      <c r="R557" s="36">
        <f t="shared" si="72"/>
        <v>0</v>
      </c>
      <c r="S557" s="36">
        <f t="shared" si="72"/>
        <v>0</v>
      </c>
      <c r="T557" s="36">
        <f t="shared" si="72"/>
        <v>0</v>
      </c>
      <c r="U557" s="36">
        <f t="shared" si="72"/>
        <v>0</v>
      </c>
      <c r="V557" s="36">
        <f>SUM(V559:V569)</f>
        <v>0</v>
      </c>
      <c r="W557" s="151">
        <f>V557+V558</f>
        <v>0</v>
      </c>
    </row>
    <row r="558" spans="1:25" ht="13.8" collapsed="1" thickBot="1" x14ac:dyDescent="0.3">
      <c r="A558" s="146"/>
      <c r="B558" s="148"/>
      <c r="C558" s="148"/>
      <c r="D558" s="150"/>
      <c r="E558" s="47"/>
      <c r="F558" s="67"/>
      <c r="G558" s="39">
        <f>SUM(G570:G587)</f>
        <v>0</v>
      </c>
      <c r="H558" s="41">
        <f>SUM(H570:H587)</f>
        <v>0</v>
      </c>
      <c r="I558" s="39">
        <f>SUM(I570:I587)</f>
        <v>0</v>
      </c>
      <c r="J558" s="39">
        <f>SUM(J570:J587)</f>
        <v>0</v>
      </c>
      <c r="K558" s="39">
        <f t="shared" ref="K558:U558" si="73">SUM(K570:K587)</f>
        <v>0</v>
      </c>
      <c r="L558" s="39">
        <f t="shared" si="73"/>
        <v>0</v>
      </c>
      <c r="M558" s="39">
        <f t="shared" si="73"/>
        <v>0</v>
      </c>
      <c r="N558" s="39">
        <f t="shared" si="73"/>
        <v>0</v>
      </c>
      <c r="O558" s="39">
        <f t="shared" si="73"/>
        <v>0</v>
      </c>
      <c r="P558" s="39">
        <f t="shared" si="73"/>
        <v>0</v>
      </c>
      <c r="Q558" s="39">
        <f t="shared" si="73"/>
        <v>0</v>
      </c>
      <c r="R558" s="39">
        <f t="shared" si="73"/>
        <v>0</v>
      </c>
      <c r="S558" s="39">
        <f t="shared" si="73"/>
        <v>0</v>
      </c>
      <c r="T558" s="39">
        <f t="shared" si="73"/>
        <v>0</v>
      </c>
      <c r="U558" s="39">
        <f t="shared" si="73"/>
        <v>0</v>
      </c>
      <c r="V558" s="39">
        <f>SUM(V570:V587)</f>
        <v>0</v>
      </c>
      <c r="W558" s="152"/>
      <c r="Y558" s="38"/>
    </row>
    <row r="559" spans="1:25" hidden="1" outlineLevel="1" x14ac:dyDescent="0.25">
      <c r="V559" s="34">
        <f t="shared" ref="V559:V568" si="74">SUM(G559:U559)</f>
        <v>0</v>
      </c>
    </row>
    <row r="560" spans="1:25" hidden="1" outlineLevel="1" x14ac:dyDescent="0.25">
      <c r="V560" s="34">
        <f t="shared" si="74"/>
        <v>0</v>
      </c>
    </row>
    <row r="561" spans="2:24" hidden="1" outlineLevel="1" x14ac:dyDescent="0.25">
      <c r="V561" s="34">
        <f t="shared" si="74"/>
        <v>0</v>
      </c>
    </row>
    <row r="562" spans="2:24" hidden="1" outlineLevel="1" x14ac:dyDescent="0.25">
      <c r="V562" s="34">
        <f t="shared" si="74"/>
        <v>0</v>
      </c>
    </row>
    <row r="563" spans="2:24" hidden="1" outlineLevel="1" x14ac:dyDescent="0.25">
      <c r="V563" s="34">
        <f t="shared" si="74"/>
        <v>0</v>
      </c>
    </row>
    <row r="564" spans="2:24" hidden="1" outlineLevel="1" x14ac:dyDescent="0.25">
      <c r="V564" s="34">
        <f t="shared" si="74"/>
        <v>0</v>
      </c>
    </row>
    <row r="565" spans="2:24" hidden="1" outlineLevel="1" x14ac:dyDescent="0.25">
      <c r="V565" s="34">
        <f t="shared" si="74"/>
        <v>0</v>
      </c>
    </row>
    <row r="566" spans="2:24" hidden="1" outlineLevel="1" x14ac:dyDescent="0.25">
      <c r="V566" s="34">
        <f t="shared" si="74"/>
        <v>0</v>
      </c>
    </row>
    <row r="567" spans="2:24" hidden="1" outlineLevel="1" x14ac:dyDescent="0.25">
      <c r="V567" s="34">
        <f t="shared" si="74"/>
        <v>0</v>
      </c>
    </row>
    <row r="568" spans="2:24" hidden="1" outlineLevel="1" x14ac:dyDescent="0.25">
      <c r="V568" s="34">
        <f t="shared" si="74"/>
        <v>0</v>
      </c>
    </row>
    <row r="569" spans="2:24" hidden="1" outlineLevel="1" x14ac:dyDescent="0.25">
      <c r="B569" s="155" t="s">
        <v>29</v>
      </c>
      <c r="C569" s="155"/>
      <c r="D569" s="155"/>
      <c r="E569" s="155"/>
      <c r="F569" s="155"/>
      <c r="G569" s="155"/>
      <c r="H569" s="155"/>
      <c r="I569" s="155"/>
      <c r="J569" s="155"/>
      <c r="K569" s="155"/>
      <c r="L569" s="155"/>
      <c r="M569" s="155"/>
      <c r="N569" s="155"/>
      <c r="O569" s="155"/>
      <c r="P569" s="155"/>
      <c r="Q569" s="155"/>
      <c r="R569" s="155"/>
      <c r="S569" s="155"/>
      <c r="T569" s="155"/>
      <c r="U569" s="155"/>
      <c r="V569" s="109"/>
    </row>
    <row r="570" spans="2:24" hidden="1" outlineLevel="1" x14ac:dyDescent="0.25">
      <c r="V570" s="34">
        <f t="shared" ref="V570:V586" si="75">SUM(G570:U570)</f>
        <v>0</v>
      </c>
      <c r="X570" s="38"/>
    </row>
    <row r="571" spans="2:24" hidden="1" outlineLevel="1" x14ac:dyDescent="0.25">
      <c r="V571" s="34">
        <f t="shared" si="75"/>
        <v>0</v>
      </c>
    </row>
    <row r="572" spans="2:24" hidden="1" outlineLevel="1" x14ac:dyDescent="0.25">
      <c r="V572" s="34">
        <f t="shared" si="75"/>
        <v>0</v>
      </c>
      <c r="X572" s="38"/>
    </row>
    <row r="573" spans="2:24" hidden="1" outlineLevel="1" x14ac:dyDescent="0.25">
      <c r="V573" s="34">
        <f t="shared" si="75"/>
        <v>0</v>
      </c>
      <c r="X573" s="38"/>
    </row>
    <row r="574" spans="2:24" hidden="1" outlineLevel="1" x14ac:dyDescent="0.25">
      <c r="V574" s="34">
        <f t="shared" si="75"/>
        <v>0</v>
      </c>
      <c r="X574" s="38"/>
    </row>
    <row r="575" spans="2:24" hidden="1" outlineLevel="1" x14ac:dyDescent="0.25">
      <c r="V575" s="34">
        <f t="shared" si="75"/>
        <v>0</v>
      </c>
    </row>
    <row r="576" spans="2:24" hidden="1" outlineLevel="1" x14ac:dyDescent="0.25">
      <c r="H576" s="37"/>
      <c r="N576" s="38"/>
      <c r="V576" s="34">
        <f t="shared" si="75"/>
        <v>0</v>
      </c>
    </row>
    <row r="577" spans="1:25" hidden="1" outlineLevel="1" x14ac:dyDescent="0.25">
      <c r="H577" s="37"/>
      <c r="N577" s="38"/>
      <c r="V577" s="34">
        <f t="shared" si="75"/>
        <v>0</v>
      </c>
    </row>
    <row r="578" spans="1:25" hidden="1" outlineLevel="1" x14ac:dyDescent="0.25">
      <c r="H578" s="37"/>
      <c r="N578" s="38"/>
      <c r="V578" s="34">
        <f t="shared" si="75"/>
        <v>0</v>
      </c>
    </row>
    <row r="579" spans="1:25" hidden="1" outlineLevel="1" x14ac:dyDescent="0.25">
      <c r="H579" s="37"/>
      <c r="N579" s="38"/>
      <c r="V579" s="34">
        <f t="shared" si="75"/>
        <v>0</v>
      </c>
    </row>
    <row r="580" spans="1:25" hidden="1" outlineLevel="1" x14ac:dyDescent="0.25">
      <c r="H580" s="37"/>
      <c r="N580" s="38"/>
      <c r="V580" s="34">
        <f t="shared" si="75"/>
        <v>0</v>
      </c>
    </row>
    <row r="581" spans="1:25" hidden="1" outlineLevel="1" x14ac:dyDescent="0.25">
      <c r="H581" s="37"/>
      <c r="N581" s="38"/>
      <c r="S581" s="38"/>
      <c r="V581" s="34">
        <f t="shared" si="75"/>
        <v>0</v>
      </c>
    </row>
    <row r="582" spans="1:25" hidden="1" outlineLevel="1" x14ac:dyDescent="0.25">
      <c r="H582" s="37"/>
      <c r="N582" s="38"/>
      <c r="S582" s="38"/>
      <c r="V582" s="34">
        <f t="shared" si="75"/>
        <v>0</v>
      </c>
    </row>
    <row r="583" spans="1:25" hidden="1" outlineLevel="1" x14ac:dyDescent="0.25">
      <c r="H583" s="37"/>
      <c r="N583" s="38"/>
      <c r="S583" s="38"/>
      <c r="V583" s="34">
        <f t="shared" si="75"/>
        <v>0</v>
      </c>
    </row>
    <row r="584" spans="1:25" hidden="1" outlineLevel="1" x14ac:dyDescent="0.25">
      <c r="H584" s="37"/>
      <c r="N584" s="38"/>
      <c r="S584" s="38"/>
      <c r="V584" s="34">
        <f t="shared" si="75"/>
        <v>0</v>
      </c>
    </row>
    <row r="585" spans="1:25" hidden="1" outlineLevel="1" x14ac:dyDescent="0.25">
      <c r="H585" s="37"/>
      <c r="N585" s="38"/>
      <c r="S585" s="38"/>
      <c r="V585" s="34">
        <f t="shared" si="75"/>
        <v>0</v>
      </c>
    </row>
    <row r="586" spans="1:25" hidden="1" outlineLevel="1" x14ac:dyDescent="0.25">
      <c r="H586" s="37"/>
      <c r="N586" s="38"/>
      <c r="S586" s="38"/>
      <c r="V586" s="34">
        <f t="shared" si="75"/>
        <v>0</v>
      </c>
    </row>
    <row r="587" spans="1:25" hidden="1" outlineLevel="1" x14ac:dyDescent="0.25"/>
    <row r="588" spans="1:25" ht="13.8" hidden="1" outlineLevel="1" thickBot="1" x14ac:dyDescent="0.3"/>
    <row r="589" spans="1:25" ht="12.75" customHeight="1" x14ac:dyDescent="0.25">
      <c r="A589" s="145">
        <v>19</v>
      </c>
      <c r="B589" s="147" t="s">
        <v>212</v>
      </c>
      <c r="C589" s="147" t="s">
        <v>9</v>
      </c>
      <c r="D589" s="149" t="s">
        <v>34</v>
      </c>
      <c r="E589" s="46" t="s">
        <v>15</v>
      </c>
      <c r="F589" s="66">
        <v>0.25</v>
      </c>
      <c r="G589" s="36">
        <f t="shared" ref="G589:U589" si="76">SUM(G591:G601)</f>
        <v>14</v>
      </c>
      <c r="H589" s="36">
        <f t="shared" si="76"/>
        <v>32</v>
      </c>
      <c r="I589" s="36">
        <f t="shared" si="76"/>
        <v>0</v>
      </c>
      <c r="J589" s="36">
        <f t="shared" si="76"/>
        <v>0</v>
      </c>
      <c r="K589" s="36">
        <f t="shared" si="76"/>
        <v>2</v>
      </c>
      <c r="L589" s="36">
        <f t="shared" si="76"/>
        <v>0</v>
      </c>
      <c r="M589" s="36">
        <f t="shared" si="76"/>
        <v>4</v>
      </c>
      <c r="N589" s="36">
        <f t="shared" si="76"/>
        <v>8.5</v>
      </c>
      <c r="O589" s="36">
        <f t="shared" si="76"/>
        <v>0</v>
      </c>
      <c r="P589" s="36">
        <f t="shared" si="76"/>
        <v>20.5</v>
      </c>
      <c r="Q589" s="36">
        <f t="shared" si="76"/>
        <v>0</v>
      </c>
      <c r="R589" s="36">
        <f t="shared" si="76"/>
        <v>42</v>
      </c>
      <c r="S589" s="36">
        <f t="shared" si="76"/>
        <v>0</v>
      </c>
      <c r="T589" s="36">
        <f t="shared" si="76"/>
        <v>0</v>
      </c>
      <c r="U589" s="36">
        <f t="shared" si="76"/>
        <v>0</v>
      </c>
      <c r="V589" s="36">
        <f>SUM(V591:V601)</f>
        <v>123</v>
      </c>
      <c r="W589" s="151">
        <f>V589+V590</f>
        <v>261.60000000000002</v>
      </c>
    </row>
    <row r="590" spans="1:25" ht="13.8" collapsed="1" thickBot="1" x14ac:dyDescent="0.3">
      <c r="A590" s="146"/>
      <c r="B590" s="148"/>
      <c r="C590" s="148"/>
      <c r="D590" s="150"/>
      <c r="E590" s="47"/>
      <c r="F590" s="67"/>
      <c r="G590" s="39">
        <f>SUM(G602:G619)</f>
        <v>0</v>
      </c>
      <c r="H590" s="41">
        <f>SUM(H602:H619)</f>
        <v>0</v>
      </c>
      <c r="I590" s="39">
        <f>SUM(I602:I619)</f>
        <v>0</v>
      </c>
      <c r="J590" s="39">
        <f>SUM(J602:J619)</f>
        <v>0</v>
      </c>
      <c r="K590" s="39">
        <f t="shared" ref="K590:U590" si="77">SUM(K602:K619)</f>
        <v>0</v>
      </c>
      <c r="L590" s="39">
        <f t="shared" si="77"/>
        <v>0</v>
      </c>
      <c r="M590" s="39">
        <f t="shared" si="77"/>
        <v>0</v>
      </c>
      <c r="N590" s="39">
        <f t="shared" si="77"/>
        <v>0</v>
      </c>
      <c r="O590" s="39">
        <f t="shared" si="77"/>
        <v>0</v>
      </c>
      <c r="P590" s="39">
        <f t="shared" si="77"/>
        <v>0</v>
      </c>
      <c r="Q590" s="39">
        <f t="shared" si="77"/>
        <v>0</v>
      </c>
      <c r="R590" s="39">
        <f t="shared" si="77"/>
        <v>0</v>
      </c>
      <c r="S590" s="39">
        <f t="shared" si="77"/>
        <v>138.6</v>
      </c>
      <c r="T590" s="39">
        <f t="shared" si="77"/>
        <v>0</v>
      </c>
      <c r="U590" s="39">
        <f t="shared" si="77"/>
        <v>0</v>
      </c>
      <c r="V590" s="39">
        <f>SUM(V602:V619)</f>
        <v>138.6</v>
      </c>
      <c r="W590" s="152"/>
      <c r="Y590" s="38"/>
    </row>
    <row r="591" spans="1:25" ht="26.4" hidden="1" outlineLevel="1" x14ac:dyDescent="0.25">
      <c r="A591" t="s">
        <v>224</v>
      </c>
      <c r="B591" s="42" t="s">
        <v>108</v>
      </c>
      <c r="C591">
        <v>4</v>
      </c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>
        <v>42</v>
      </c>
      <c r="S591"/>
      <c r="T591"/>
      <c r="U591"/>
      <c r="V591" s="34">
        <f t="shared" ref="V591:V600" si="78">SUM(G591:U591)</f>
        <v>42</v>
      </c>
    </row>
    <row r="592" spans="1:25" ht="52.8" hidden="1" outlineLevel="1" x14ac:dyDescent="0.25">
      <c r="A592" s="34" t="s">
        <v>224</v>
      </c>
      <c r="B592" s="42" t="s">
        <v>106</v>
      </c>
      <c r="C592" s="34">
        <v>3</v>
      </c>
      <c r="G592" s="34">
        <v>8</v>
      </c>
      <c r="H592" s="34">
        <v>16</v>
      </c>
      <c r="K592" s="34">
        <v>2</v>
      </c>
      <c r="M592" s="34">
        <v>2</v>
      </c>
      <c r="N592" s="34">
        <v>8.5</v>
      </c>
      <c r="P592" s="34">
        <v>8.5</v>
      </c>
      <c r="V592" s="34">
        <f t="shared" si="78"/>
        <v>45</v>
      </c>
    </row>
    <row r="593" spans="1:24" hidden="1" outlineLevel="1" x14ac:dyDescent="0.25">
      <c r="A593" t="s">
        <v>224</v>
      </c>
      <c r="B593" t="s">
        <v>230</v>
      </c>
      <c r="C593">
        <v>4</v>
      </c>
      <c r="D593"/>
      <c r="E593"/>
      <c r="F593"/>
      <c r="G593">
        <v>6</v>
      </c>
      <c r="H593">
        <v>16</v>
      </c>
      <c r="I593"/>
      <c r="J593"/>
      <c r="K593"/>
      <c r="L593"/>
      <c r="M593">
        <v>2</v>
      </c>
      <c r="N593"/>
      <c r="O593"/>
      <c r="P593">
        <v>12</v>
      </c>
      <c r="Q593"/>
      <c r="R593"/>
      <c r="S593"/>
      <c r="T593"/>
      <c r="U593"/>
      <c r="V593" s="34">
        <f t="shared" si="78"/>
        <v>36</v>
      </c>
    </row>
    <row r="594" spans="1:24" hidden="1" outlineLevel="1" x14ac:dyDescent="0.25">
      <c r="A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 s="34">
        <f t="shared" si="78"/>
        <v>0</v>
      </c>
    </row>
    <row r="595" spans="1:24" hidden="1" outlineLevel="1" x14ac:dyDescent="0.25">
      <c r="V595" s="34">
        <f t="shared" si="78"/>
        <v>0</v>
      </c>
    </row>
    <row r="596" spans="1:24" hidden="1" outlineLevel="1" x14ac:dyDescent="0.25">
      <c r="V596" s="34">
        <f t="shared" si="78"/>
        <v>0</v>
      </c>
    </row>
    <row r="597" spans="1:24" hidden="1" outlineLevel="1" x14ac:dyDescent="0.25">
      <c r="V597" s="34">
        <f t="shared" si="78"/>
        <v>0</v>
      </c>
    </row>
    <row r="598" spans="1:24" hidden="1" outlineLevel="1" x14ac:dyDescent="0.25">
      <c r="V598" s="34">
        <f t="shared" si="78"/>
        <v>0</v>
      </c>
    </row>
    <row r="599" spans="1:24" hidden="1" outlineLevel="1" x14ac:dyDescent="0.25">
      <c r="V599" s="34">
        <f t="shared" si="78"/>
        <v>0</v>
      </c>
    </row>
    <row r="600" spans="1:24" hidden="1" outlineLevel="1" x14ac:dyDescent="0.25">
      <c r="V600" s="34">
        <f t="shared" si="78"/>
        <v>0</v>
      </c>
    </row>
    <row r="601" spans="1:24" hidden="1" outlineLevel="1" x14ac:dyDescent="0.25">
      <c r="B601" s="155" t="s">
        <v>29</v>
      </c>
      <c r="C601" s="155"/>
      <c r="D601" s="155"/>
      <c r="E601" s="155"/>
      <c r="F601" s="155"/>
      <c r="G601" s="155"/>
      <c r="H601" s="155"/>
      <c r="I601" s="155"/>
      <c r="J601" s="155"/>
      <c r="K601" s="155"/>
      <c r="L601" s="155"/>
      <c r="M601" s="155"/>
      <c r="N601" s="155"/>
      <c r="O601" s="155"/>
      <c r="P601" s="155"/>
      <c r="Q601" s="155"/>
      <c r="R601" s="155"/>
      <c r="S601" s="155"/>
      <c r="T601" s="155"/>
      <c r="U601" s="155"/>
      <c r="V601" s="109"/>
    </row>
    <row r="602" spans="1:24" ht="26.4" hidden="1" outlineLevel="1" x14ac:dyDescent="0.25">
      <c r="A602" s="34" t="s">
        <v>224</v>
      </c>
      <c r="B602" s="42" t="s">
        <v>134</v>
      </c>
      <c r="C602" s="34">
        <v>4</v>
      </c>
      <c r="S602" s="34">
        <v>79.2</v>
      </c>
      <c r="V602" s="34">
        <f t="shared" ref="V602:V618" si="79">SUM(G602:U602)</f>
        <v>79.2</v>
      </c>
      <c r="X602" s="38"/>
    </row>
    <row r="603" spans="1:24" ht="26.4" hidden="1" outlineLevel="1" x14ac:dyDescent="0.25">
      <c r="A603" s="34" t="s">
        <v>223</v>
      </c>
      <c r="B603" s="42" t="s">
        <v>86</v>
      </c>
      <c r="C603" s="34">
        <v>4</v>
      </c>
      <c r="S603" s="34">
        <v>59.4</v>
      </c>
      <c r="V603" s="34">
        <f t="shared" si="79"/>
        <v>59.4</v>
      </c>
    </row>
    <row r="604" spans="1:24" hidden="1" outlineLevel="1" x14ac:dyDescent="0.25">
      <c r="V604" s="34">
        <f t="shared" si="79"/>
        <v>0</v>
      </c>
      <c r="X604" s="38"/>
    </row>
    <row r="605" spans="1:24" hidden="1" outlineLevel="1" x14ac:dyDescent="0.25">
      <c r="V605" s="34">
        <f t="shared" si="79"/>
        <v>0</v>
      </c>
      <c r="X605" s="38"/>
    </row>
    <row r="606" spans="1:24" hidden="1" outlineLevel="1" x14ac:dyDescent="0.25">
      <c r="V606" s="34">
        <f t="shared" si="79"/>
        <v>0</v>
      </c>
      <c r="X606" s="38"/>
    </row>
    <row r="607" spans="1:24" hidden="1" outlineLevel="1" x14ac:dyDescent="0.25">
      <c r="V607" s="34">
        <f t="shared" si="79"/>
        <v>0</v>
      </c>
    </row>
    <row r="608" spans="1:24" hidden="1" outlineLevel="1" x14ac:dyDescent="0.25">
      <c r="H608" s="37"/>
      <c r="N608" s="38"/>
      <c r="V608" s="34">
        <f t="shared" si="79"/>
        <v>0</v>
      </c>
    </row>
    <row r="609" spans="1:25" hidden="1" outlineLevel="1" x14ac:dyDescent="0.25">
      <c r="H609" s="37"/>
      <c r="N609" s="38"/>
      <c r="V609" s="34">
        <f t="shared" si="79"/>
        <v>0</v>
      </c>
    </row>
    <row r="610" spans="1:25" hidden="1" outlineLevel="1" x14ac:dyDescent="0.25">
      <c r="H610" s="37"/>
      <c r="N610" s="38"/>
      <c r="V610" s="34">
        <f t="shared" si="79"/>
        <v>0</v>
      </c>
    </row>
    <row r="611" spans="1:25" hidden="1" outlineLevel="1" x14ac:dyDescent="0.25">
      <c r="H611" s="37"/>
      <c r="N611" s="38"/>
      <c r="V611" s="34">
        <f t="shared" si="79"/>
        <v>0</v>
      </c>
    </row>
    <row r="612" spans="1:25" hidden="1" outlineLevel="1" x14ac:dyDescent="0.25">
      <c r="H612" s="37"/>
      <c r="N612" s="38"/>
      <c r="V612" s="34">
        <f t="shared" si="79"/>
        <v>0</v>
      </c>
    </row>
    <row r="613" spans="1:25" hidden="1" outlineLevel="1" x14ac:dyDescent="0.25">
      <c r="H613" s="37"/>
      <c r="N613" s="38"/>
      <c r="S613" s="38"/>
      <c r="V613" s="34">
        <f t="shared" si="79"/>
        <v>0</v>
      </c>
    </row>
    <row r="614" spans="1:25" hidden="1" outlineLevel="1" x14ac:dyDescent="0.25">
      <c r="H614" s="37"/>
      <c r="N614" s="38"/>
      <c r="S614" s="38"/>
      <c r="V614" s="34">
        <f t="shared" si="79"/>
        <v>0</v>
      </c>
    </row>
    <row r="615" spans="1:25" hidden="1" outlineLevel="1" x14ac:dyDescent="0.25">
      <c r="H615" s="37"/>
      <c r="N615" s="38"/>
      <c r="S615" s="38"/>
      <c r="V615" s="34">
        <f t="shared" si="79"/>
        <v>0</v>
      </c>
    </row>
    <row r="616" spans="1:25" hidden="1" outlineLevel="1" x14ac:dyDescent="0.25">
      <c r="H616" s="37"/>
      <c r="N616" s="38"/>
      <c r="S616" s="38"/>
      <c r="V616" s="34">
        <f t="shared" si="79"/>
        <v>0</v>
      </c>
    </row>
    <row r="617" spans="1:25" hidden="1" outlineLevel="1" x14ac:dyDescent="0.25">
      <c r="H617" s="37"/>
      <c r="N617" s="38"/>
      <c r="S617" s="38"/>
      <c r="V617" s="34">
        <f t="shared" si="79"/>
        <v>0</v>
      </c>
    </row>
    <row r="618" spans="1:25" hidden="1" outlineLevel="1" x14ac:dyDescent="0.25">
      <c r="H618" s="37"/>
      <c r="N618" s="38"/>
      <c r="S618" s="38"/>
      <c r="V618" s="34">
        <f t="shared" si="79"/>
        <v>0</v>
      </c>
    </row>
    <row r="619" spans="1:25" hidden="1" outlineLevel="1" x14ac:dyDescent="0.25"/>
    <row r="620" spans="1:25" ht="13.8" hidden="1" outlineLevel="1" thickBot="1" x14ac:dyDescent="0.3"/>
    <row r="621" spans="1:25" ht="12.75" customHeight="1" x14ac:dyDescent="0.25">
      <c r="A621" s="145">
        <v>20</v>
      </c>
      <c r="B621" s="147" t="s">
        <v>214</v>
      </c>
      <c r="C621" s="147" t="s">
        <v>9</v>
      </c>
      <c r="D621" s="149" t="s">
        <v>12</v>
      </c>
      <c r="E621" s="46"/>
      <c r="F621" s="66"/>
      <c r="G621" s="36">
        <f t="shared" ref="G621:U621" si="80">SUM(G623:G633)</f>
        <v>0</v>
      </c>
      <c r="H621" s="36">
        <f t="shared" si="80"/>
        <v>0</v>
      </c>
      <c r="I621" s="36">
        <f t="shared" si="80"/>
        <v>0</v>
      </c>
      <c r="J621" s="36">
        <f t="shared" si="80"/>
        <v>0</v>
      </c>
      <c r="K621" s="36">
        <f t="shared" si="80"/>
        <v>0</v>
      </c>
      <c r="L621" s="36">
        <f t="shared" si="80"/>
        <v>0</v>
      </c>
      <c r="M621" s="36">
        <f t="shared" si="80"/>
        <v>0</v>
      </c>
      <c r="N621" s="36">
        <f t="shared" si="80"/>
        <v>0</v>
      </c>
      <c r="O621" s="36">
        <f t="shared" si="80"/>
        <v>0</v>
      </c>
      <c r="P621" s="36">
        <f t="shared" si="80"/>
        <v>0</v>
      </c>
      <c r="Q621" s="36">
        <f t="shared" si="80"/>
        <v>0</v>
      </c>
      <c r="R621" s="36">
        <f t="shared" si="80"/>
        <v>0</v>
      </c>
      <c r="S621" s="36">
        <f t="shared" si="80"/>
        <v>0</v>
      </c>
      <c r="T621" s="36">
        <f t="shared" si="80"/>
        <v>0</v>
      </c>
      <c r="U621" s="36">
        <f t="shared" si="80"/>
        <v>0</v>
      </c>
      <c r="V621" s="36">
        <f>SUM(V623:V633)</f>
        <v>0</v>
      </c>
      <c r="W621" s="151">
        <f>V621+V622</f>
        <v>0</v>
      </c>
    </row>
    <row r="622" spans="1:25" ht="13.8" collapsed="1" thickBot="1" x14ac:dyDescent="0.3">
      <c r="A622" s="146"/>
      <c r="B622" s="148"/>
      <c r="C622" s="148"/>
      <c r="D622" s="150"/>
      <c r="E622" s="47" t="s">
        <v>33</v>
      </c>
      <c r="F622" s="67"/>
      <c r="G622" s="39">
        <f>SUM(G634:G651)</f>
        <v>0</v>
      </c>
      <c r="H622" s="41">
        <f>SUM(H634:H651)</f>
        <v>0</v>
      </c>
      <c r="I622" s="39">
        <f>SUM(I634:I651)</f>
        <v>0</v>
      </c>
      <c r="J622" s="39">
        <f>SUM(J634:J651)</f>
        <v>0</v>
      </c>
      <c r="K622" s="39">
        <f t="shared" ref="K622:U622" si="81">SUM(K634:K651)</f>
        <v>0</v>
      </c>
      <c r="L622" s="39">
        <f t="shared" si="81"/>
        <v>0</v>
      </c>
      <c r="M622" s="39">
        <f t="shared" si="81"/>
        <v>0</v>
      </c>
      <c r="N622" s="39">
        <f t="shared" si="81"/>
        <v>0</v>
      </c>
      <c r="O622" s="39">
        <f t="shared" si="81"/>
        <v>0</v>
      </c>
      <c r="P622" s="39">
        <f t="shared" si="81"/>
        <v>0</v>
      </c>
      <c r="Q622" s="39">
        <f t="shared" si="81"/>
        <v>0</v>
      </c>
      <c r="R622" s="39">
        <f t="shared" si="81"/>
        <v>0</v>
      </c>
      <c r="S622" s="39">
        <f t="shared" si="81"/>
        <v>0</v>
      </c>
      <c r="T622" s="39">
        <f t="shared" si="81"/>
        <v>0</v>
      </c>
      <c r="U622" s="39">
        <f t="shared" si="81"/>
        <v>0</v>
      </c>
      <c r="V622" s="39">
        <f>SUM(V634:V651)</f>
        <v>0</v>
      </c>
      <c r="W622" s="152"/>
      <c r="Y622" s="38"/>
    </row>
    <row r="623" spans="1:25" hidden="1" outlineLevel="1" x14ac:dyDescent="0.25">
      <c r="V623" s="34">
        <f t="shared" ref="V623:V632" si="82">SUM(G623:U623)</f>
        <v>0</v>
      </c>
    </row>
    <row r="624" spans="1:25" hidden="1" outlineLevel="1" x14ac:dyDescent="0.25">
      <c r="V624" s="34">
        <f t="shared" si="82"/>
        <v>0</v>
      </c>
    </row>
    <row r="625" spans="2:24" hidden="1" outlineLevel="1" x14ac:dyDescent="0.25">
      <c r="V625" s="34">
        <f t="shared" si="82"/>
        <v>0</v>
      </c>
    </row>
    <row r="626" spans="2:24" hidden="1" outlineLevel="1" x14ac:dyDescent="0.25">
      <c r="V626" s="34">
        <f t="shared" si="82"/>
        <v>0</v>
      </c>
    </row>
    <row r="627" spans="2:24" hidden="1" outlineLevel="1" x14ac:dyDescent="0.25">
      <c r="V627" s="34">
        <f t="shared" si="82"/>
        <v>0</v>
      </c>
    </row>
    <row r="628" spans="2:24" hidden="1" outlineLevel="1" x14ac:dyDescent="0.25">
      <c r="V628" s="34">
        <f t="shared" si="82"/>
        <v>0</v>
      </c>
    </row>
    <row r="629" spans="2:24" hidden="1" outlineLevel="1" x14ac:dyDescent="0.25">
      <c r="V629" s="34">
        <f t="shared" si="82"/>
        <v>0</v>
      </c>
    </row>
    <row r="630" spans="2:24" hidden="1" outlineLevel="1" x14ac:dyDescent="0.25">
      <c r="V630" s="34">
        <f t="shared" si="82"/>
        <v>0</v>
      </c>
    </row>
    <row r="631" spans="2:24" hidden="1" outlineLevel="1" x14ac:dyDescent="0.25">
      <c r="V631" s="34">
        <f t="shared" si="82"/>
        <v>0</v>
      </c>
    </row>
    <row r="632" spans="2:24" hidden="1" outlineLevel="1" x14ac:dyDescent="0.25">
      <c r="V632" s="34">
        <f t="shared" si="82"/>
        <v>0</v>
      </c>
    </row>
    <row r="633" spans="2:24" hidden="1" outlineLevel="1" x14ac:dyDescent="0.25">
      <c r="B633" s="155" t="s">
        <v>29</v>
      </c>
      <c r="C633" s="155"/>
      <c r="D633" s="155"/>
      <c r="E633" s="155"/>
      <c r="F633" s="155"/>
      <c r="G633" s="155"/>
      <c r="H633" s="155"/>
      <c r="I633" s="155"/>
      <c r="J633" s="155"/>
      <c r="K633" s="155"/>
      <c r="L633" s="155"/>
      <c r="M633" s="155"/>
      <c r="N633" s="155"/>
      <c r="O633" s="155"/>
      <c r="P633" s="155"/>
      <c r="Q633" s="155"/>
      <c r="R633" s="155"/>
      <c r="S633" s="155"/>
      <c r="T633" s="155"/>
      <c r="U633" s="155"/>
      <c r="V633" s="107"/>
    </row>
    <row r="634" spans="2:24" hidden="1" outlineLevel="1" x14ac:dyDescent="0.25">
      <c r="V634" s="34">
        <f t="shared" ref="V634:V650" si="83">SUM(G634:U634)</f>
        <v>0</v>
      </c>
      <c r="X634" s="38"/>
    </row>
    <row r="635" spans="2:24" hidden="1" outlineLevel="1" x14ac:dyDescent="0.25">
      <c r="V635" s="34">
        <f t="shared" si="83"/>
        <v>0</v>
      </c>
    </row>
    <row r="636" spans="2:24" hidden="1" outlineLevel="1" x14ac:dyDescent="0.25">
      <c r="V636" s="34">
        <f t="shared" si="83"/>
        <v>0</v>
      </c>
      <c r="X636" s="38"/>
    </row>
    <row r="637" spans="2:24" hidden="1" outlineLevel="1" x14ac:dyDescent="0.25">
      <c r="V637" s="34">
        <f t="shared" si="83"/>
        <v>0</v>
      </c>
      <c r="X637" s="38"/>
    </row>
    <row r="638" spans="2:24" hidden="1" outlineLevel="1" x14ac:dyDescent="0.25">
      <c r="V638" s="34">
        <f t="shared" si="83"/>
        <v>0</v>
      </c>
      <c r="X638" s="38"/>
    </row>
    <row r="639" spans="2:24" hidden="1" outlineLevel="1" x14ac:dyDescent="0.25">
      <c r="V639" s="34">
        <f t="shared" si="83"/>
        <v>0</v>
      </c>
    </row>
    <row r="640" spans="2:24" hidden="1" outlineLevel="1" x14ac:dyDescent="0.25">
      <c r="H640" s="37"/>
      <c r="N640" s="38"/>
      <c r="V640" s="34">
        <f t="shared" si="83"/>
        <v>0</v>
      </c>
    </row>
    <row r="641" spans="1:26" hidden="1" outlineLevel="1" x14ac:dyDescent="0.25">
      <c r="H641" s="37"/>
      <c r="N641" s="38"/>
      <c r="V641" s="34">
        <f t="shared" si="83"/>
        <v>0</v>
      </c>
    </row>
    <row r="642" spans="1:26" hidden="1" outlineLevel="1" x14ac:dyDescent="0.25">
      <c r="H642" s="37"/>
      <c r="N642" s="38"/>
      <c r="V642" s="34">
        <f t="shared" si="83"/>
        <v>0</v>
      </c>
    </row>
    <row r="643" spans="1:26" hidden="1" outlineLevel="1" x14ac:dyDescent="0.25">
      <c r="H643" s="37"/>
      <c r="N643" s="38"/>
      <c r="V643" s="34">
        <f t="shared" si="83"/>
        <v>0</v>
      </c>
    </row>
    <row r="644" spans="1:26" hidden="1" outlineLevel="1" x14ac:dyDescent="0.25">
      <c r="H644" s="37"/>
      <c r="N644" s="38"/>
      <c r="V644" s="34">
        <f t="shared" si="83"/>
        <v>0</v>
      </c>
    </row>
    <row r="645" spans="1:26" hidden="1" outlineLevel="1" x14ac:dyDescent="0.25">
      <c r="H645" s="37"/>
      <c r="N645" s="38"/>
      <c r="S645" s="38"/>
      <c r="V645" s="34">
        <f t="shared" si="83"/>
        <v>0</v>
      </c>
    </row>
    <row r="646" spans="1:26" hidden="1" outlineLevel="1" x14ac:dyDescent="0.25">
      <c r="H646" s="37"/>
      <c r="N646" s="38"/>
      <c r="S646" s="38"/>
      <c r="V646" s="34">
        <f t="shared" si="83"/>
        <v>0</v>
      </c>
    </row>
    <row r="647" spans="1:26" hidden="1" outlineLevel="1" x14ac:dyDescent="0.25">
      <c r="H647" s="37"/>
      <c r="N647" s="38"/>
      <c r="S647" s="38"/>
      <c r="V647" s="34">
        <f t="shared" si="83"/>
        <v>0</v>
      </c>
    </row>
    <row r="648" spans="1:26" hidden="1" outlineLevel="1" x14ac:dyDescent="0.25">
      <c r="H648" s="37"/>
      <c r="N648" s="38"/>
      <c r="S648" s="38"/>
      <c r="V648" s="34">
        <f t="shared" si="83"/>
        <v>0</v>
      </c>
    </row>
    <row r="649" spans="1:26" hidden="1" outlineLevel="1" x14ac:dyDescent="0.25">
      <c r="H649" s="37"/>
      <c r="N649" s="38"/>
      <c r="S649" s="38"/>
      <c r="V649" s="34">
        <f t="shared" si="83"/>
        <v>0</v>
      </c>
    </row>
    <row r="650" spans="1:26" hidden="1" outlineLevel="1" x14ac:dyDescent="0.25">
      <c r="H650" s="37"/>
      <c r="N650" s="38"/>
      <c r="S650" s="38"/>
      <c r="V650" s="34">
        <f t="shared" si="83"/>
        <v>0</v>
      </c>
    </row>
    <row r="651" spans="1:26" hidden="1" outlineLevel="1" x14ac:dyDescent="0.25"/>
    <row r="652" spans="1:26" ht="13.8" hidden="1" outlineLevel="1" thickBot="1" x14ac:dyDescent="0.3"/>
    <row r="653" spans="1:26" s="1" customFormat="1" x14ac:dyDescent="0.25">
      <c r="A653" s="164"/>
      <c r="B653" s="153" t="s">
        <v>36</v>
      </c>
      <c r="C653" s="153"/>
      <c r="D653" s="156"/>
      <c r="E653" s="90"/>
      <c r="F653" s="45">
        <f t="shared" ref="F653:V653" si="84">F9+F52+F83+F117+F148+F179+F216+F247+F278+F309+F340+F371+F402+F433+F464+F495+F526+F621+F557+F589</f>
        <v>6</v>
      </c>
      <c r="G653" s="36">
        <f t="shared" si="84"/>
        <v>1050</v>
      </c>
      <c r="H653" s="36">
        <f t="shared" si="84"/>
        <v>1650</v>
      </c>
      <c r="I653" s="36">
        <f t="shared" si="84"/>
        <v>82</v>
      </c>
      <c r="J653" s="36">
        <f t="shared" si="84"/>
        <v>0</v>
      </c>
      <c r="K653" s="36">
        <f t="shared" si="84"/>
        <v>34</v>
      </c>
      <c r="L653" s="36">
        <f t="shared" si="84"/>
        <v>161</v>
      </c>
      <c r="M653" s="36">
        <f t="shared" si="84"/>
        <v>80</v>
      </c>
      <c r="N653" s="36">
        <f t="shared" si="84"/>
        <v>165.5</v>
      </c>
      <c r="O653" s="36">
        <f t="shared" si="84"/>
        <v>116.90000000000002</v>
      </c>
      <c r="P653" s="36">
        <f t="shared" si="84"/>
        <v>326.5</v>
      </c>
      <c r="Q653" s="36">
        <f t="shared" si="84"/>
        <v>0</v>
      </c>
      <c r="R653" s="36">
        <f t="shared" si="84"/>
        <v>42</v>
      </c>
      <c r="S653" s="36">
        <f t="shared" si="84"/>
        <v>0</v>
      </c>
      <c r="T653" s="36">
        <f t="shared" si="84"/>
        <v>0</v>
      </c>
      <c r="U653" s="36">
        <f t="shared" si="84"/>
        <v>135</v>
      </c>
      <c r="V653" s="36">
        <f t="shared" si="84"/>
        <v>3842.9</v>
      </c>
      <c r="W653" s="168">
        <f>V653+V654</f>
        <v>9118.0500000000011</v>
      </c>
      <c r="X653" s="74"/>
      <c r="Y653" s="74"/>
    </row>
    <row r="654" spans="1:26" s="1" customFormat="1" ht="13.8" thickBot="1" x14ac:dyDescent="0.3">
      <c r="A654" s="165"/>
      <c r="B654" s="154"/>
      <c r="C654" s="154"/>
      <c r="D654" s="157"/>
      <c r="E654" s="91"/>
      <c r="F654" s="48">
        <f t="shared" ref="F654:V654" si="85">F10+F53+F84+F118+F149+F180+F217+F248+F279+F310+F341+F372+F403+F434+F465+F496+F527+F622+F558+F590</f>
        <v>3.25</v>
      </c>
      <c r="G654" s="41">
        <f t="shared" si="85"/>
        <v>680</v>
      </c>
      <c r="H654" s="41">
        <f t="shared" si="85"/>
        <v>1422</v>
      </c>
      <c r="I654" s="39">
        <f t="shared" si="85"/>
        <v>8</v>
      </c>
      <c r="J654" s="39">
        <f t="shared" si="85"/>
        <v>0</v>
      </c>
      <c r="K654" s="39">
        <f t="shared" si="85"/>
        <v>36</v>
      </c>
      <c r="L654" s="39">
        <f t="shared" si="85"/>
        <v>322</v>
      </c>
      <c r="M654" s="39">
        <f t="shared" si="85"/>
        <v>58</v>
      </c>
      <c r="N654" s="39">
        <f t="shared" si="85"/>
        <v>188</v>
      </c>
      <c r="O654" s="39">
        <f t="shared" si="85"/>
        <v>114.44999999999999</v>
      </c>
      <c r="P654" s="39">
        <f t="shared" si="85"/>
        <v>273.5</v>
      </c>
      <c r="Q654" s="39">
        <f t="shared" si="85"/>
        <v>0</v>
      </c>
      <c r="R654" s="39">
        <f t="shared" si="85"/>
        <v>276.5</v>
      </c>
      <c r="S654" s="39">
        <f t="shared" si="85"/>
        <v>1649.1999999999998</v>
      </c>
      <c r="T654" s="39">
        <f t="shared" si="85"/>
        <v>127.5</v>
      </c>
      <c r="U654" s="39">
        <f t="shared" si="85"/>
        <v>120</v>
      </c>
      <c r="V654" s="39">
        <f t="shared" si="85"/>
        <v>5275.1500000000005</v>
      </c>
      <c r="W654" s="169"/>
      <c r="Y654" s="74"/>
      <c r="Z654" s="74"/>
    </row>
    <row r="655" spans="1:26" ht="27.75" customHeight="1" thickBot="1" x14ac:dyDescent="0.3">
      <c r="W655" s="54"/>
    </row>
    <row r="656" spans="1:26" ht="13.5" customHeight="1" x14ac:dyDescent="0.25">
      <c r="A656" s="145">
        <v>21</v>
      </c>
      <c r="B656" s="147" t="s">
        <v>38</v>
      </c>
      <c r="C656" s="153"/>
      <c r="D656" s="156"/>
      <c r="E656" s="156" t="s">
        <v>35</v>
      </c>
      <c r="F656" s="96">
        <v>1</v>
      </c>
      <c r="G656" s="36">
        <f t="shared" ref="G656:U656" si="86">SUM(G658:G668)</f>
        <v>0</v>
      </c>
      <c r="H656" s="36">
        <f t="shared" si="86"/>
        <v>0</v>
      </c>
      <c r="I656" s="36">
        <f t="shared" si="86"/>
        <v>0</v>
      </c>
      <c r="J656" s="36">
        <f t="shared" si="86"/>
        <v>0</v>
      </c>
      <c r="K656" s="36">
        <f t="shared" si="86"/>
        <v>0</v>
      </c>
      <c r="L656" s="36">
        <f t="shared" si="86"/>
        <v>0</v>
      </c>
      <c r="M656" s="36">
        <f t="shared" si="86"/>
        <v>0</v>
      </c>
      <c r="N656" s="36">
        <f t="shared" si="86"/>
        <v>0</v>
      </c>
      <c r="O656" s="36">
        <f t="shared" si="86"/>
        <v>0</v>
      </c>
      <c r="P656" s="36">
        <f t="shared" si="86"/>
        <v>0</v>
      </c>
      <c r="Q656" s="36">
        <f t="shared" si="86"/>
        <v>0</v>
      </c>
      <c r="R656" s="36">
        <f t="shared" si="86"/>
        <v>0</v>
      </c>
      <c r="S656" s="36">
        <f t="shared" si="86"/>
        <v>0</v>
      </c>
      <c r="T656" s="36">
        <f t="shared" si="86"/>
        <v>0</v>
      </c>
      <c r="U656" s="36">
        <f t="shared" si="86"/>
        <v>0</v>
      </c>
      <c r="V656" s="36">
        <f>SUM(V658:V668)</f>
        <v>0</v>
      </c>
      <c r="W656" s="158">
        <f>V656+V657</f>
        <v>467.5</v>
      </c>
      <c r="Y656" s="38"/>
    </row>
    <row r="657" spans="1:23" ht="12.75" customHeight="1" collapsed="1" thickBot="1" x14ac:dyDescent="0.3">
      <c r="A657" s="146"/>
      <c r="B657" s="148"/>
      <c r="C657" s="154"/>
      <c r="D657" s="157"/>
      <c r="E657" s="157"/>
      <c r="F657" s="97"/>
      <c r="G657" s="39">
        <f t="shared" ref="G657:U657" si="87">SUM(G669:G686)</f>
        <v>0</v>
      </c>
      <c r="H657" s="39">
        <f t="shared" si="87"/>
        <v>0</v>
      </c>
      <c r="I657" s="39">
        <f t="shared" si="87"/>
        <v>0</v>
      </c>
      <c r="J657" s="39">
        <f t="shared" si="87"/>
        <v>0</v>
      </c>
      <c r="K657" s="39">
        <f t="shared" si="87"/>
        <v>0</v>
      </c>
      <c r="L657" s="39">
        <f t="shared" si="87"/>
        <v>0</v>
      </c>
      <c r="M657" s="39">
        <f t="shared" si="87"/>
        <v>0</v>
      </c>
      <c r="N657" s="39">
        <f t="shared" si="87"/>
        <v>0</v>
      </c>
      <c r="O657" s="39">
        <f t="shared" si="87"/>
        <v>0</v>
      </c>
      <c r="P657" s="39">
        <f t="shared" si="87"/>
        <v>0</v>
      </c>
      <c r="Q657" s="39">
        <f t="shared" si="87"/>
        <v>0</v>
      </c>
      <c r="R657" s="39">
        <f t="shared" si="87"/>
        <v>0</v>
      </c>
      <c r="S657" s="39">
        <f t="shared" si="87"/>
        <v>340</v>
      </c>
      <c r="T657" s="39">
        <f t="shared" si="87"/>
        <v>127.5</v>
      </c>
      <c r="U657" s="39">
        <f t="shared" si="87"/>
        <v>0</v>
      </c>
      <c r="V657" s="39">
        <f>SUM(V669:V686)</f>
        <v>467.5</v>
      </c>
      <c r="W657" s="159"/>
    </row>
    <row r="658" spans="1:23" hidden="1" outlineLevel="1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 s="34">
        <f t="shared" ref="V658:V667" si="88">SUM(G658:U658)</f>
        <v>0</v>
      </c>
    </row>
    <row r="659" spans="1:23" hidden="1" outlineLevel="1" x14ac:dyDescent="0.25">
      <c r="V659" s="34">
        <f t="shared" si="88"/>
        <v>0</v>
      </c>
    </row>
    <row r="660" spans="1:23" hidden="1" outlineLevel="1" x14ac:dyDescent="0.25">
      <c r="V660" s="34">
        <f t="shared" si="88"/>
        <v>0</v>
      </c>
    </row>
    <row r="661" spans="1:23" hidden="1" outlineLevel="1" x14ac:dyDescent="0.25">
      <c r="V661" s="34">
        <f t="shared" si="88"/>
        <v>0</v>
      </c>
    </row>
    <row r="662" spans="1:23" hidden="1" outlineLevel="1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 s="34">
        <f t="shared" si="88"/>
        <v>0</v>
      </c>
    </row>
    <row r="663" spans="1:23" hidden="1" outlineLevel="1" x14ac:dyDescent="0.25">
      <c r="V663" s="34">
        <f t="shared" si="88"/>
        <v>0</v>
      </c>
    </row>
    <row r="664" spans="1:23" hidden="1" outlineLevel="1" x14ac:dyDescent="0.25">
      <c r="V664" s="34">
        <f t="shared" si="88"/>
        <v>0</v>
      </c>
    </row>
    <row r="665" spans="1:23" hidden="1" outlineLevel="1" x14ac:dyDescent="0.25">
      <c r="V665" s="34">
        <f t="shared" si="88"/>
        <v>0</v>
      </c>
    </row>
    <row r="666" spans="1:23" hidden="1" outlineLevel="1" x14ac:dyDescent="0.25">
      <c r="V666" s="34">
        <f t="shared" si="88"/>
        <v>0</v>
      </c>
    </row>
    <row r="667" spans="1:23" hidden="1" outlineLevel="1" x14ac:dyDescent="0.25">
      <c r="V667" s="34">
        <f t="shared" si="88"/>
        <v>0</v>
      </c>
    </row>
    <row r="668" spans="1:23" hidden="1" outlineLevel="1" x14ac:dyDescent="0.25">
      <c r="B668" s="155" t="s">
        <v>29</v>
      </c>
      <c r="C668" s="155"/>
      <c r="D668" s="155"/>
      <c r="E668" s="155"/>
      <c r="F668" s="155"/>
      <c r="G668" s="155"/>
      <c r="H668" s="155"/>
      <c r="I668" s="155"/>
      <c r="J668" s="155"/>
      <c r="K668" s="155"/>
      <c r="L668" s="155"/>
      <c r="M668" s="155"/>
      <c r="N668" s="155"/>
      <c r="O668" s="155"/>
      <c r="P668" s="155"/>
      <c r="Q668" s="155"/>
      <c r="R668" s="155"/>
      <c r="S668" s="155"/>
      <c r="T668" s="155"/>
      <c r="U668" s="155"/>
      <c r="V668" s="68"/>
    </row>
    <row r="669" spans="1:23" ht="26.4" hidden="1" outlineLevel="1" x14ac:dyDescent="0.25">
      <c r="A669" s="34" t="s">
        <v>223</v>
      </c>
      <c r="B669" s="42" t="s">
        <v>87</v>
      </c>
      <c r="C669" s="34">
        <v>4</v>
      </c>
      <c r="T669" s="34">
        <v>33</v>
      </c>
      <c r="V669" s="34">
        <f t="shared" ref="V669:V685" si="89">SUM(G669:U669)</f>
        <v>33</v>
      </c>
    </row>
    <row r="670" spans="1:23" ht="26.4" hidden="1" outlineLevel="1" x14ac:dyDescent="0.25">
      <c r="A670" t="s">
        <v>223</v>
      </c>
      <c r="B670" s="42" t="s">
        <v>91</v>
      </c>
      <c r="C670">
        <v>4</v>
      </c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>
        <v>132</v>
      </c>
      <c r="T670"/>
      <c r="U670"/>
      <c r="V670" s="34">
        <f t="shared" si="89"/>
        <v>132</v>
      </c>
    </row>
    <row r="671" spans="1:23" ht="26.4" hidden="1" outlineLevel="1" x14ac:dyDescent="0.25">
      <c r="A671" s="34" t="s">
        <v>226</v>
      </c>
      <c r="B671" s="42" t="s">
        <v>173</v>
      </c>
      <c r="C671" s="34">
        <v>2</v>
      </c>
      <c r="S671" s="34">
        <v>12</v>
      </c>
      <c r="V671" s="34">
        <f t="shared" si="89"/>
        <v>12</v>
      </c>
    </row>
    <row r="672" spans="1:23" hidden="1" outlineLevel="1" x14ac:dyDescent="0.25">
      <c r="A672" t="s">
        <v>225</v>
      </c>
      <c r="B672" s="42" t="s">
        <v>161</v>
      </c>
      <c r="C672">
        <v>2</v>
      </c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>
        <v>12</v>
      </c>
      <c r="T672"/>
      <c r="U672"/>
      <c r="V672" s="34">
        <f t="shared" si="89"/>
        <v>12</v>
      </c>
    </row>
    <row r="673" spans="1:25" hidden="1" outlineLevel="1" x14ac:dyDescent="0.25">
      <c r="A673" s="34" t="s">
        <v>225</v>
      </c>
      <c r="B673" s="42" t="s">
        <v>157</v>
      </c>
      <c r="C673" s="34">
        <v>2</v>
      </c>
      <c r="T673" s="34">
        <v>3</v>
      </c>
      <c r="V673" s="34">
        <f t="shared" si="89"/>
        <v>3</v>
      </c>
    </row>
    <row r="674" spans="1:25" ht="26.4" hidden="1" outlineLevel="1" x14ac:dyDescent="0.25">
      <c r="A674" s="34" t="s">
        <v>224</v>
      </c>
      <c r="B674" s="42" t="s">
        <v>124</v>
      </c>
      <c r="C674" s="34">
        <v>5</v>
      </c>
      <c r="T674" s="34">
        <v>25</v>
      </c>
      <c r="V674" s="34">
        <f t="shared" si="89"/>
        <v>25</v>
      </c>
    </row>
    <row r="675" spans="1:25" ht="26.4" hidden="1" outlineLevel="1" x14ac:dyDescent="0.25">
      <c r="A675" t="s">
        <v>224</v>
      </c>
      <c r="B675" s="42" t="s">
        <v>135</v>
      </c>
      <c r="C675">
        <v>4</v>
      </c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>
        <v>21</v>
      </c>
      <c r="U675"/>
      <c r="V675" s="34">
        <f t="shared" si="89"/>
        <v>21</v>
      </c>
    </row>
    <row r="676" spans="1:25" hidden="1" outlineLevel="1" x14ac:dyDescent="0.25">
      <c r="A676" t="s">
        <v>223</v>
      </c>
      <c r="B676" s="42" t="s">
        <v>88</v>
      </c>
      <c r="C676">
        <v>4</v>
      </c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>
        <v>16.5</v>
      </c>
      <c r="U676"/>
      <c r="V676" s="34">
        <f t="shared" si="89"/>
        <v>16.5</v>
      </c>
    </row>
    <row r="677" spans="1:25" hidden="1" outlineLevel="1" x14ac:dyDescent="0.25">
      <c r="A677" s="34" t="s">
        <v>224</v>
      </c>
      <c r="B677" s="42" t="s">
        <v>125</v>
      </c>
      <c r="C677" s="34">
        <v>5</v>
      </c>
      <c r="T677" s="34">
        <v>12.5</v>
      </c>
      <c r="V677" s="34">
        <f t="shared" si="89"/>
        <v>12.5</v>
      </c>
    </row>
    <row r="678" spans="1:25" hidden="1" outlineLevel="1" x14ac:dyDescent="0.25">
      <c r="A678" s="34" t="s">
        <v>224</v>
      </c>
      <c r="B678" s="42" t="s">
        <v>136</v>
      </c>
      <c r="C678" s="34">
        <v>4</v>
      </c>
      <c r="T678" s="34">
        <v>10.5</v>
      </c>
      <c r="V678" s="34">
        <f t="shared" si="89"/>
        <v>10.5</v>
      </c>
    </row>
    <row r="679" spans="1:25" ht="26.4" hidden="1" outlineLevel="1" x14ac:dyDescent="0.25">
      <c r="A679" s="34" t="s">
        <v>224</v>
      </c>
      <c r="B679" s="42" t="s">
        <v>128</v>
      </c>
      <c r="C679" s="34">
        <v>5</v>
      </c>
      <c r="S679" s="34">
        <v>100</v>
      </c>
      <c r="V679" s="34">
        <f t="shared" si="89"/>
        <v>100</v>
      </c>
    </row>
    <row r="680" spans="1:25" ht="26.4" hidden="1" outlineLevel="1" x14ac:dyDescent="0.25">
      <c r="A680" s="34" t="s">
        <v>224</v>
      </c>
      <c r="B680" s="42" t="s">
        <v>139</v>
      </c>
      <c r="C680" s="34">
        <v>4</v>
      </c>
      <c r="S680" s="34">
        <v>84</v>
      </c>
      <c r="V680" s="34">
        <f t="shared" si="89"/>
        <v>84</v>
      </c>
    </row>
    <row r="681" spans="1:25" hidden="1" outlineLevel="1" x14ac:dyDescent="0.25">
      <c r="A681" s="34" t="s">
        <v>225</v>
      </c>
      <c r="B681" s="42" t="s">
        <v>158</v>
      </c>
      <c r="C681" s="34">
        <v>2</v>
      </c>
      <c r="T681" s="34">
        <v>1.5</v>
      </c>
      <c r="V681" s="34">
        <f t="shared" si="89"/>
        <v>1.5</v>
      </c>
    </row>
    <row r="682" spans="1:25" ht="26.4" hidden="1" outlineLevel="1" x14ac:dyDescent="0.25">
      <c r="A682" s="34" t="s">
        <v>226</v>
      </c>
      <c r="B682" s="42" t="s">
        <v>169</v>
      </c>
      <c r="C682" s="34">
        <v>2</v>
      </c>
      <c r="T682" s="34">
        <v>3</v>
      </c>
      <c r="V682" s="34">
        <f t="shared" si="89"/>
        <v>3</v>
      </c>
    </row>
    <row r="683" spans="1:25" hidden="1" outlineLevel="1" x14ac:dyDescent="0.25">
      <c r="A683" s="34" t="s">
        <v>226</v>
      </c>
      <c r="B683" s="42" t="s">
        <v>170</v>
      </c>
      <c r="C683" s="34">
        <v>2</v>
      </c>
      <c r="T683" s="34">
        <v>1.5</v>
      </c>
      <c r="V683" s="34">
        <f t="shared" si="89"/>
        <v>1.5</v>
      </c>
    </row>
    <row r="684" spans="1:25" hidden="1" outlineLevel="1" x14ac:dyDescent="0.25">
      <c r="V684" s="34">
        <f t="shared" si="89"/>
        <v>0</v>
      </c>
    </row>
    <row r="685" spans="1:25" hidden="1" outlineLevel="1" x14ac:dyDescent="0.25">
      <c r="V685" s="34">
        <f t="shared" si="89"/>
        <v>0</v>
      </c>
    </row>
    <row r="686" spans="1:25" ht="31.5" customHeight="1" thickBot="1" x14ac:dyDescent="0.3"/>
    <row r="687" spans="1:25" ht="18.75" customHeight="1" x14ac:dyDescent="0.25">
      <c r="A687" s="145">
        <v>22</v>
      </c>
      <c r="B687" s="147" t="s">
        <v>37</v>
      </c>
      <c r="C687" s="153"/>
      <c r="D687" s="156"/>
      <c r="E687" s="156" t="s">
        <v>35</v>
      </c>
      <c r="F687" s="96">
        <v>1</v>
      </c>
      <c r="G687" s="36">
        <f t="shared" ref="G687:V687" si="90">SUM(G689:G699)</f>
        <v>8</v>
      </c>
      <c r="H687" s="36">
        <f t="shared" si="90"/>
        <v>16</v>
      </c>
      <c r="I687" s="36">
        <f t="shared" si="90"/>
        <v>0</v>
      </c>
      <c r="J687" s="36">
        <f t="shared" si="90"/>
        <v>0</v>
      </c>
      <c r="K687" s="36">
        <f t="shared" si="90"/>
        <v>2</v>
      </c>
      <c r="L687" s="36">
        <f t="shared" si="90"/>
        <v>0</v>
      </c>
      <c r="M687" s="36">
        <f t="shared" si="90"/>
        <v>0</v>
      </c>
      <c r="N687" s="36">
        <f t="shared" si="90"/>
        <v>12.5</v>
      </c>
      <c r="O687" s="36">
        <f t="shared" si="90"/>
        <v>8.75</v>
      </c>
      <c r="P687" s="36">
        <f t="shared" si="90"/>
        <v>0</v>
      </c>
      <c r="Q687" s="36">
        <f t="shared" si="90"/>
        <v>0</v>
      </c>
      <c r="R687" s="36">
        <f t="shared" si="90"/>
        <v>0</v>
      </c>
      <c r="S687" s="36">
        <f t="shared" si="90"/>
        <v>0</v>
      </c>
      <c r="T687" s="36">
        <f t="shared" si="90"/>
        <v>0</v>
      </c>
      <c r="U687" s="36">
        <f t="shared" si="90"/>
        <v>0</v>
      </c>
      <c r="V687" s="36">
        <f t="shared" si="90"/>
        <v>47.25</v>
      </c>
      <c r="W687" s="158">
        <f>V687+V688</f>
        <v>307.25</v>
      </c>
      <c r="Y687" s="38"/>
    </row>
    <row r="688" spans="1:25" ht="13.8" collapsed="1" thickBot="1" x14ac:dyDescent="0.3">
      <c r="A688" s="146"/>
      <c r="B688" s="148"/>
      <c r="C688" s="154"/>
      <c r="D688" s="157"/>
      <c r="E688" s="157"/>
      <c r="F688" s="47"/>
      <c r="G688" s="39">
        <f t="shared" ref="G688:V688" si="91">SUM(G700:G716)</f>
        <v>62</v>
      </c>
      <c r="H688" s="39">
        <f t="shared" si="91"/>
        <v>118</v>
      </c>
      <c r="I688" s="39">
        <f t="shared" si="91"/>
        <v>28</v>
      </c>
      <c r="J688" s="39">
        <f t="shared" si="91"/>
        <v>0</v>
      </c>
      <c r="K688" s="39">
        <f t="shared" si="91"/>
        <v>0</v>
      </c>
      <c r="L688" s="39">
        <f t="shared" si="91"/>
        <v>0</v>
      </c>
      <c r="M688" s="39">
        <f t="shared" si="91"/>
        <v>6</v>
      </c>
      <c r="N688" s="39">
        <f t="shared" si="91"/>
        <v>0</v>
      </c>
      <c r="O688" s="39">
        <f t="shared" si="91"/>
        <v>0</v>
      </c>
      <c r="P688" s="39">
        <f t="shared" si="91"/>
        <v>31</v>
      </c>
      <c r="Q688" s="39">
        <f t="shared" si="91"/>
        <v>0</v>
      </c>
      <c r="R688" s="39">
        <f t="shared" si="91"/>
        <v>0</v>
      </c>
      <c r="S688" s="39">
        <f t="shared" si="91"/>
        <v>0</v>
      </c>
      <c r="T688" s="39">
        <f t="shared" si="91"/>
        <v>0</v>
      </c>
      <c r="U688" s="39">
        <f t="shared" si="91"/>
        <v>15</v>
      </c>
      <c r="V688" s="39">
        <f t="shared" si="91"/>
        <v>260</v>
      </c>
      <c r="W688" s="159"/>
    </row>
    <row r="689" spans="1:22" ht="39.6" hidden="1" outlineLevel="1" x14ac:dyDescent="0.25">
      <c r="A689" s="34" t="s">
        <v>224</v>
      </c>
      <c r="B689" s="42" t="s">
        <v>101</v>
      </c>
      <c r="C689" s="34">
        <v>5</v>
      </c>
      <c r="G689" s="34">
        <v>8</v>
      </c>
      <c r="H689" s="34">
        <v>16</v>
      </c>
      <c r="K689" s="34">
        <v>2</v>
      </c>
      <c r="N689" s="34">
        <v>12.5</v>
      </c>
      <c r="O689" s="34">
        <v>8.75</v>
      </c>
      <c r="V689" s="34">
        <f t="shared" ref="V689:V715" si="92">SUM(G689:U689)</f>
        <v>47.25</v>
      </c>
    </row>
    <row r="690" spans="1:22" hidden="1" outlineLevel="1" x14ac:dyDescent="0.25">
      <c r="V690" s="34">
        <f t="shared" si="92"/>
        <v>0</v>
      </c>
    </row>
    <row r="691" spans="1:22" hidden="1" outlineLevel="1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 s="34">
        <f t="shared" si="92"/>
        <v>0</v>
      </c>
    </row>
    <row r="692" spans="1:22" hidden="1" outlineLevel="1" x14ac:dyDescent="0.25">
      <c r="V692" s="34">
        <f t="shared" si="92"/>
        <v>0</v>
      </c>
    </row>
    <row r="693" spans="1:22" hidden="1" outlineLevel="1" x14ac:dyDescent="0.25">
      <c r="V693" s="34">
        <f t="shared" si="92"/>
        <v>0</v>
      </c>
    </row>
    <row r="694" spans="1:22" hidden="1" outlineLevel="1" x14ac:dyDescent="0.25">
      <c r="V694" s="34">
        <f t="shared" si="92"/>
        <v>0</v>
      </c>
    </row>
    <row r="695" spans="1:22" hidden="1" outlineLevel="1" x14ac:dyDescent="0.25">
      <c r="V695" s="34">
        <f t="shared" si="92"/>
        <v>0</v>
      </c>
    </row>
    <row r="696" spans="1:22" hidden="1" outlineLevel="1" x14ac:dyDescent="0.25">
      <c r="V696" s="34">
        <f t="shared" si="92"/>
        <v>0</v>
      </c>
    </row>
    <row r="697" spans="1:22" hidden="1" outlineLevel="1" x14ac:dyDescent="0.25">
      <c r="V697" s="34">
        <f t="shared" si="92"/>
        <v>0</v>
      </c>
    </row>
    <row r="698" spans="1:22" hidden="1" outlineLevel="1" x14ac:dyDescent="0.25">
      <c r="V698" s="34">
        <f t="shared" si="92"/>
        <v>0</v>
      </c>
    </row>
    <row r="699" spans="1:22" hidden="1" outlineLevel="1" x14ac:dyDescent="0.25">
      <c r="B699" s="155" t="s">
        <v>29</v>
      </c>
      <c r="C699" s="155"/>
      <c r="D699" s="155"/>
      <c r="E699" s="155"/>
      <c r="F699" s="155"/>
      <c r="G699" s="155"/>
      <c r="H699" s="155"/>
      <c r="I699" s="155"/>
      <c r="J699" s="155"/>
      <c r="K699" s="155"/>
      <c r="L699" s="155"/>
      <c r="M699" s="155"/>
      <c r="N699" s="155"/>
      <c r="O699" s="155"/>
      <c r="P699" s="155"/>
      <c r="Q699" s="155"/>
      <c r="R699" s="155"/>
      <c r="S699" s="155"/>
      <c r="T699" s="155"/>
      <c r="U699" s="155"/>
      <c r="V699" s="68"/>
    </row>
    <row r="700" spans="1:22" ht="39.6" hidden="1" outlineLevel="1" x14ac:dyDescent="0.25">
      <c r="A700" s="34" t="s">
        <v>223</v>
      </c>
      <c r="B700" s="42" t="s">
        <v>83</v>
      </c>
      <c r="C700" s="34">
        <v>4</v>
      </c>
      <c r="G700" s="34">
        <v>28</v>
      </c>
      <c r="H700" s="34">
        <v>84</v>
      </c>
      <c r="I700" s="34">
        <v>28</v>
      </c>
      <c r="M700" s="34">
        <v>4</v>
      </c>
      <c r="P700" s="34">
        <v>16.5</v>
      </c>
      <c r="V700" s="34">
        <f t="shared" si="92"/>
        <v>160.5</v>
      </c>
    </row>
    <row r="701" spans="1:22" ht="39.6" hidden="1" outlineLevel="1" x14ac:dyDescent="0.25">
      <c r="A701" s="34" t="s">
        <v>223</v>
      </c>
      <c r="B701" s="42" t="s">
        <v>64</v>
      </c>
      <c r="C701" s="34">
        <v>2</v>
      </c>
      <c r="G701" s="34">
        <v>34</v>
      </c>
      <c r="H701" s="34">
        <v>34</v>
      </c>
      <c r="M701" s="34">
        <v>2</v>
      </c>
      <c r="P701" s="34">
        <v>14.5</v>
      </c>
      <c r="V701" s="34">
        <f t="shared" si="92"/>
        <v>84.5</v>
      </c>
    </row>
    <row r="702" spans="1:22" ht="26.4" hidden="1" outlineLevel="1" x14ac:dyDescent="0.25">
      <c r="A702" s="34" t="s">
        <v>226</v>
      </c>
      <c r="B702" s="42" t="s">
        <v>162</v>
      </c>
      <c r="C702" s="34">
        <v>2</v>
      </c>
      <c r="U702" s="34">
        <v>15</v>
      </c>
      <c r="V702" s="34">
        <f t="shared" si="92"/>
        <v>15</v>
      </c>
    </row>
    <row r="703" spans="1:22" hidden="1" outlineLevel="1" x14ac:dyDescent="0.25">
      <c r="V703" s="34">
        <f t="shared" si="92"/>
        <v>0</v>
      </c>
    </row>
    <row r="704" spans="1:22" hidden="1" outlineLevel="1" x14ac:dyDescent="0.25">
      <c r="V704" s="34">
        <f t="shared" si="92"/>
        <v>0</v>
      </c>
    </row>
    <row r="705" spans="1:25" hidden="1" outlineLevel="1" x14ac:dyDescent="0.25">
      <c r="V705" s="34">
        <f t="shared" si="92"/>
        <v>0</v>
      </c>
    </row>
    <row r="706" spans="1:25" hidden="1" outlineLevel="1" x14ac:dyDescent="0.25">
      <c r="V706" s="34">
        <f t="shared" si="92"/>
        <v>0</v>
      </c>
    </row>
    <row r="707" spans="1:25" hidden="1" outlineLevel="1" x14ac:dyDescent="0.25">
      <c r="V707" s="34">
        <f t="shared" si="92"/>
        <v>0</v>
      </c>
    </row>
    <row r="708" spans="1:25" hidden="1" outlineLevel="1" x14ac:dyDescent="0.25">
      <c r="V708" s="34">
        <f t="shared" si="92"/>
        <v>0</v>
      </c>
    </row>
    <row r="709" spans="1:25" hidden="1" outlineLevel="1" x14ac:dyDescent="0.25">
      <c r="V709" s="34">
        <f t="shared" si="92"/>
        <v>0</v>
      </c>
    </row>
    <row r="710" spans="1:25" hidden="1" outlineLevel="1" x14ac:dyDescent="0.25">
      <c r="V710" s="34">
        <f t="shared" si="92"/>
        <v>0</v>
      </c>
    </row>
    <row r="711" spans="1:25" hidden="1" outlineLevel="1" x14ac:dyDescent="0.25">
      <c r="V711" s="34">
        <f t="shared" si="92"/>
        <v>0</v>
      </c>
    </row>
    <row r="712" spans="1:25" hidden="1" outlineLevel="1" x14ac:dyDescent="0.25">
      <c r="V712" s="34">
        <f t="shared" si="92"/>
        <v>0</v>
      </c>
    </row>
    <row r="713" spans="1:25" hidden="1" outlineLevel="1" x14ac:dyDescent="0.25">
      <c r="V713" s="34">
        <f t="shared" si="92"/>
        <v>0</v>
      </c>
    </row>
    <row r="714" spans="1:25" hidden="1" outlineLevel="1" x14ac:dyDescent="0.25">
      <c r="V714" s="34">
        <f t="shared" si="92"/>
        <v>0</v>
      </c>
    </row>
    <row r="715" spans="1:25" hidden="1" outlineLevel="1" x14ac:dyDescent="0.25">
      <c r="A715" s="83"/>
      <c r="B715" s="84"/>
      <c r="C715" s="83"/>
      <c r="D715" s="83"/>
      <c r="E715" s="83"/>
      <c r="F715" s="83"/>
      <c r="G715" s="83"/>
      <c r="H715" s="83"/>
      <c r="I715" s="83"/>
      <c r="J715" s="83"/>
      <c r="K715" s="83"/>
      <c r="L715" s="83"/>
      <c r="M715" s="83"/>
      <c r="N715" s="83"/>
      <c r="O715" s="83"/>
      <c r="P715" s="83"/>
      <c r="Q715" s="83"/>
      <c r="R715" s="83"/>
      <c r="S715" s="83"/>
      <c r="T715" s="83"/>
      <c r="U715" s="83"/>
      <c r="V715" s="83">
        <f t="shared" si="92"/>
        <v>0</v>
      </c>
      <c r="W715" s="83"/>
    </row>
    <row r="716" spans="1:25" ht="26.25" customHeight="1" thickBot="1" x14ac:dyDescent="0.3"/>
    <row r="717" spans="1:25" x14ac:dyDescent="0.25">
      <c r="A717" s="145"/>
      <c r="B717" s="147" t="s">
        <v>2</v>
      </c>
      <c r="C717" s="162"/>
      <c r="D717" s="162"/>
      <c r="E717" s="45" t="s">
        <v>15</v>
      </c>
      <c r="F717" s="45">
        <f>F653</f>
        <v>6</v>
      </c>
      <c r="G717" s="36">
        <f t="shared" ref="G717:V717" si="93">G653+G656++G687</f>
        <v>1058</v>
      </c>
      <c r="H717" s="36">
        <f t="shared" si="93"/>
        <v>1666</v>
      </c>
      <c r="I717" s="36">
        <f t="shared" si="93"/>
        <v>82</v>
      </c>
      <c r="J717" s="36">
        <f t="shared" si="93"/>
        <v>0</v>
      </c>
      <c r="K717" s="36">
        <f t="shared" si="93"/>
        <v>36</v>
      </c>
      <c r="L717" s="36">
        <f t="shared" si="93"/>
        <v>161</v>
      </c>
      <c r="M717" s="36">
        <f t="shared" si="93"/>
        <v>80</v>
      </c>
      <c r="N717" s="36">
        <f t="shared" si="93"/>
        <v>178</v>
      </c>
      <c r="O717" s="36">
        <f t="shared" si="93"/>
        <v>125.65000000000002</v>
      </c>
      <c r="P717" s="36">
        <f t="shared" si="93"/>
        <v>326.5</v>
      </c>
      <c r="Q717" s="36">
        <f t="shared" si="93"/>
        <v>0</v>
      </c>
      <c r="R717" s="36">
        <f t="shared" si="93"/>
        <v>42</v>
      </c>
      <c r="S717" s="36">
        <f t="shared" si="93"/>
        <v>0</v>
      </c>
      <c r="T717" s="36">
        <f t="shared" si="93"/>
        <v>0</v>
      </c>
      <c r="U717" s="36">
        <f t="shared" si="93"/>
        <v>135</v>
      </c>
      <c r="V717" s="36">
        <f t="shared" si="93"/>
        <v>3890.15</v>
      </c>
      <c r="W717" s="166">
        <f>V717+V718</f>
        <v>9892.8000000000011</v>
      </c>
      <c r="Y717" s="38"/>
    </row>
    <row r="718" spans="1:25" ht="13.8" thickBot="1" x14ac:dyDescent="0.3">
      <c r="A718" s="146"/>
      <c r="B718" s="148"/>
      <c r="C718" s="163"/>
      <c r="D718" s="163"/>
      <c r="E718" s="48" t="s">
        <v>33</v>
      </c>
      <c r="F718" s="67">
        <f>F654</f>
        <v>3.25</v>
      </c>
      <c r="G718" s="39">
        <f t="shared" ref="G718:V718" si="94">G654+G657+G688</f>
        <v>742</v>
      </c>
      <c r="H718" s="39">
        <f t="shared" si="94"/>
        <v>1540</v>
      </c>
      <c r="I718" s="39">
        <f t="shared" si="94"/>
        <v>36</v>
      </c>
      <c r="J718" s="39">
        <f t="shared" si="94"/>
        <v>0</v>
      </c>
      <c r="K718" s="39">
        <f t="shared" si="94"/>
        <v>36</v>
      </c>
      <c r="L718" s="39">
        <f t="shared" si="94"/>
        <v>322</v>
      </c>
      <c r="M718" s="39">
        <f t="shared" si="94"/>
        <v>64</v>
      </c>
      <c r="N718" s="39">
        <f t="shared" si="94"/>
        <v>188</v>
      </c>
      <c r="O718" s="39">
        <f t="shared" si="94"/>
        <v>114.44999999999999</v>
      </c>
      <c r="P718" s="39">
        <f t="shared" si="94"/>
        <v>304.5</v>
      </c>
      <c r="Q718" s="39">
        <f t="shared" si="94"/>
        <v>0</v>
      </c>
      <c r="R718" s="39">
        <f t="shared" si="94"/>
        <v>276.5</v>
      </c>
      <c r="S718" s="39">
        <f t="shared" si="94"/>
        <v>1989.1999999999998</v>
      </c>
      <c r="T718" s="39">
        <f t="shared" si="94"/>
        <v>255</v>
      </c>
      <c r="U718" s="39">
        <f t="shared" si="94"/>
        <v>135</v>
      </c>
      <c r="V718" s="39">
        <f t="shared" si="94"/>
        <v>6002.6500000000005</v>
      </c>
      <c r="W718" s="167"/>
      <c r="X718" s="38"/>
    </row>
    <row r="719" spans="1:25" x14ac:dyDescent="0.25">
      <c r="B719" s="42" t="s">
        <v>8</v>
      </c>
      <c r="F719" s="38">
        <f>F717+F718</f>
        <v>9.25</v>
      </c>
      <c r="G719" s="34">
        <f>G717+G718</f>
        <v>1800</v>
      </c>
      <c r="H719" s="34">
        <f t="shared" ref="H719:V719" si="95">H717+H718</f>
        <v>3206</v>
      </c>
      <c r="I719" s="34">
        <f t="shared" si="95"/>
        <v>118</v>
      </c>
      <c r="J719" s="34">
        <f t="shared" si="95"/>
        <v>0</v>
      </c>
      <c r="K719" s="34">
        <f t="shared" si="95"/>
        <v>72</v>
      </c>
      <c r="L719" s="34">
        <f t="shared" si="95"/>
        <v>483</v>
      </c>
      <c r="M719" s="34">
        <f t="shared" si="95"/>
        <v>144</v>
      </c>
      <c r="N719" s="34">
        <f t="shared" si="95"/>
        <v>366</v>
      </c>
      <c r="O719" s="34">
        <f t="shared" si="95"/>
        <v>240.10000000000002</v>
      </c>
      <c r="P719" s="34">
        <f t="shared" si="95"/>
        <v>631</v>
      </c>
      <c r="Q719" s="34">
        <f t="shared" si="95"/>
        <v>0</v>
      </c>
      <c r="R719" s="34">
        <f t="shared" si="95"/>
        <v>318.5</v>
      </c>
      <c r="S719" s="34">
        <f t="shared" si="95"/>
        <v>1989.1999999999998</v>
      </c>
      <c r="T719" s="34">
        <f t="shared" si="95"/>
        <v>255</v>
      </c>
      <c r="U719" s="34">
        <f t="shared" si="95"/>
        <v>270</v>
      </c>
      <c r="V719" s="34">
        <f t="shared" si="95"/>
        <v>9892.8000000000011</v>
      </c>
    </row>
    <row r="720" spans="1:25" x14ac:dyDescent="0.25">
      <c r="F720" s="38"/>
    </row>
    <row r="721" spans="1:39" x14ac:dyDescent="0.25">
      <c r="F721" s="53"/>
    </row>
    <row r="722" spans="1:39" s="6" customFormat="1" ht="15" customHeight="1" x14ac:dyDescent="0.25">
      <c r="A722" s="34"/>
      <c r="B722" s="42"/>
      <c r="C722" s="34"/>
      <c r="D722" s="34"/>
      <c r="E722" s="34"/>
      <c r="F722" s="34"/>
      <c r="G722" s="34"/>
      <c r="H722" s="34"/>
      <c r="I722" s="34"/>
      <c r="J722" s="34"/>
      <c r="K722" s="34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Y722" s="15"/>
      <c r="Z722" s="16"/>
      <c r="AA722" s="17"/>
      <c r="AB722" s="29"/>
      <c r="AC722" s="29"/>
      <c r="AD722" s="24"/>
      <c r="AE722" s="18"/>
      <c r="AF722" s="19"/>
      <c r="AG722" s="19"/>
      <c r="AH722" s="19"/>
      <c r="AI722" s="17"/>
      <c r="AJ722" s="19"/>
      <c r="AK722" s="16"/>
      <c r="AL722" s="19"/>
      <c r="AM722" s="19"/>
    </row>
    <row r="723" spans="1:39" x14ac:dyDescent="0.25">
      <c r="A723" s="114"/>
      <c r="B723" s="114"/>
      <c r="C723" s="115"/>
      <c r="D723" s="115"/>
      <c r="E723" s="123"/>
      <c r="F723" s="123"/>
      <c r="G723" s="116" t="s">
        <v>47</v>
      </c>
      <c r="H723" s="121"/>
      <c r="I723" s="123"/>
      <c r="J723" s="117" t="s">
        <v>48</v>
      </c>
      <c r="K723" s="115"/>
      <c r="L723" s="121"/>
      <c r="M723" s="115"/>
      <c r="N723" s="118"/>
      <c r="O723" s="119"/>
      <c r="P723" s="119"/>
      <c r="Q723" s="119"/>
      <c r="R723" s="121"/>
      <c r="S723" s="116" t="s">
        <v>53</v>
      </c>
      <c r="T723" s="121"/>
      <c r="U723" s="115"/>
      <c r="V723" s="120" t="s">
        <v>51</v>
      </c>
      <c r="W723" s="115"/>
    </row>
  </sheetData>
  <mergeCells count="172">
    <mergeCell ref="A1:B1"/>
    <mergeCell ref="A2:D2"/>
    <mergeCell ref="G5:G6"/>
    <mergeCell ref="K5:K6"/>
    <mergeCell ref="D5:D8"/>
    <mergeCell ref="B9:B10"/>
    <mergeCell ref="B33:U33"/>
    <mergeCell ref="C9:C10"/>
    <mergeCell ref="D9:D10"/>
    <mergeCell ref="E9:E10"/>
    <mergeCell ref="F5:F8"/>
    <mergeCell ref="A9:A10"/>
    <mergeCell ref="A5:A8"/>
    <mergeCell ref="B5:B8"/>
    <mergeCell ref="C5:C8"/>
    <mergeCell ref="E5:E8"/>
    <mergeCell ref="Q5:R5"/>
    <mergeCell ref="I5:I6"/>
    <mergeCell ref="V3:W3"/>
    <mergeCell ref="D83:D84"/>
    <mergeCell ref="A4:B4"/>
    <mergeCell ref="W5:W8"/>
    <mergeCell ref="H5:H6"/>
    <mergeCell ref="M5:M6"/>
    <mergeCell ref="W9:W10"/>
    <mergeCell ref="V5:V6"/>
    <mergeCell ref="W52:W53"/>
    <mergeCell ref="S5:S6"/>
    <mergeCell ref="L5:L6"/>
    <mergeCell ref="A83:A84"/>
    <mergeCell ref="B83:B84"/>
    <mergeCell ref="W179:W180"/>
    <mergeCell ref="W653:W654"/>
    <mergeCell ref="D656:D657"/>
    <mergeCell ref="B633:U633"/>
    <mergeCell ref="B699:U699"/>
    <mergeCell ref="B290:U290"/>
    <mergeCell ref="B445:U445"/>
    <mergeCell ref="B476:U476"/>
    <mergeCell ref="B507:U507"/>
    <mergeCell ref="E687:E688"/>
    <mergeCell ref="B538:U538"/>
    <mergeCell ref="A717:A718"/>
    <mergeCell ref="B717:B718"/>
    <mergeCell ref="C717:C718"/>
    <mergeCell ref="D717:D718"/>
    <mergeCell ref="W687:W688"/>
    <mergeCell ref="B668:U668"/>
    <mergeCell ref="B621:B622"/>
    <mergeCell ref="A117:A118"/>
    <mergeCell ref="A687:A688"/>
    <mergeCell ref="B687:B688"/>
    <mergeCell ref="C687:C688"/>
    <mergeCell ref="D687:D688"/>
    <mergeCell ref="A653:A654"/>
    <mergeCell ref="B653:B654"/>
    <mergeCell ref="A179:A180"/>
    <mergeCell ref="W117:W118"/>
    <mergeCell ref="D117:D118"/>
    <mergeCell ref="C117:C118"/>
    <mergeCell ref="B197:U197"/>
    <mergeCell ref="B179:B180"/>
    <mergeCell ref="D179:D180"/>
    <mergeCell ref="W717:W718"/>
    <mergeCell ref="B160:U160"/>
    <mergeCell ref="C179:C180"/>
    <mergeCell ref="A148:A149"/>
    <mergeCell ref="C148:C149"/>
    <mergeCell ref="B129:U129"/>
    <mergeCell ref="N5:N6"/>
    <mergeCell ref="U5:U6"/>
    <mergeCell ref="P5:P6"/>
    <mergeCell ref="O5:O6"/>
    <mergeCell ref="T5:T6"/>
    <mergeCell ref="J5:J6"/>
    <mergeCell ref="D52:D53"/>
    <mergeCell ref="A52:A53"/>
    <mergeCell ref="B52:B53"/>
    <mergeCell ref="C52:C53"/>
    <mergeCell ref="E52:E53"/>
    <mergeCell ref="B64:U64"/>
    <mergeCell ref="W148:W149"/>
    <mergeCell ref="W83:W84"/>
    <mergeCell ref="B117:B118"/>
    <mergeCell ref="C83:C84"/>
    <mergeCell ref="E656:E657"/>
    <mergeCell ref="B557:B558"/>
    <mergeCell ref="C557:C558"/>
    <mergeCell ref="D557:D558"/>
    <mergeCell ref="B569:U569"/>
    <mergeCell ref="B589:B590"/>
    <mergeCell ref="C589:C590"/>
    <mergeCell ref="D589:D590"/>
    <mergeCell ref="B601:U601"/>
    <mergeCell ref="B148:B149"/>
    <mergeCell ref="B98:U98"/>
    <mergeCell ref="B309:B310"/>
    <mergeCell ref="C309:C310"/>
    <mergeCell ref="D309:D310"/>
    <mergeCell ref="D148:D149"/>
    <mergeCell ref="W621:W622"/>
    <mergeCell ref="D621:D622"/>
    <mergeCell ref="C656:C657"/>
    <mergeCell ref="D653:D654"/>
    <mergeCell ref="W656:W657"/>
    <mergeCell ref="A247:A248"/>
    <mergeCell ref="B247:B248"/>
    <mergeCell ref="C247:C248"/>
    <mergeCell ref="D247:D248"/>
    <mergeCell ref="W247:W248"/>
    <mergeCell ref="B259:U259"/>
    <mergeCell ref="A216:A217"/>
    <mergeCell ref="B216:B217"/>
    <mergeCell ref="C216:C217"/>
    <mergeCell ref="D216:D217"/>
    <mergeCell ref="W216:W217"/>
    <mergeCell ref="B228:U228"/>
    <mergeCell ref="A340:A341"/>
    <mergeCell ref="B340:B341"/>
    <mergeCell ref="C340:C341"/>
    <mergeCell ref="D340:D341"/>
    <mergeCell ref="W340:W341"/>
    <mergeCell ref="B352:U352"/>
    <mergeCell ref="W309:W310"/>
    <mergeCell ref="B321:U321"/>
    <mergeCell ref="A278:A279"/>
    <mergeCell ref="B278:B279"/>
    <mergeCell ref="C278:C279"/>
    <mergeCell ref="D278:D279"/>
    <mergeCell ref="W278:W279"/>
    <mergeCell ref="A309:A310"/>
    <mergeCell ref="A371:A372"/>
    <mergeCell ref="B371:B372"/>
    <mergeCell ref="C371:C372"/>
    <mergeCell ref="D371:D372"/>
    <mergeCell ref="W371:W372"/>
    <mergeCell ref="B383:U383"/>
    <mergeCell ref="A433:A434"/>
    <mergeCell ref="B433:B434"/>
    <mergeCell ref="C433:C434"/>
    <mergeCell ref="D433:D434"/>
    <mergeCell ref="W433:W434"/>
    <mergeCell ref="A402:A403"/>
    <mergeCell ref="B402:B403"/>
    <mergeCell ref="C402:C403"/>
    <mergeCell ref="D402:D403"/>
    <mergeCell ref="W402:W403"/>
    <mergeCell ref="B414:U414"/>
    <mergeCell ref="A495:A496"/>
    <mergeCell ref="B495:B496"/>
    <mergeCell ref="C495:C496"/>
    <mergeCell ref="D495:D496"/>
    <mergeCell ref="W495:W496"/>
    <mergeCell ref="A464:A465"/>
    <mergeCell ref="B464:B465"/>
    <mergeCell ref="C464:C465"/>
    <mergeCell ref="D464:D465"/>
    <mergeCell ref="W464:W465"/>
    <mergeCell ref="A526:A527"/>
    <mergeCell ref="B526:B527"/>
    <mergeCell ref="C526:C527"/>
    <mergeCell ref="D526:D527"/>
    <mergeCell ref="W526:W527"/>
    <mergeCell ref="A621:A622"/>
    <mergeCell ref="A656:A657"/>
    <mergeCell ref="C653:C654"/>
    <mergeCell ref="B656:B657"/>
    <mergeCell ref="C621:C622"/>
    <mergeCell ref="A557:A558"/>
    <mergeCell ref="W557:W558"/>
    <mergeCell ref="A589:A590"/>
    <mergeCell ref="W589:W590"/>
  </mergeCells>
  <phoneticPr fontId="4" type="noConversion"/>
  <conditionalFormatting sqref="Z53">
    <cfRule type="cellIs" dxfId="0" priority="1" stopIfTrue="1" operator="greaterThan">
      <formula>Y53*(-1)</formula>
    </cfRule>
  </conditionalFormatting>
  <pageMargins left="0.78740157480314965" right="0.78740157480314965" top="1.1811023622047245" bottom="0.39370078740157483" header="0.51181102362204722" footer="0.51181102362204722"/>
  <pageSetup paperSize="9" scale="95" orientation="landscape" r:id="rId1"/>
  <headerFooter alignWithMargins="0"/>
  <rowBreaks count="1" manualBreakCount="1">
    <brk id="339" max="16383" man="1"/>
  </rowBreaks>
  <colBreaks count="1" manualBreakCount="1">
    <brk id="23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outlinePr summaryBelow="0" summaryRight="0"/>
  </sheetPr>
  <dimension ref="A1:AM872"/>
  <sheetViews>
    <sheetView zoomScale="85" zoomScaleNormal="85" workbookViewId="0">
      <pane ySplit="8" topLeftCell="A9" activePane="bottomLeft" state="frozen"/>
      <selection pane="bottomLeft" activeCell="B9" sqref="B9:B10"/>
    </sheetView>
  </sheetViews>
  <sheetFormatPr defaultColWidth="9.109375" defaultRowHeight="13.2" outlineLevelRow="1" x14ac:dyDescent="0.25"/>
  <cols>
    <col min="1" max="1" width="2.88671875" style="3" customWidth="1"/>
    <col min="2" max="2" width="30" style="4" customWidth="1"/>
    <col min="3" max="3" width="5.5546875" style="5" customWidth="1"/>
    <col min="4" max="4" width="3.6640625" style="5" customWidth="1"/>
    <col min="5" max="5" width="3.44140625" style="5" customWidth="1"/>
    <col min="6" max="6" width="6" style="5" customWidth="1"/>
    <col min="7" max="7" width="5.109375" style="6" customWidth="1"/>
    <col min="8" max="8" width="5.33203125" style="6" customWidth="1"/>
    <col min="9" max="9" width="4.33203125" style="6" customWidth="1"/>
    <col min="10" max="10" width="8.109375" style="7" customWidth="1"/>
    <col min="11" max="11" width="7" style="8" customWidth="1"/>
    <col min="12" max="12" width="5.6640625" style="8" customWidth="1"/>
    <col min="13" max="13" width="6.44140625" style="8" customWidth="1"/>
    <col min="14" max="14" width="4.5546875" style="8" customWidth="1"/>
    <col min="15" max="15" width="6.5546875" style="8" customWidth="1"/>
    <col min="16" max="16" width="6.33203125" style="5" customWidth="1"/>
    <col min="17" max="17" width="5.109375" style="5" customWidth="1"/>
    <col min="18" max="18" width="5.44140625" style="8" customWidth="1"/>
    <col min="19" max="19" width="6.6640625" style="5" customWidth="1"/>
    <col min="20" max="20" width="4.88671875" style="5" customWidth="1"/>
    <col min="21" max="21" width="4.88671875" style="8" customWidth="1"/>
    <col min="22" max="22" width="7.6640625" style="9" customWidth="1"/>
    <col min="23" max="23" width="8.44140625" style="5" customWidth="1"/>
    <col min="24" max="24" width="7.109375" style="6" customWidth="1"/>
    <col min="25" max="25" width="10.109375" style="6" customWidth="1"/>
    <col min="26" max="26" width="9.88671875" style="8" customWidth="1"/>
    <col min="27" max="27" width="5" style="10" customWidth="1"/>
    <col min="28" max="28" width="10.5546875" style="8" customWidth="1"/>
    <col min="29" max="29" width="6.88671875" style="8" customWidth="1"/>
    <col min="30" max="30" width="9.88671875" style="8" customWidth="1"/>
    <col min="31" max="31" width="6" style="5" customWidth="1"/>
    <col min="32" max="32" width="8.5546875" style="8" customWidth="1"/>
    <col min="33" max="33" width="5.33203125" style="11" hidden="1" customWidth="1"/>
    <col min="34" max="34" width="5" style="12" customWidth="1"/>
    <col min="35" max="35" width="6.109375" style="8" customWidth="1"/>
    <col min="36" max="36" width="4.6640625" style="6" customWidth="1"/>
    <col min="37" max="37" width="5.6640625" style="6" customWidth="1"/>
    <col min="38" max="38" width="6.88671875" style="6" customWidth="1"/>
    <col min="39" max="39" width="5.44140625" style="6" customWidth="1"/>
    <col min="40" max="40" width="5.88671875" style="6" customWidth="1"/>
    <col min="41" max="41" width="5.6640625" style="6" customWidth="1"/>
    <col min="42" max="42" width="6.44140625" style="6" customWidth="1"/>
    <col min="43" max="16384" width="9.109375" style="6"/>
  </cols>
  <sheetData>
    <row r="1" spans="1:39" s="13" customFormat="1" x14ac:dyDescent="0.25">
      <c r="A1" s="176" t="s">
        <v>39</v>
      </c>
      <c r="B1" s="176"/>
      <c r="C1" s="56"/>
      <c r="D1" s="57"/>
      <c r="E1" s="58"/>
      <c r="F1" s="59"/>
      <c r="G1" s="60"/>
      <c r="H1" s="60"/>
      <c r="I1" s="86"/>
      <c r="J1" s="60" t="s">
        <v>40</v>
      </c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5" t="s">
        <v>55</v>
      </c>
      <c r="X1" s="1"/>
      <c r="Y1" s="1"/>
      <c r="Z1" s="23"/>
      <c r="AA1" s="22"/>
      <c r="AB1" s="23"/>
      <c r="AC1" s="23"/>
      <c r="AD1" s="23"/>
      <c r="AE1" s="20"/>
      <c r="AF1" s="23"/>
      <c r="AG1" s="27"/>
      <c r="AH1" s="28"/>
      <c r="AI1" s="23"/>
    </row>
    <row r="2" spans="1:39" s="13" customFormat="1" x14ac:dyDescent="0.25">
      <c r="A2" s="177" t="s">
        <v>41</v>
      </c>
      <c r="B2" s="177"/>
      <c r="C2" s="177"/>
      <c r="D2" s="177"/>
      <c r="E2" s="58"/>
      <c r="F2" s="59"/>
      <c r="G2" s="86"/>
      <c r="H2" s="60"/>
      <c r="I2" s="86"/>
      <c r="J2" s="60" t="s">
        <v>42</v>
      </c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1"/>
      <c r="Y2" s="74"/>
      <c r="Z2" s="23"/>
      <c r="AA2" s="22"/>
      <c r="AB2" s="23"/>
      <c r="AC2" s="23"/>
      <c r="AD2" s="23"/>
      <c r="AE2" s="20"/>
      <c r="AF2" s="23"/>
      <c r="AG2" s="27"/>
      <c r="AH2" s="28"/>
      <c r="AI2" s="23"/>
    </row>
    <row r="3" spans="1:39" s="13" customFormat="1" x14ac:dyDescent="0.25">
      <c r="A3" s="64"/>
      <c r="B3" s="64"/>
      <c r="C3" s="94"/>
      <c r="D3" s="89" t="s">
        <v>56</v>
      </c>
      <c r="E3" s="58"/>
      <c r="F3" s="59"/>
      <c r="G3" s="86"/>
      <c r="H3" s="60"/>
      <c r="I3" s="86"/>
      <c r="J3" s="60" t="s">
        <v>43</v>
      </c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170" t="s">
        <v>45</v>
      </c>
      <c r="W3" s="170"/>
      <c r="X3" s="1"/>
      <c r="Y3" s="1"/>
      <c r="Z3" s="100"/>
      <c r="AA3" s="22"/>
      <c r="AB3" s="23"/>
      <c r="AC3" s="23"/>
      <c r="AD3" s="23"/>
      <c r="AE3" s="20"/>
      <c r="AF3" s="23"/>
      <c r="AG3" s="27"/>
      <c r="AH3" s="28"/>
      <c r="AI3" s="23"/>
    </row>
    <row r="4" spans="1:39" s="13" customFormat="1" ht="13.8" thickBot="1" x14ac:dyDescent="0.3">
      <c r="A4" s="171" t="s">
        <v>63</v>
      </c>
      <c r="B4" s="171"/>
      <c r="C4" s="55"/>
      <c r="D4" s="65"/>
      <c r="E4" s="58"/>
      <c r="F4" s="59"/>
      <c r="G4" s="86"/>
      <c r="H4" s="60"/>
      <c r="I4" s="86"/>
      <c r="J4" s="60" t="s">
        <v>54</v>
      </c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  <c r="W4" s="86"/>
      <c r="X4" s="1"/>
      <c r="Y4" s="1"/>
      <c r="Z4" s="100"/>
    </row>
    <row r="5" spans="1:39" s="13" customFormat="1" ht="13.5" customHeight="1" thickBot="1" x14ac:dyDescent="0.3">
      <c r="A5" s="194" t="s">
        <v>16</v>
      </c>
      <c r="B5" s="196" t="s">
        <v>4</v>
      </c>
      <c r="C5" s="186" t="s">
        <v>17</v>
      </c>
      <c r="D5" s="186" t="s">
        <v>18</v>
      </c>
      <c r="E5" s="186" t="s">
        <v>19</v>
      </c>
      <c r="F5" s="186" t="s">
        <v>20</v>
      </c>
      <c r="G5" s="186" t="s">
        <v>5</v>
      </c>
      <c r="H5" s="186" t="s">
        <v>21</v>
      </c>
      <c r="I5" s="186" t="s">
        <v>22</v>
      </c>
      <c r="J5" s="186" t="s">
        <v>13</v>
      </c>
      <c r="K5" s="186" t="s">
        <v>52</v>
      </c>
      <c r="L5" s="186" t="s">
        <v>6</v>
      </c>
      <c r="M5" s="186" t="s">
        <v>10</v>
      </c>
      <c r="N5" s="186" t="s">
        <v>11</v>
      </c>
      <c r="O5" s="186" t="s">
        <v>1</v>
      </c>
      <c r="P5" s="186" t="s">
        <v>0</v>
      </c>
      <c r="Q5" s="198" t="s">
        <v>14</v>
      </c>
      <c r="R5" s="199"/>
      <c r="S5" s="188" t="s">
        <v>3</v>
      </c>
      <c r="T5" s="186" t="s">
        <v>23</v>
      </c>
      <c r="U5" s="186" t="s">
        <v>59</v>
      </c>
      <c r="V5" s="186" t="s">
        <v>24</v>
      </c>
      <c r="W5" s="192" t="s">
        <v>30</v>
      </c>
      <c r="X5" s="1"/>
      <c r="Y5" s="1"/>
    </row>
    <row r="6" spans="1:39" s="13" customFormat="1" ht="95.25" customHeight="1" thickBot="1" x14ac:dyDescent="0.3">
      <c r="A6" s="195"/>
      <c r="B6" s="197"/>
      <c r="C6" s="191"/>
      <c r="D6" s="191"/>
      <c r="E6" s="191"/>
      <c r="F6" s="191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69" t="s">
        <v>25</v>
      </c>
      <c r="R6" s="69" t="s">
        <v>26</v>
      </c>
      <c r="S6" s="189"/>
      <c r="T6" s="187"/>
      <c r="U6" s="187"/>
      <c r="V6" s="187"/>
      <c r="W6" s="193"/>
      <c r="X6" s="99"/>
      <c r="Y6" s="99"/>
    </row>
    <row r="7" spans="1:39" s="13" customFormat="1" ht="20.25" customHeight="1" thickBot="1" x14ac:dyDescent="0.3">
      <c r="A7" s="195"/>
      <c r="B7" s="197"/>
      <c r="C7" s="191"/>
      <c r="D7" s="191"/>
      <c r="E7" s="191"/>
      <c r="F7" s="191"/>
      <c r="G7" s="70" t="s">
        <v>27</v>
      </c>
      <c r="H7" s="70" t="s">
        <v>27</v>
      </c>
      <c r="I7" s="70" t="s">
        <v>27</v>
      </c>
      <c r="J7" s="70" t="s">
        <v>27</v>
      </c>
      <c r="K7" s="70" t="s">
        <v>27</v>
      </c>
      <c r="L7" s="70" t="s">
        <v>27</v>
      </c>
      <c r="M7" s="70" t="s">
        <v>27</v>
      </c>
      <c r="N7" s="70" t="s">
        <v>27</v>
      </c>
      <c r="O7" s="70" t="s">
        <v>27</v>
      </c>
      <c r="P7" s="70" t="s">
        <v>27</v>
      </c>
      <c r="Q7" s="70" t="s">
        <v>27</v>
      </c>
      <c r="R7" s="70" t="s">
        <v>27</v>
      </c>
      <c r="S7" s="70" t="s">
        <v>27</v>
      </c>
      <c r="T7" s="70" t="s">
        <v>27</v>
      </c>
      <c r="U7" s="70" t="s">
        <v>27</v>
      </c>
      <c r="V7" s="70" t="s">
        <v>27</v>
      </c>
      <c r="W7" s="193"/>
      <c r="AM7" s="52"/>
    </row>
    <row r="8" spans="1:39" s="13" customFormat="1" ht="14.25" customHeight="1" thickBot="1" x14ac:dyDescent="0.3">
      <c r="A8" s="195"/>
      <c r="B8" s="197"/>
      <c r="C8" s="191"/>
      <c r="D8" s="191"/>
      <c r="E8" s="191"/>
      <c r="F8" s="191"/>
      <c r="G8" s="71" t="s">
        <v>28</v>
      </c>
      <c r="H8" s="71" t="s">
        <v>28</v>
      </c>
      <c r="I8" s="71" t="s">
        <v>28</v>
      </c>
      <c r="J8" s="71" t="s">
        <v>28</v>
      </c>
      <c r="K8" s="71" t="s">
        <v>28</v>
      </c>
      <c r="L8" s="71" t="s">
        <v>28</v>
      </c>
      <c r="M8" s="71" t="s">
        <v>28</v>
      </c>
      <c r="N8" s="71" t="s">
        <v>28</v>
      </c>
      <c r="O8" s="71" t="s">
        <v>28</v>
      </c>
      <c r="P8" s="71" t="s">
        <v>28</v>
      </c>
      <c r="Q8" s="71" t="s">
        <v>28</v>
      </c>
      <c r="R8" s="71" t="s">
        <v>28</v>
      </c>
      <c r="S8" s="71" t="s">
        <v>28</v>
      </c>
      <c r="T8" s="71" t="s">
        <v>28</v>
      </c>
      <c r="U8" s="71" t="s">
        <v>28</v>
      </c>
      <c r="V8" s="71" t="s">
        <v>28</v>
      </c>
      <c r="W8" s="193"/>
      <c r="AM8" s="52"/>
    </row>
    <row r="9" spans="1:39" s="1" customFormat="1" x14ac:dyDescent="0.25">
      <c r="A9" s="164">
        <v>1</v>
      </c>
      <c r="B9" s="147" t="s">
        <v>198</v>
      </c>
      <c r="C9" s="153" t="s">
        <v>9</v>
      </c>
      <c r="D9" s="156" t="s">
        <v>12</v>
      </c>
      <c r="E9" s="90" t="s">
        <v>15</v>
      </c>
      <c r="F9" s="92">
        <v>0.5</v>
      </c>
      <c r="G9" s="72">
        <f t="shared" ref="G9:U9" si="0">SUM(G11:G20)</f>
        <v>30</v>
      </c>
      <c r="H9" s="72">
        <f t="shared" si="0"/>
        <v>60</v>
      </c>
      <c r="I9" s="72">
        <f t="shared" si="0"/>
        <v>0</v>
      </c>
      <c r="J9" s="72">
        <f t="shared" si="0"/>
        <v>1.6</v>
      </c>
      <c r="K9" s="72">
        <f t="shared" si="0"/>
        <v>0</v>
      </c>
      <c r="L9" s="72">
        <f t="shared" si="0"/>
        <v>0</v>
      </c>
      <c r="M9" s="72">
        <f t="shared" si="0"/>
        <v>2</v>
      </c>
      <c r="N9" s="72">
        <f t="shared" si="0"/>
        <v>0</v>
      </c>
      <c r="O9" s="72">
        <f t="shared" si="0"/>
        <v>0</v>
      </c>
      <c r="P9" s="72">
        <f t="shared" si="0"/>
        <v>8</v>
      </c>
      <c r="Q9" s="72">
        <f t="shared" si="0"/>
        <v>0</v>
      </c>
      <c r="R9" s="72">
        <f t="shared" si="0"/>
        <v>0</v>
      </c>
      <c r="S9" s="72">
        <f t="shared" si="0"/>
        <v>0</v>
      </c>
      <c r="T9" s="72">
        <f t="shared" si="0"/>
        <v>0</v>
      </c>
      <c r="U9" s="72">
        <f t="shared" si="0"/>
        <v>0</v>
      </c>
      <c r="V9" s="72">
        <f>SUM(V11:V20)</f>
        <v>101.6</v>
      </c>
      <c r="W9" s="168">
        <f>V9+V10</f>
        <v>405.15</v>
      </c>
    </row>
    <row r="10" spans="1:39" s="1" customFormat="1" ht="18" customHeight="1" collapsed="1" thickBot="1" x14ac:dyDescent="0.3">
      <c r="A10" s="165"/>
      <c r="B10" s="148"/>
      <c r="C10" s="154"/>
      <c r="D10" s="157"/>
      <c r="E10" s="91"/>
      <c r="F10" s="93"/>
      <c r="G10" s="73">
        <f t="shared" ref="G10:U10" si="1">SUM(G22:G39)</f>
        <v>66</v>
      </c>
      <c r="H10" s="79">
        <f t="shared" si="1"/>
        <v>220</v>
      </c>
      <c r="I10" s="79">
        <f t="shared" si="1"/>
        <v>0</v>
      </c>
      <c r="J10" s="73">
        <f t="shared" si="1"/>
        <v>1.6</v>
      </c>
      <c r="K10" s="73">
        <f t="shared" si="1"/>
        <v>0</v>
      </c>
      <c r="L10" s="73">
        <f t="shared" si="1"/>
        <v>0</v>
      </c>
      <c r="M10" s="73">
        <f t="shared" si="1"/>
        <v>2</v>
      </c>
      <c r="N10" s="73">
        <f t="shared" si="1"/>
        <v>0</v>
      </c>
      <c r="O10" s="73">
        <f t="shared" si="1"/>
        <v>5.95</v>
      </c>
      <c r="P10" s="73">
        <f t="shared" si="1"/>
        <v>8</v>
      </c>
      <c r="Q10" s="73">
        <f t="shared" si="1"/>
        <v>0</v>
      </c>
      <c r="R10" s="73">
        <f t="shared" si="1"/>
        <v>0</v>
      </c>
      <c r="S10" s="73">
        <f t="shared" si="1"/>
        <v>0</v>
      </c>
      <c r="T10" s="73">
        <f t="shared" si="1"/>
        <v>0</v>
      </c>
      <c r="U10" s="73">
        <f t="shared" si="1"/>
        <v>0</v>
      </c>
      <c r="V10" s="73">
        <f>SUM(V22:V39)</f>
        <v>303.54999999999995</v>
      </c>
      <c r="W10" s="169"/>
      <c r="Y10" s="74"/>
      <c r="Z10" s="74"/>
      <c r="AB10" s="74"/>
      <c r="AD10" s="74"/>
    </row>
    <row r="11" spans="1:39" s="1" customFormat="1" hidden="1" outlineLevel="1" x14ac:dyDescent="0.25">
      <c r="A11" t="s">
        <v>223</v>
      </c>
      <c r="B11" t="s">
        <v>179</v>
      </c>
      <c r="C11">
        <v>4</v>
      </c>
      <c r="D11"/>
      <c r="E11"/>
      <c r="F11"/>
      <c r="G11">
        <v>30</v>
      </c>
      <c r="H11">
        <v>60</v>
      </c>
      <c r="I11"/>
      <c r="J11">
        <v>1.6</v>
      </c>
      <c r="K11"/>
      <c r="L11"/>
      <c r="M11">
        <v>2</v>
      </c>
      <c r="N11"/>
      <c r="O11"/>
      <c r="P11">
        <v>8</v>
      </c>
      <c r="Q11"/>
      <c r="R11"/>
      <c r="S11"/>
      <c r="T11"/>
      <c r="U11"/>
      <c r="V11" s="51">
        <f>SUM(G11:U11)</f>
        <v>101.6</v>
      </c>
      <c r="W11" s="2"/>
      <c r="Y11" s="74"/>
      <c r="AB11" s="74"/>
      <c r="AD11" s="74"/>
    </row>
    <row r="12" spans="1:39" s="1" customFormat="1" hidden="1" outlineLevel="1" x14ac:dyDescent="0.25">
      <c r="A12" s="2"/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>
        <f>SUM(G12:U12)</f>
        <v>0</v>
      </c>
      <c r="W12" s="2"/>
      <c r="Y12" s="74"/>
      <c r="AB12" s="74"/>
      <c r="AD12" s="74"/>
    </row>
    <row r="13" spans="1:39" s="1" customFormat="1" hidden="1" outlineLevel="1" x14ac:dyDescent="0.25">
      <c r="A13" s="2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>
        <f t="shared" ref="V13:V20" si="2">SUM(G13:U13)</f>
        <v>0</v>
      </c>
      <c r="W13" s="2"/>
      <c r="Y13" s="74"/>
      <c r="AB13" s="74"/>
      <c r="AD13" s="74"/>
    </row>
    <row r="14" spans="1:39" s="1" customFormat="1" hidden="1" outlineLevel="1" x14ac:dyDescent="0.25">
      <c r="A14" s="2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>
        <f t="shared" si="2"/>
        <v>0</v>
      </c>
      <c r="W14" s="2"/>
      <c r="Y14" s="74"/>
      <c r="AB14" s="74"/>
      <c r="AD14" s="74"/>
    </row>
    <row r="15" spans="1:39" s="1" customFormat="1" hidden="1" outlineLevel="1" x14ac:dyDescent="0.25">
      <c r="A15" s="2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>
        <f t="shared" si="2"/>
        <v>0</v>
      </c>
      <c r="W15" s="2"/>
      <c r="Y15" s="74"/>
      <c r="AB15" s="74"/>
      <c r="AD15" s="74"/>
    </row>
    <row r="16" spans="1:39" s="1" customFormat="1" hidden="1" outlineLevel="1" x14ac:dyDescent="0.25">
      <c r="A16" s="2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>
        <f t="shared" si="2"/>
        <v>0</v>
      </c>
      <c r="W16" s="2"/>
      <c r="Y16" s="74"/>
      <c r="AB16" s="74"/>
      <c r="AD16" s="74"/>
    </row>
    <row r="17" spans="1:30" s="1" customFormat="1" hidden="1" outlineLevel="1" x14ac:dyDescent="0.25">
      <c r="A17" s="2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>
        <f t="shared" si="2"/>
        <v>0</v>
      </c>
      <c r="W17" s="2"/>
      <c r="Y17" s="74"/>
      <c r="AB17" s="74"/>
      <c r="AD17" s="74"/>
    </row>
    <row r="18" spans="1:30" s="1" customFormat="1" hidden="1" outlineLevel="1" x14ac:dyDescent="0.25">
      <c r="A18" s="2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>
        <f t="shared" si="2"/>
        <v>0</v>
      </c>
      <c r="W18" s="2"/>
      <c r="Y18" s="74"/>
      <c r="AB18" s="74"/>
      <c r="AD18" s="74"/>
    </row>
    <row r="19" spans="1:30" s="1" customFormat="1" hidden="1" outlineLevel="1" x14ac:dyDescent="0.25">
      <c r="A19" s="2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>
        <f t="shared" si="2"/>
        <v>0</v>
      </c>
      <c r="W19" s="2"/>
      <c r="Y19" s="74"/>
      <c r="AB19" s="74"/>
      <c r="AD19" s="74"/>
    </row>
    <row r="20" spans="1:30" s="1" customFormat="1" hidden="1" outlineLevel="1" x14ac:dyDescent="0.25">
      <c r="A20" s="2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>
        <f t="shared" si="2"/>
        <v>0</v>
      </c>
      <c r="W20" s="2"/>
      <c r="Y20" s="74"/>
      <c r="AB20" s="74"/>
      <c r="AD20" s="74"/>
    </row>
    <row r="21" spans="1:30" s="1" customFormat="1" hidden="1" outlineLevel="1" x14ac:dyDescent="0.25">
      <c r="A21" s="2"/>
      <c r="B21" s="185" t="s">
        <v>29</v>
      </c>
      <c r="C21" s="185"/>
      <c r="D21" s="185"/>
      <c r="E21" s="185"/>
      <c r="F21" s="185"/>
      <c r="G21" s="185"/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87"/>
      <c r="W21" s="2"/>
      <c r="Y21" s="74"/>
      <c r="AB21" s="74"/>
      <c r="AD21" s="74"/>
    </row>
    <row r="22" spans="1:30" s="1" customFormat="1" ht="39.6" hidden="1" outlineLevel="1" x14ac:dyDescent="0.25">
      <c r="A22" s="2" t="s">
        <v>223</v>
      </c>
      <c r="B22" s="82" t="s">
        <v>190</v>
      </c>
      <c r="C22" s="51">
        <v>4</v>
      </c>
      <c r="D22" s="51"/>
      <c r="E22" s="51"/>
      <c r="F22" s="51"/>
      <c r="G22" s="20">
        <v>22</v>
      </c>
      <c r="H22" s="21">
        <v>132</v>
      </c>
      <c r="I22" s="21"/>
      <c r="J22" s="23">
        <v>1.6</v>
      </c>
      <c r="K22" s="51"/>
      <c r="L22" s="32"/>
      <c r="M22" s="22">
        <v>2</v>
      </c>
      <c r="N22" s="51"/>
      <c r="O22" s="81"/>
      <c r="P22" s="22">
        <v>8</v>
      </c>
      <c r="Q22" s="51"/>
      <c r="R22" s="51"/>
      <c r="S22" s="51"/>
      <c r="T22" s="51"/>
      <c r="U22" s="51"/>
      <c r="V22" s="51">
        <f>SUM(G22:U22)</f>
        <v>165.6</v>
      </c>
      <c r="W22" s="2"/>
      <c r="Y22" s="74"/>
      <c r="AB22" s="74"/>
      <c r="AD22" s="74"/>
    </row>
    <row r="23" spans="1:30" s="1" customFormat="1" ht="39.6" hidden="1" outlineLevel="1" x14ac:dyDescent="0.25">
      <c r="A23" s="2" t="s">
        <v>223</v>
      </c>
      <c r="B23" s="82" t="s">
        <v>194</v>
      </c>
      <c r="C23" s="51">
        <v>4</v>
      </c>
      <c r="D23" s="51"/>
      <c r="E23" s="51"/>
      <c r="F23" s="51"/>
      <c r="G23" s="20">
        <v>44</v>
      </c>
      <c r="H23" s="21">
        <v>88</v>
      </c>
      <c r="I23" s="21"/>
      <c r="J23" s="23"/>
      <c r="K23" s="51"/>
      <c r="L23" s="32"/>
      <c r="M23" s="22"/>
      <c r="N23" s="51"/>
      <c r="O23" s="81">
        <v>5.95</v>
      </c>
      <c r="P23" s="22"/>
      <c r="Q23" s="51"/>
      <c r="R23" s="51"/>
      <c r="S23" s="51"/>
      <c r="T23" s="51"/>
      <c r="U23" s="51"/>
      <c r="V23" s="51">
        <f>SUM(G23:U23)</f>
        <v>137.94999999999999</v>
      </c>
      <c r="W23" s="2"/>
      <c r="Y23" s="74"/>
      <c r="AB23" s="74"/>
      <c r="AD23" s="74"/>
    </row>
    <row r="24" spans="1:30" s="1" customFormat="1" hidden="1" outlineLevel="1" x14ac:dyDescent="0.25">
      <c r="A24" s="2"/>
      <c r="B24" s="51"/>
      <c r="C24" s="51"/>
      <c r="D24" s="51"/>
      <c r="E24" s="51"/>
      <c r="F24" s="51"/>
      <c r="G24" s="51"/>
      <c r="H24" s="80"/>
      <c r="I24" s="51"/>
      <c r="J24" s="51"/>
      <c r="K24" s="51"/>
      <c r="L24" s="51"/>
      <c r="M24" s="51"/>
      <c r="N24" s="81"/>
      <c r="O24" s="51"/>
      <c r="P24" s="51"/>
      <c r="Q24" s="51"/>
      <c r="R24" s="51"/>
      <c r="S24" s="51"/>
      <c r="T24" s="51"/>
      <c r="U24" s="51"/>
      <c r="V24" s="51">
        <f>SUM(G24:U24)</f>
        <v>0</v>
      </c>
      <c r="W24" s="2"/>
      <c r="Y24" s="74"/>
      <c r="AB24" s="74"/>
      <c r="AD24" s="74"/>
    </row>
    <row r="25" spans="1:30" s="1" customFormat="1" hidden="1" outlineLevel="1" x14ac:dyDescent="0.25">
      <c r="A25" s="2"/>
      <c r="B25" s="51"/>
      <c r="C25" s="51"/>
      <c r="D25" s="51"/>
      <c r="E25" s="51"/>
      <c r="F25" s="51"/>
      <c r="G25" s="51"/>
      <c r="H25" s="80"/>
      <c r="I25" s="51"/>
      <c r="J25" s="51"/>
      <c r="K25" s="51"/>
      <c r="L25" s="51"/>
      <c r="M25" s="51"/>
      <c r="N25" s="81"/>
      <c r="O25" s="51"/>
      <c r="P25" s="51"/>
      <c r="Q25" s="51"/>
      <c r="R25" s="51"/>
      <c r="S25" s="51"/>
      <c r="T25" s="51"/>
      <c r="U25" s="51"/>
      <c r="V25" s="51">
        <f>SUM(G25:U25)</f>
        <v>0</v>
      </c>
      <c r="W25" s="2"/>
      <c r="Y25" s="74"/>
      <c r="AB25" s="74"/>
      <c r="AD25" s="74"/>
    </row>
    <row r="26" spans="1:30" s="1" customFormat="1" hidden="1" outlineLevel="1" x14ac:dyDescent="0.25">
      <c r="A26" s="2"/>
      <c r="B26" s="51"/>
      <c r="C26" s="51"/>
      <c r="D26" s="51"/>
      <c r="E26" s="51"/>
      <c r="F26" s="51"/>
      <c r="G26" s="51"/>
      <c r="H26" s="80"/>
      <c r="I26" s="51"/>
      <c r="J26" s="51"/>
      <c r="K26" s="51"/>
      <c r="L26" s="51"/>
      <c r="M26" s="51"/>
      <c r="N26" s="81"/>
      <c r="O26" s="51"/>
      <c r="P26" s="51"/>
      <c r="Q26" s="51"/>
      <c r="R26" s="51"/>
      <c r="S26" s="81"/>
      <c r="T26" s="51"/>
      <c r="U26" s="51"/>
      <c r="V26" s="51">
        <f>SUM(G26:U26)</f>
        <v>0</v>
      </c>
      <c r="W26" s="2"/>
      <c r="Y26" s="74"/>
      <c r="AB26" s="74"/>
      <c r="AD26" s="74"/>
    </row>
    <row r="27" spans="1:30" s="1" customFormat="1" hidden="1" outlineLevel="1" x14ac:dyDescent="0.25">
      <c r="V27" s="51">
        <f t="shared" ref="V27:V38" si="3">SUM(G27:U27)</f>
        <v>0</v>
      </c>
      <c r="W27" s="2"/>
      <c r="Y27" s="74"/>
      <c r="AB27" s="74"/>
      <c r="AD27" s="74"/>
    </row>
    <row r="28" spans="1:30" s="1" customFormat="1" hidden="1" outlineLevel="1" x14ac:dyDescent="0.25">
      <c r="V28" s="51">
        <f t="shared" si="3"/>
        <v>0</v>
      </c>
      <c r="W28" s="2"/>
      <c r="Y28" s="74"/>
      <c r="AB28" s="74"/>
      <c r="AD28" s="74"/>
    </row>
    <row r="29" spans="1:30" s="1" customFormat="1" hidden="1" outlineLevel="1" x14ac:dyDescent="0.25">
      <c r="A29" s="2"/>
      <c r="B29" s="51"/>
      <c r="C29" s="51"/>
      <c r="D29" s="51"/>
      <c r="E29" s="51"/>
      <c r="F29" s="51"/>
      <c r="G29" s="51"/>
      <c r="H29" s="80"/>
      <c r="I29" s="51"/>
      <c r="J29" s="51"/>
      <c r="K29" s="51"/>
      <c r="L29" s="51"/>
      <c r="M29" s="51"/>
      <c r="N29" s="81"/>
      <c r="O29" s="51"/>
      <c r="P29" s="51"/>
      <c r="Q29" s="51"/>
      <c r="R29" s="51"/>
      <c r="S29" s="81"/>
      <c r="T29" s="51"/>
      <c r="U29" s="51"/>
      <c r="V29" s="51">
        <f t="shared" si="3"/>
        <v>0</v>
      </c>
      <c r="W29" s="2"/>
      <c r="Y29" s="74"/>
      <c r="AB29" s="74"/>
      <c r="AD29" s="74"/>
    </row>
    <row r="30" spans="1:30" s="1" customFormat="1" hidden="1" outlineLevel="1" x14ac:dyDescent="0.25">
      <c r="A30" s="2"/>
      <c r="B30" s="51"/>
      <c r="C30" s="51"/>
      <c r="D30" s="51"/>
      <c r="E30" s="51"/>
      <c r="F30" s="51"/>
      <c r="G30" s="51"/>
      <c r="H30" s="80"/>
      <c r="I30" s="51"/>
      <c r="J30" s="51"/>
      <c r="K30" s="51"/>
      <c r="L30" s="51"/>
      <c r="M30" s="51"/>
      <c r="N30" s="81"/>
      <c r="O30" s="51"/>
      <c r="P30" s="51"/>
      <c r="Q30" s="51"/>
      <c r="R30" s="51"/>
      <c r="S30" s="81"/>
      <c r="T30" s="51"/>
      <c r="U30" s="51"/>
      <c r="V30" s="51">
        <f t="shared" si="3"/>
        <v>0</v>
      </c>
      <c r="W30" s="2"/>
      <c r="Y30" s="74"/>
      <c r="AB30" s="74"/>
      <c r="AD30" s="74"/>
    </row>
    <row r="31" spans="1:30" s="1" customFormat="1" hidden="1" outlineLevel="1" x14ac:dyDescent="0.25">
      <c r="A31" s="2"/>
      <c r="B31" s="51"/>
      <c r="C31" s="51"/>
      <c r="D31" s="51"/>
      <c r="E31" s="51"/>
      <c r="F31" s="51"/>
      <c r="G31" s="51"/>
      <c r="H31" s="80"/>
      <c r="I31" s="51"/>
      <c r="J31" s="51"/>
      <c r="K31" s="51"/>
      <c r="L31" s="51"/>
      <c r="M31" s="51"/>
      <c r="N31" s="81"/>
      <c r="O31" s="51"/>
      <c r="P31" s="51"/>
      <c r="Q31" s="51"/>
      <c r="R31" s="51"/>
      <c r="S31" s="81"/>
      <c r="T31" s="51"/>
      <c r="U31" s="51"/>
      <c r="V31" s="51">
        <f t="shared" si="3"/>
        <v>0</v>
      </c>
      <c r="W31" s="2"/>
      <c r="Y31" s="74"/>
      <c r="AB31" s="74"/>
      <c r="AD31" s="74"/>
    </row>
    <row r="32" spans="1:30" s="1" customFormat="1" hidden="1" outlineLevel="1" x14ac:dyDescent="0.25">
      <c r="A32" s="2"/>
      <c r="B32" s="51"/>
      <c r="C32" s="51"/>
      <c r="D32" s="51"/>
      <c r="E32" s="51"/>
      <c r="F32" s="51"/>
      <c r="G32" s="51"/>
      <c r="H32" s="80"/>
      <c r="I32" s="51"/>
      <c r="J32" s="51"/>
      <c r="K32" s="51"/>
      <c r="L32" s="51"/>
      <c r="M32" s="51"/>
      <c r="N32" s="81"/>
      <c r="O32" s="51"/>
      <c r="P32" s="51"/>
      <c r="Q32" s="51"/>
      <c r="R32" s="51"/>
      <c r="S32" s="81"/>
      <c r="T32" s="51"/>
      <c r="U32" s="51"/>
      <c r="V32" s="51">
        <f t="shared" si="3"/>
        <v>0</v>
      </c>
      <c r="W32" s="2"/>
      <c r="Y32" s="74"/>
      <c r="AB32" s="74"/>
      <c r="AD32" s="74"/>
    </row>
    <row r="33" spans="1:39" s="1" customFormat="1" hidden="1" outlineLevel="1" x14ac:dyDescent="0.25">
      <c r="A33" s="2"/>
      <c r="B33" s="51"/>
      <c r="C33" s="51"/>
      <c r="D33" s="51"/>
      <c r="E33" s="51"/>
      <c r="F33" s="51"/>
      <c r="G33" s="51"/>
      <c r="H33" s="80"/>
      <c r="I33" s="51"/>
      <c r="J33" s="51"/>
      <c r="K33" s="51"/>
      <c r="L33" s="51"/>
      <c r="M33" s="51"/>
      <c r="N33" s="81"/>
      <c r="O33" s="51"/>
      <c r="P33" s="51"/>
      <c r="Q33" s="51"/>
      <c r="R33" s="51"/>
      <c r="S33" s="81"/>
      <c r="T33" s="51"/>
      <c r="U33" s="51"/>
      <c r="V33" s="51">
        <f t="shared" si="3"/>
        <v>0</v>
      </c>
      <c r="W33" s="2"/>
      <c r="Y33" s="74"/>
      <c r="AB33" s="74"/>
      <c r="AD33" s="74"/>
    </row>
    <row r="34" spans="1:39" s="1" customFormat="1" hidden="1" outlineLevel="1" x14ac:dyDescent="0.25">
      <c r="A34" s="2"/>
      <c r="B34" s="51"/>
      <c r="C34" s="51"/>
      <c r="D34" s="51"/>
      <c r="E34" s="51"/>
      <c r="F34" s="51"/>
      <c r="G34" s="51"/>
      <c r="H34" s="80"/>
      <c r="I34" s="51"/>
      <c r="J34" s="51"/>
      <c r="K34" s="51"/>
      <c r="L34" s="51"/>
      <c r="M34" s="51"/>
      <c r="N34" s="81"/>
      <c r="O34" s="51"/>
      <c r="P34" s="51"/>
      <c r="Q34" s="51"/>
      <c r="R34" s="51"/>
      <c r="S34" s="81"/>
      <c r="T34" s="51"/>
      <c r="U34" s="51"/>
      <c r="V34" s="51">
        <f t="shared" si="3"/>
        <v>0</v>
      </c>
      <c r="W34" s="2"/>
      <c r="Y34" s="74"/>
      <c r="AB34" s="74"/>
      <c r="AD34" s="74"/>
    </row>
    <row r="35" spans="1:39" s="1" customFormat="1" hidden="1" outlineLevel="1" x14ac:dyDescent="0.25">
      <c r="A35" s="2"/>
      <c r="B35" s="51"/>
      <c r="C35" s="51"/>
      <c r="D35" s="51"/>
      <c r="E35" s="51"/>
      <c r="F35" s="51"/>
      <c r="G35" s="51"/>
      <c r="H35" s="80"/>
      <c r="I35" s="51"/>
      <c r="J35" s="51"/>
      <c r="K35" s="51"/>
      <c r="L35" s="51"/>
      <c r="M35" s="51"/>
      <c r="N35" s="81"/>
      <c r="O35" s="51"/>
      <c r="P35" s="51"/>
      <c r="Q35" s="51"/>
      <c r="R35" s="51"/>
      <c r="S35" s="81"/>
      <c r="T35" s="51"/>
      <c r="U35" s="51"/>
      <c r="V35" s="51">
        <f t="shared" si="3"/>
        <v>0</v>
      </c>
      <c r="W35" s="2"/>
      <c r="Y35" s="74"/>
      <c r="AB35" s="74"/>
      <c r="AD35" s="74"/>
    </row>
    <row r="36" spans="1:39" s="1" customFormat="1" hidden="1" outlineLevel="1" x14ac:dyDescent="0.25">
      <c r="A36" s="2"/>
      <c r="B36" s="51"/>
      <c r="C36" s="51"/>
      <c r="D36" s="51"/>
      <c r="E36" s="51"/>
      <c r="F36" s="51"/>
      <c r="G36" s="51"/>
      <c r="H36" s="80"/>
      <c r="I36" s="51"/>
      <c r="J36" s="51"/>
      <c r="K36" s="51"/>
      <c r="L36" s="51"/>
      <c r="M36" s="51"/>
      <c r="N36" s="81"/>
      <c r="O36" s="51"/>
      <c r="P36" s="51"/>
      <c r="Q36" s="51"/>
      <c r="R36" s="51"/>
      <c r="S36" s="81"/>
      <c r="T36" s="51"/>
      <c r="U36" s="51"/>
      <c r="V36" s="51">
        <f t="shared" si="3"/>
        <v>0</v>
      </c>
      <c r="W36" s="2"/>
      <c r="Y36" s="74"/>
      <c r="AB36" s="74"/>
      <c r="AD36" s="74"/>
    </row>
    <row r="37" spans="1:39" s="1" customFormat="1" hidden="1" outlineLevel="1" x14ac:dyDescent="0.25">
      <c r="A37" s="2"/>
      <c r="B37" s="51"/>
      <c r="C37" s="51"/>
      <c r="D37" s="51"/>
      <c r="E37" s="51"/>
      <c r="F37" s="51"/>
      <c r="G37" s="51"/>
      <c r="H37" s="80"/>
      <c r="I37" s="51"/>
      <c r="J37" s="51"/>
      <c r="K37" s="51"/>
      <c r="L37" s="51"/>
      <c r="M37" s="51"/>
      <c r="N37" s="81"/>
      <c r="O37" s="51"/>
      <c r="P37" s="51"/>
      <c r="Q37" s="51"/>
      <c r="R37" s="51"/>
      <c r="S37" s="81"/>
      <c r="T37" s="51"/>
      <c r="U37" s="51"/>
      <c r="V37" s="51">
        <f t="shared" si="3"/>
        <v>0</v>
      </c>
      <c r="W37" s="2"/>
      <c r="Y37" s="74"/>
      <c r="AB37" s="74"/>
      <c r="AD37" s="74"/>
    </row>
    <row r="38" spans="1:39" s="1" customFormat="1" hidden="1" outlineLevel="1" x14ac:dyDescent="0.25">
      <c r="A38" s="2"/>
      <c r="B38" s="51"/>
      <c r="C38" s="51"/>
      <c r="D38" s="51"/>
      <c r="E38" s="51"/>
      <c r="F38" s="51"/>
      <c r="G38" s="51"/>
      <c r="H38" s="80"/>
      <c r="I38" s="51"/>
      <c r="J38" s="51"/>
      <c r="K38" s="51"/>
      <c r="L38" s="51"/>
      <c r="M38" s="51"/>
      <c r="N38" s="81"/>
      <c r="O38" s="51"/>
      <c r="P38" s="51"/>
      <c r="Q38" s="51"/>
      <c r="R38" s="51"/>
      <c r="S38" s="81"/>
      <c r="T38" s="51"/>
      <c r="U38" s="51"/>
      <c r="V38" s="51">
        <f t="shared" si="3"/>
        <v>0</v>
      </c>
      <c r="W38" s="2"/>
      <c r="Y38" s="74"/>
      <c r="AB38" s="74"/>
      <c r="AD38" s="74"/>
    </row>
    <row r="39" spans="1:39" ht="15.75" hidden="1" customHeight="1" outlineLevel="1" thickBot="1" x14ac:dyDescent="0.3">
      <c r="A39" s="2"/>
      <c r="B39" s="75"/>
      <c r="C39" s="75"/>
      <c r="D39" s="76"/>
      <c r="E39" s="76"/>
      <c r="F39" s="76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2"/>
      <c r="R39" s="77"/>
      <c r="S39" s="77"/>
      <c r="T39" s="77"/>
      <c r="U39" s="2"/>
      <c r="V39" s="77"/>
      <c r="W39" s="78"/>
      <c r="Y39" s="74"/>
      <c r="Z39" s="6"/>
      <c r="AA39" s="13"/>
      <c r="AB39" s="74"/>
      <c r="AC39" s="6"/>
      <c r="AD39" s="74"/>
      <c r="AE39" s="6"/>
      <c r="AF39" s="6"/>
      <c r="AG39" s="6"/>
      <c r="AH39" s="6"/>
      <c r="AI39" s="6"/>
      <c r="AM39" s="14"/>
    </row>
    <row r="40" spans="1:39" s="1" customFormat="1" x14ac:dyDescent="0.25">
      <c r="A40" s="164">
        <v>2</v>
      </c>
      <c r="B40" s="147" t="s">
        <v>211</v>
      </c>
      <c r="C40" s="153" t="s">
        <v>32</v>
      </c>
      <c r="D40" s="156" t="s">
        <v>12</v>
      </c>
      <c r="E40" s="90" t="s">
        <v>15</v>
      </c>
      <c r="F40" s="92"/>
      <c r="G40" s="72">
        <f t="shared" ref="G40:U40" si="4">SUM(G42:G51)</f>
        <v>0</v>
      </c>
      <c r="H40" s="72">
        <f t="shared" si="4"/>
        <v>0</v>
      </c>
      <c r="I40" s="72">
        <f t="shared" si="4"/>
        <v>0</v>
      </c>
      <c r="J40" s="72">
        <f t="shared" si="4"/>
        <v>0</v>
      </c>
      <c r="K40" s="72">
        <f t="shared" si="4"/>
        <v>0</v>
      </c>
      <c r="L40" s="72">
        <f t="shared" si="4"/>
        <v>0</v>
      </c>
      <c r="M40" s="72">
        <f t="shared" si="4"/>
        <v>0</v>
      </c>
      <c r="N40" s="72">
        <f t="shared" si="4"/>
        <v>0</v>
      </c>
      <c r="O40" s="72">
        <f t="shared" si="4"/>
        <v>0</v>
      </c>
      <c r="P40" s="72">
        <f t="shared" si="4"/>
        <v>0</v>
      </c>
      <c r="Q40" s="72">
        <f t="shared" si="4"/>
        <v>0</v>
      </c>
      <c r="R40" s="72">
        <f t="shared" si="4"/>
        <v>0</v>
      </c>
      <c r="S40" s="72">
        <f t="shared" si="4"/>
        <v>0</v>
      </c>
      <c r="T40" s="72">
        <f t="shared" si="4"/>
        <v>0</v>
      </c>
      <c r="U40" s="72">
        <f t="shared" si="4"/>
        <v>0</v>
      </c>
      <c r="V40" s="72">
        <f>SUM(V42:V51)</f>
        <v>0</v>
      </c>
      <c r="W40" s="168">
        <f>V40+V41</f>
        <v>0</v>
      </c>
      <c r="Y40" s="74"/>
      <c r="AB40" s="74"/>
      <c r="AD40" s="74"/>
    </row>
    <row r="41" spans="1:39" s="1" customFormat="1" ht="13.8" collapsed="1" thickBot="1" x14ac:dyDescent="0.3">
      <c r="A41" s="165"/>
      <c r="B41" s="148"/>
      <c r="C41" s="154"/>
      <c r="D41" s="157"/>
      <c r="E41" s="91"/>
      <c r="F41" s="93"/>
      <c r="G41" s="73">
        <f>SUM(G53:G70)</f>
        <v>0</v>
      </c>
      <c r="H41" s="79">
        <f>SUM(H53:H70)</f>
        <v>0</v>
      </c>
      <c r="I41" s="79">
        <f>SUM(I53:I70)</f>
        <v>0</v>
      </c>
      <c r="J41" s="73">
        <f t="shared" ref="J41:Q41" si="5">SUM(J53:J70)</f>
        <v>0</v>
      </c>
      <c r="K41" s="73">
        <f t="shared" si="5"/>
        <v>0</v>
      </c>
      <c r="L41" s="73">
        <f t="shared" si="5"/>
        <v>0</v>
      </c>
      <c r="M41" s="73">
        <f t="shared" si="5"/>
        <v>0</v>
      </c>
      <c r="N41" s="73">
        <f t="shared" si="5"/>
        <v>0</v>
      </c>
      <c r="O41" s="73">
        <f t="shared" si="5"/>
        <v>0</v>
      </c>
      <c r="P41" s="73">
        <f t="shared" si="5"/>
        <v>0</v>
      </c>
      <c r="Q41" s="73">
        <f t="shared" si="5"/>
        <v>0</v>
      </c>
      <c r="R41" s="73">
        <f>SUM(R53:R70)</f>
        <v>0</v>
      </c>
      <c r="S41" s="73">
        <f>SUM(S53:S70)</f>
        <v>0</v>
      </c>
      <c r="T41" s="73">
        <f>SUM(T53:T70)</f>
        <v>0</v>
      </c>
      <c r="U41" s="73">
        <f>SUM(U53:U70)</f>
        <v>0</v>
      </c>
      <c r="V41" s="73">
        <f>SUM(V53:V70)</f>
        <v>0</v>
      </c>
      <c r="W41" s="169"/>
      <c r="Y41" s="74"/>
      <c r="Z41" s="74"/>
      <c r="AB41" s="74"/>
      <c r="AD41" s="74"/>
    </row>
    <row r="42" spans="1:39" s="1" customFormat="1" hidden="1" outlineLevel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51">
        <f>SUM(G42:U42)</f>
        <v>0</v>
      </c>
      <c r="W42" s="2"/>
      <c r="Y42" s="74"/>
      <c r="AB42" s="74"/>
      <c r="AD42" s="74"/>
    </row>
    <row r="43" spans="1:39" s="1" customFormat="1" hidden="1" outlineLevel="1" x14ac:dyDescent="0.25">
      <c r="A43" s="2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>
        <f>SUM(G43:U43)</f>
        <v>0</v>
      </c>
      <c r="W43" s="2"/>
      <c r="Y43" s="74"/>
      <c r="AB43" s="74"/>
      <c r="AD43" s="74"/>
    </row>
    <row r="44" spans="1:39" s="1" customFormat="1" hidden="1" outlineLevel="1" x14ac:dyDescent="0.25">
      <c r="A44" s="2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>
        <f t="shared" ref="V44:V51" si="6">SUM(G44:U44)</f>
        <v>0</v>
      </c>
      <c r="W44" s="2"/>
      <c r="Y44" s="74"/>
      <c r="AB44" s="74"/>
      <c r="AD44" s="74"/>
    </row>
    <row r="45" spans="1:39" s="1" customFormat="1" hidden="1" outlineLevel="1" x14ac:dyDescent="0.25">
      <c r="A45" s="2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>
        <f t="shared" si="6"/>
        <v>0</v>
      </c>
      <c r="W45" s="2"/>
      <c r="Y45" s="74"/>
      <c r="AB45" s="74"/>
      <c r="AD45" s="74"/>
    </row>
    <row r="46" spans="1:39" s="1" customFormat="1" hidden="1" outlineLevel="1" x14ac:dyDescent="0.25">
      <c r="A46" s="2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>
        <f t="shared" si="6"/>
        <v>0</v>
      </c>
      <c r="W46" s="2"/>
      <c r="Y46" s="74"/>
      <c r="AB46" s="74"/>
      <c r="AD46" s="74"/>
    </row>
    <row r="47" spans="1:39" s="1" customFormat="1" hidden="1" outlineLevel="1" x14ac:dyDescent="0.25">
      <c r="A47" s="2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>
        <f t="shared" si="6"/>
        <v>0</v>
      </c>
      <c r="W47" s="2"/>
      <c r="Y47" s="74"/>
      <c r="AB47" s="74"/>
      <c r="AD47" s="74"/>
    </row>
    <row r="48" spans="1:39" s="1" customFormat="1" hidden="1" outlineLevel="1" x14ac:dyDescent="0.25">
      <c r="A48" s="2"/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>
        <f t="shared" si="6"/>
        <v>0</v>
      </c>
      <c r="W48" s="2"/>
      <c r="Y48" s="74"/>
      <c r="AB48" s="74"/>
      <c r="AD48" s="74"/>
    </row>
    <row r="49" spans="1:30" s="1" customFormat="1" hidden="1" outlineLevel="1" x14ac:dyDescent="0.25">
      <c r="A49" s="2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>
        <f t="shared" si="6"/>
        <v>0</v>
      </c>
      <c r="W49" s="2"/>
      <c r="Y49" s="74"/>
      <c r="AB49" s="74"/>
      <c r="AD49" s="74"/>
    </row>
    <row r="50" spans="1:30" s="1" customFormat="1" hidden="1" outlineLevel="1" x14ac:dyDescent="0.25">
      <c r="A50" s="2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>
        <f t="shared" si="6"/>
        <v>0</v>
      </c>
      <c r="W50" s="2"/>
      <c r="Y50" s="74"/>
      <c r="AB50" s="74"/>
      <c r="AD50" s="74"/>
    </row>
    <row r="51" spans="1:30" s="1" customFormat="1" hidden="1" outlineLevel="1" x14ac:dyDescent="0.25">
      <c r="A51" s="2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>
        <f t="shared" si="6"/>
        <v>0</v>
      </c>
      <c r="W51" s="2"/>
      <c r="Y51" s="74"/>
      <c r="AB51" s="74"/>
      <c r="AD51" s="74"/>
    </row>
    <row r="52" spans="1:30" s="1" customFormat="1" hidden="1" outlineLevel="1" x14ac:dyDescent="0.25">
      <c r="A52" s="2"/>
      <c r="B52" s="185" t="s">
        <v>29</v>
      </c>
      <c r="C52" s="185"/>
      <c r="D52" s="185"/>
      <c r="E52" s="185"/>
      <c r="F52" s="185"/>
      <c r="G52" s="185"/>
      <c r="H52" s="185"/>
      <c r="I52" s="185"/>
      <c r="J52" s="185"/>
      <c r="K52" s="185"/>
      <c r="L52" s="185"/>
      <c r="M52" s="185"/>
      <c r="N52" s="185"/>
      <c r="O52" s="185"/>
      <c r="P52" s="185"/>
      <c r="Q52" s="185"/>
      <c r="R52" s="185"/>
      <c r="S52" s="185"/>
      <c r="T52" s="185"/>
      <c r="U52" s="185"/>
      <c r="V52" s="87"/>
      <c r="W52" s="2"/>
      <c r="Y52" s="74"/>
      <c r="AB52" s="74"/>
      <c r="AD52" s="74"/>
    </row>
    <row r="53" spans="1:30" s="1" customFormat="1" hidden="1" outlineLevel="1" x14ac:dyDescent="0.25">
      <c r="A53" s="34"/>
      <c r="B53" s="42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51">
        <f t="shared" ref="V53:V69" si="7">SUM(G53:U53)</f>
        <v>0</v>
      </c>
      <c r="W53" s="2"/>
      <c r="Y53" s="74"/>
      <c r="AB53" s="74"/>
      <c r="AD53" s="74"/>
    </row>
    <row r="54" spans="1:30" s="1" customFormat="1" hidden="1" outlineLevel="1" x14ac:dyDescent="0.25">
      <c r="A54" s="2"/>
      <c r="B54" s="82"/>
      <c r="C54" s="51"/>
      <c r="D54" s="51"/>
      <c r="E54" s="51"/>
      <c r="F54" s="51"/>
      <c r="G54" s="20"/>
      <c r="H54" s="21"/>
      <c r="I54" s="21"/>
      <c r="J54" s="23"/>
      <c r="K54" s="51"/>
      <c r="L54" s="32"/>
      <c r="M54" s="22"/>
      <c r="N54" s="51"/>
      <c r="O54" s="81"/>
      <c r="P54" s="22"/>
      <c r="Q54" s="51"/>
      <c r="R54" s="51"/>
      <c r="S54" s="51"/>
      <c r="T54" s="51"/>
      <c r="U54" s="51"/>
      <c r="V54" s="51">
        <f t="shared" si="7"/>
        <v>0</v>
      </c>
      <c r="W54" s="2"/>
      <c r="Y54" s="74"/>
      <c r="AB54" s="74"/>
      <c r="AD54" s="74"/>
    </row>
    <row r="55" spans="1:30" s="1" customFormat="1" hidden="1" outlineLevel="1" x14ac:dyDescent="0.25">
      <c r="A55" s="2"/>
      <c r="B55" s="82"/>
      <c r="C55" s="51"/>
      <c r="D55" s="51"/>
      <c r="E55" s="51"/>
      <c r="F55" s="51"/>
      <c r="G55" s="20"/>
      <c r="H55" s="21"/>
      <c r="I55" s="21"/>
      <c r="J55" s="23"/>
      <c r="K55" s="51"/>
      <c r="L55" s="32"/>
      <c r="M55" s="22"/>
      <c r="N55" s="51"/>
      <c r="O55" s="81"/>
      <c r="P55" s="22"/>
      <c r="Q55" s="51"/>
      <c r="R55" s="51"/>
      <c r="S55" s="51"/>
      <c r="T55" s="51"/>
      <c r="U55" s="51"/>
      <c r="V55" s="51">
        <f t="shared" si="7"/>
        <v>0</v>
      </c>
      <c r="W55" s="2"/>
      <c r="Y55" s="74"/>
      <c r="AB55" s="74"/>
      <c r="AD55" s="74"/>
    </row>
    <row r="56" spans="1:30" s="1" customFormat="1" hidden="1" outlineLevel="1" x14ac:dyDescent="0.25">
      <c r="A56" s="2"/>
      <c r="B56" s="82"/>
      <c r="C56" s="51"/>
      <c r="D56" s="51"/>
      <c r="E56" s="51"/>
      <c r="F56" s="51"/>
      <c r="G56" s="20"/>
      <c r="H56" s="21"/>
      <c r="I56" s="21"/>
      <c r="J56" s="23"/>
      <c r="K56" s="51"/>
      <c r="L56" s="32"/>
      <c r="M56" s="22"/>
      <c r="N56" s="51"/>
      <c r="O56" s="81"/>
      <c r="P56" s="22"/>
      <c r="Q56" s="51"/>
      <c r="R56" s="51"/>
      <c r="S56" s="51"/>
      <c r="T56" s="51"/>
      <c r="U56" s="51"/>
      <c r="V56" s="51">
        <f t="shared" si="7"/>
        <v>0</v>
      </c>
      <c r="W56" s="2"/>
      <c r="Y56" s="74"/>
      <c r="AB56" s="74"/>
      <c r="AD56" s="74"/>
    </row>
    <row r="57" spans="1:30" s="1" customFormat="1" hidden="1" outlineLevel="1" x14ac:dyDescent="0.25">
      <c r="A57" s="2"/>
      <c r="B57" s="51"/>
      <c r="C57" s="51"/>
      <c r="D57" s="51"/>
      <c r="E57" s="51"/>
      <c r="F57" s="51"/>
      <c r="G57" s="51"/>
      <c r="H57" s="80"/>
      <c r="I57" s="51"/>
      <c r="J57" s="51"/>
      <c r="K57" s="51"/>
      <c r="L57" s="51"/>
      <c r="M57" s="51"/>
      <c r="N57" s="81"/>
      <c r="O57" s="51"/>
      <c r="P57" s="51"/>
      <c r="Q57" s="51"/>
      <c r="R57" s="51"/>
      <c r="S57" s="51"/>
      <c r="T57" s="51"/>
      <c r="U57" s="51"/>
      <c r="V57" s="51">
        <f t="shared" si="7"/>
        <v>0</v>
      </c>
      <c r="W57" s="2"/>
      <c r="Y57" s="74"/>
      <c r="AB57" s="74"/>
      <c r="AD57" s="74"/>
    </row>
    <row r="58" spans="1:30" s="1" customFormat="1" hidden="1" outlineLevel="1" x14ac:dyDescent="0.25">
      <c r="A58" s="2"/>
      <c r="B58" s="51"/>
      <c r="C58" s="51"/>
      <c r="D58" s="51"/>
      <c r="E58" s="51"/>
      <c r="F58" s="51"/>
      <c r="G58" s="51"/>
      <c r="H58" s="80"/>
      <c r="I58" s="51"/>
      <c r="J58" s="51"/>
      <c r="K58" s="51"/>
      <c r="L58" s="51"/>
      <c r="M58" s="51"/>
      <c r="N58" s="81"/>
      <c r="O58" s="51"/>
      <c r="P58" s="51"/>
      <c r="Q58" s="51"/>
      <c r="R58" s="51"/>
      <c r="S58" s="51"/>
      <c r="T58" s="51"/>
      <c r="U58" s="51"/>
      <c r="V58" s="51">
        <f t="shared" si="7"/>
        <v>0</v>
      </c>
      <c r="W58" s="2"/>
      <c r="Y58" s="74"/>
      <c r="AB58" s="74"/>
      <c r="AD58" s="74"/>
    </row>
    <row r="59" spans="1:30" s="1" customFormat="1" hidden="1" outlineLevel="1" x14ac:dyDescent="0.25">
      <c r="A59" s="2"/>
      <c r="B59" s="51"/>
      <c r="C59" s="51"/>
      <c r="D59" s="51"/>
      <c r="E59" s="51"/>
      <c r="F59" s="51"/>
      <c r="G59" s="51"/>
      <c r="H59" s="80"/>
      <c r="I59" s="51"/>
      <c r="J59" s="51"/>
      <c r="K59" s="51"/>
      <c r="L59" s="51"/>
      <c r="M59" s="51"/>
      <c r="N59" s="81"/>
      <c r="O59" s="51"/>
      <c r="P59" s="51"/>
      <c r="Q59" s="51"/>
      <c r="R59" s="51"/>
      <c r="S59" s="81"/>
      <c r="T59" s="51"/>
      <c r="U59" s="51"/>
      <c r="V59" s="51">
        <f t="shared" si="7"/>
        <v>0</v>
      </c>
      <c r="W59" s="2"/>
      <c r="Y59" s="74"/>
      <c r="AB59" s="74"/>
      <c r="AD59" s="74"/>
    </row>
    <row r="60" spans="1:30" s="1" customFormat="1" hidden="1" outlineLevel="1" x14ac:dyDescent="0.25">
      <c r="A60" s="2"/>
      <c r="B60" s="51"/>
      <c r="C60" s="51"/>
      <c r="D60" s="51"/>
      <c r="E60" s="51"/>
      <c r="F60" s="51"/>
      <c r="G60" s="51"/>
      <c r="H60" s="80"/>
      <c r="I60" s="51"/>
      <c r="J60" s="51"/>
      <c r="K60" s="51"/>
      <c r="L60" s="51"/>
      <c r="M60" s="51"/>
      <c r="N60" s="81"/>
      <c r="O60" s="51"/>
      <c r="P60" s="51"/>
      <c r="Q60" s="51"/>
      <c r="R60" s="51"/>
      <c r="S60" s="81"/>
      <c r="T60" s="51"/>
      <c r="U60" s="51"/>
      <c r="V60" s="51">
        <f t="shared" si="7"/>
        <v>0</v>
      </c>
      <c r="W60" s="2"/>
      <c r="Y60" s="74"/>
      <c r="AB60" s="74"/>
      <c r="AD60" s="74"/>
    </row>
    <row r="61" spans="1:30" s="1" customFormat="1" hidden="1" outlineLevel="1" x14ac:dyDescent="0.25">
      <c r="A61" s="2"/>
      <c r="B61" s="51"/>
      <c r="C61" s="51"/>
      <c r="D61" s="51"/>
      <c r="E61" s="51"/>
      <c r="F61" s="51"/>
      <c r="G61" s="51"/>
      <c r="H61" s="80"/>
      <c r="I61" s="51"/>
      <c r="J61" s="51"/>
      <c r="K61" s="51"/>
      <c r="L61" s="51"/>
      <c r="M61" s="51"/>
      <c r="N61" s="81"/>
      <c r="O61" s="51"/>
      <c r="P61" s="51"/>
      <c r="Q61" s="51"/>
      <c r="R61" s="51"/>
      <c r="S61" s="81"/>
      <c r="T61" s="51"/>
      <c r="U61" s="51"/>
      <c r="V61" s="51">
        <f t="shared" si="7"/>
        <v>0</v>
      </c>
      <c r="W61" s="2"/>
      <c r="Y61" s="74"/>
      <c r="AB61" s="74"/>
      <c r="AD61" s="74"/>
    </row>
    <row r="62" spans="1:30" s="1" customFormat="1" hidden="1" outlineLevel="1" x14ac:dyDescent="0.25">
      <c r="A62" s="2"/>
      <c r="B62" s="51"/>
      <c r="C62" s="51"/>
      <c r="D62" s="51"/>
      <c r="E62" s="51"/>
      <c r="F62" s="51"/>
      <c r="G62" s="51"/>
      <c r="H62" s="80"/>
      <c r="I62" s="51"/>
      <c r="J62" s="51"/>
      <c r="K62" s="51"/>
      <c r="L62" s="51"/>
      <c r="M62" s="51"/>
      <c r="N62" s="81"/>
      <c r="O62" s="51"/>
      <c r="P62" s="51"/>
      <c r="Q62" s="51"/>
      <c r="R62" s="51"/>
      <c r="S62" s="81"/>
      <c r="T62" s="51"/>
      <c r="U62" s="51"/>
      <c r="V62" s="51">
        <f t="shared" si="7"/>
        <v>0</v>
      </c>
      <c r="W62" s="2"/>
      <c r="Y62" s="74"/>
      <c r="AB62" s="74"/>
      <c r="AD62" s="74"/>
    </row>
    <row r="63" spans="1:30" s="1" customFormat="1" hidden="1" outlineLevel="1" x14ac:dyDescent="0.25">
      <c r="A63" s="2"/>
      <c r="B63" s="51"/>
      <c r="C63" s="51"/>
      <c r="D63" s="51"/>
      <c r="E63" s="51"/>
      <c r="F63" s="51"/>
      <c r="G63" s="51"/>
      <c r="H63" s="80"/>
      <c r="I63" s="51"/>
      <c r="J63" s="51"/>
      <c r="K63" s="51"/>
      <c r="L63" s="51"/>
      <c r="M63" s="51"/>
      <c r="N63" s="81"/>
      <c r="O63" s="51"/>
      <c r="P63" s="51"/>
      <c r="Q63" s="51"/>
      <c r="R63" s="51"/>
      <c r="S63" s="81"/>
      <c r="T63" s="51"/>
      <c r="U63" s="51"/>
      <c r="V63" s="51">
        <f t="shared" si="7"/>
        <v>0</v>
      </c>
      <c r="W63" s="2"/>
      <c r="Y63" s="74"/>
      <c r="AB63" s="74"/>
      <c r="AD63" s="74"/>
    </row>
    <row r="64" spans="1:30" s="1" customFormat="1" hidden="1" outlineLevel="1" x14ac:dyDescent="0.25">
      <c r="A64" s="2"/>
      <c r="B64" s="51"/>
      <c r="C64" s="51"/>
      <c r="D64" s="51"/>
      <c r="E64" s="51"/>
      <c r="F64" s="51"/>
      <c r="G64" s="51"/>
      <c r="H64" s="80"/>
      <c r="I64" s="51"/>
      <c r="J64" s="51"/>
      <c r="K64" s="51"/>
      <c r="L64" s="51"/>
      <c r="M64" s="51"/>
      <c r="N64" s="81"/>
      <c r="O64" s="51"/>
      <c r="P64" s="51"/>
      <c r="Q64" s="51"/>
      <c r="R64" s="51"/>
      <c r="S64" s="81"/>
      <c r="T64" s="51"/>
      <c r="U64" s="51"/>
      <c r="V64" s="51">
        <f t="shared" si="7"/>
        <v>0</v>
      </c>
      <c r="W64" s="2"/>
      <c r="Y64" s="74"/>
      <c r="AB64" s="74"/>
      <c r="AD64" s="74"/>
    </row>
    <row r="65" spans="1:39" s="1" customFormat="1" hidden="1" outlineLevel="1" x14ac:dyDescent="0.25">
      <c r="A65" s="2"/>
      <c r="B65" s="51"/>
      <c r="C65" s="51"/>
      <c r="D65" s="51"/>
      <c r="E65" s="51"/>
      <c r="F65" s="51"/>
      <c r="G65" s="51"/>
      <c r="H65" s="80"/>
      <c r="I65" s="51"/>
      <c r="J65" s="51"/>
      <c r="K65" s="51"/>
      <c r="L65" s="51"/>
      <c r="M65" s="51"/>
      <c r="N65" s="81"/>
      <c r="O65" s="51"/>
      <c r="P65" s="51"/>
      <c r="Q65" s="51"/>
      <c r="R65" s="51"/>
      <c r="S65" s="81"/>
      <c r="T65" s="51"/>
      <c r="U65" s="51"/>
      <c r="V65" s="51">
        <f t="shared" si="7"/>
        <v>0</v>
      </c>
      <c r="W65" s="2"/>
      <c r="Y65" s="74"/>
      <c r="AB65" s="74"/>
      <c r="AD65" s="74"/>
    </row>
    <row r="66" spans="1:39" s="1" customFormat="1" hidden="1" outlineLevel="1" x14ac:dyDescent="0.25">
      <c r="A66" s="2"/>
      <c r="B66" s="51"/>
      <c r="C66" s="51"/>
      <c r="D66" s="51"/>
      <c r="E66" s="51"/>
      <c r="F66" s="51"/>
      <c r="G66" s="51"/>
      <c r="H66" s="80"/>
      <c r="I66" s="51"/>
      <c r="J66" s="51"/>
      <c r="K66" s="51"/>
      <c r="L66" s="51"/>
      <c r="M66" s="51"/>
      <c r="N66" s="81"/>
      <c r="O66" s="51"/>
      <c r="P66" s="51"/>
      <c r="Q66" s="51"/>
      <c r="R66" s="51"/>
      <c r="S66" s="81"/>
      <c r="T66" s="51"/>
      <c r="U66" s="51"/>
      <c r="V66" s="51">
        <f t="shared" si="7"/>
        <v>0</v>
      </c>
      <c r="W66" s="2"/>
      <c r="Y66" s="74"/>
      <c r="AB66" s="74"/>
      <c r="AD66" s="74"/>
    </row>
    <row r="67" spans="1:39" s="1" customFormat="1" hidden="1" outlineLevel="1" x14ac:dyDescent="0.25">
      <c r="A67" s="2"/>
      <c r="B67" s="51"/>
      <c r="C67" s="51"/>
      <c r="D67" s="51"/>
      <c r="E67" s="51"/>
      <c r="F67" s="51"/>
      <c r="G67" s="51"/>
      <c r="H67" s="80"/>
      <c r="I67" s="51"/>
      <c r="J67" s="51"/>
      <c r="K67" s="51"/>
      <c r="L67" s="51"/>
      <c r="M67" s="51"/>
      <c r="N67" s="81"/>
      <c r="O67" s="51"/>
      <c r="P67" s="51"/>
      <c r="Q67" s="51"/>
      <c r="R67" s="51"/>
      <c r="S67" s="81"/>
      <c r="T67" s="51"/>
      <c r="U67" s="51"/>
      <c r="V67" s="51">
        <f t="shared" si="7"/>
        <v>0</v>
      </c>
      <c r="W67" s="2"/>
      <c r="Y67" s="74"/>
      <c r="AB67" s="74"/>
      <c r="AD67" s="74"/>
    </row>
    <row r="68" spans="1:39" s="1" customFormat="1" hidden="1" outlineLevel="1" x14ac:dyDescent="0.25">
      <c r="A68" s="2"/>
      <c r="B68" s="51"/>
      <c r="C68" s="51"/>
      <c r="D68" s="51"/>
      <c r="E68" s="51"/>
      <c r="F68" s="51"/>
      <c r="G68" s="51"/>
      <c r="H68" s="80"/>
      <c r="I68" s="51"/>
      <c r="J68" s="51"/>
      <c r="K68" s="51"/>
      <c r="L68" s="51"/>
      <c r="M68" s="51"/>
      <c r="N68" s="81"/>
      <c r="O68" s="51"/>
      <c r="P68" s="51"/>
      <c r="Q68" s="51"/>
      <c r="R68" s="51"/>
      <c r="S68" s="81"/>
      <c r="T68" s="51"/>
      <c r="U68" s="51"/>
      <c r="V68" s="51">
        <f t="shared" si="7"/>
        <v>0</v>
      </c>
      <c r="W68" s="2"/>
      <c r="Y68" s="74"/>
      <c r="AB68" s="74"/>
      <c r="AD68" s="74"/>
    </row>
    <row r="69" spans="1:39" s="1" customFormat="1" hidden="1" outlineLevel="1" x14ac:dyDescent="0.25">
      <c r="A69" s="2"/>
      <c r="B69" s="51"/>
      <c r="C69" s="51"/>
      <c r="D69" s="51"/>
      <c r="E69" s="51"/>
      <c r="F69" s="51"/>
      <c r="G69" s="51"/>
      <c r="H69" s="80"/>
      <c r="I69" s="51"/>
      <c r="J69" s="51"/>
      <c r="K69" s="51"/>
      <c r="L69" s="51"/>
      <c r="M69" s="51"/>
      <c r="N69" s="81"/>
      <c r="O69" s="51"/>
      <c r="P69" s="51"/>
      <c r="Q69" s="51"/>
      <c r="R69" s="51"/>
      <c r="S69" s="81"/>
      <c r="T69" s="51"/>
      <c r="U69" s="51"/>
      <c r="V69" s="51">
        <f t="shared" si="7"/>
        <v>0</v>
      </c>
      <c r="W69" s="2"/>
      <c r="Y69" s="74"/>
      <c r="AB69" s="74"/>
      <c r="AD69" s="74"/>
    </row>
    <row r="70" spans="1:39" ht="15.75" hidden="1" customHeight="1" outlineLevel="1" thickBot="1" x14ac:dyDescent="0.3">
      <c r="A70" s="2"/>
      <c r="B70" s="75"/>
      <c r="C70" s="75"/>
      <c r="D70" s="76"/>
      <c r="E70" s="76"/>
      <c r="F70" s="76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2"/>
      <c r="R70" s="77"/>
      <c r="S70" s="77"/>
      <c r="T70" s="77"/>
      <c r="U70" s="2"/>
      <c r="V70" s="77"/>
      <c r="W70" s="78"/>
      <c r="Y70" s="74"/>
      <c r="Z70" s="6"/>
      <c r="AA70" s="13"/>
      <c r="AB70" s="74"/>
      <c r="AC70" s="6"/>
      <c r="AD70" s="74"/>
      <c r="AE70" s="6"/>
      <c r="AF70" s="6"/>
      <c r="AG70" s="6"/>
      <c r="AH70" s="6"/>
      <c r="AI70" s="6"/>
      <c r="AM70" s="14"/>
    </row>
    <row r="71" spans="1:39" s="1" customFormat="1" x14ac:dyDescent="0.25">
      <c r="A71" s="164">
        <v>3</v>
      </c>
      <c r="B71" s="147" t="s">
        <v>197</v>
      </c>
      <c r="C71" s="153" t="s">
        <v>9</v>
      </c>
      <c r="D71" s="156" t="s">
        <v>12</v>
      </c>
      <c r="E71" s="90" t="s">
        <v>15</v>
      </c>
      <c r="F71" s="92">
        <v>0.25</v>
      </c>
      <c r="G71" s="72">
        <f t="shared" ref="G71:U71" si="8">SUM(G73:G82)</f>
        <v>66</v>
      </c>
      <c r="H71" s="72">
        <f t="shared" si="8"/>
        <v>80</v>
      </c>
      <c r="I71" s="72">
        <f t="shared" si="8"/>
        <v>0</v>
      </c>
      <c r="J71" s="72">
        <f t="shared" si="8"/>
        <v>11.5</v>
      </c>
      <c r="K71" s="72">
        <f t="shared" si="8"/>
        <v>0</v>
      </c>
      <c r="L71" s="72">
        <f t="shared" si="8"/>
        <v>156</v>
      </c>
      <c r="M71" s="72">
        <f t="shared" si="8"/>
        <v>4</v>
      </c>
      <c r="N71" s="72">
        <f t="shared" si="8"/>
        <v>0</v>
      </c>
      <c r="O71" s="72">
        <f t="shared" si="8"/>
        <v>22.049999999999997</v>
      </c>
      <c r="P71" s="72">
        <f t="shared" si="8"/>
        <v>26</v>
      </c>
      <c r="Q71" s="72">
        <f t="shared" si="8"/>
        <v>0</v>
      </c>
      <c r="R71" s="72">
        <f t="shared" si="8"/>
        <v>0</v>
      </c>
      <c r="S71" s="72">
        <f t="shared" si="8"/>
        <v>0</v>
      </c>
      <c r="T71" s="72">
        <f t="shared" si="8"/>
        <v>0</v>
      </c>
      <c r="U71" s="72">
        <f t="shared" si="8"/>
        <v>0</v>
      </c>
      <c r="V71" s="72">
        <f>SUM(V73:V82)</f>
        <v>365.54999999999995</v>
      </c>
      <c r="W71" s="168">
        <f>V71+V72</f>
        <v>365.54999999999995</v>
      </c>
      <c r="Y71" s="74"/>
      <c r="AB71" s="74"/>
      <c r="AD71" s="74"/>
    </row>
    <row r="72" spans="1:39" s="1" customFormat="1" ht="13.8" collapsed="1" thickBot="1" x14ac:dyDescent="0.3">
      <c r="A72" s="165"/>
      <c r="B72" s="148"/>
      <c r="C72" s="154"/>
      <c r="D72" s="157"/>
      <c r="E72" s="91"/>
      <c r="F72" s="93"/>
      <c r="G72" s="73">
        <f>SUM(G84:G101)</f>
        <v>0</v>
      </c>
      <c r="H72" s="79">
        <f>SUM(H84:H101)</f>
        <v>0</v>
      </c>
      <c r="I72" s="79">
        <f>SUM(I84:I101)</f>
        <v>0</v>
      </c>
      <c r="J72" s="73">
        <f t="shared" ref="J72:Q72" si="9">SUM(J84:J101)</f>
        <v>0</v>
      </c>
      <c r="K72" s="73">
        <f t="shared" si="9"/>
        <v>0</v>
      </c>
      <c r="L72" s="73">
        <f t="shared" si="9"/>
        <v>0</v>
      </c>
      <c r="M72" s="73">
        <f t="shared" si="9"/>
        <v>0</v>
      </c>
      <c r="N72" s="73">
        <f t="shared" si="9"/>
        <v>0</v>
      </c>
      <c r="O72" s="73">
        <f t="shared" si="9"/>
        <v>0</v>
      </c>
      <c r="P72" s="73">
        <f t="shared" si="9"/>
        <v>0</v>
      </c>
      <c r="Q72" s="73">
        <f t="shared" si="9"/>
        <v>0</v>
      </c>
      <c r="R72" s="73">
        <f>SUM(R84:R101)</f>
        <v>0</v>
      </c>
      <c r="S72" s="73">
        <f>SUM(S84:S101)</f>
        <v>0</v>
      </c>
      <c r="T72" s="73">
        <f>SUM(T84:T101)</f>
        <v>0</v>
      </c>
      <c r="U72" s="73">
        <f>SUM(U84:U101)</f>
        <v>0</v>
      </c>
      <c r="V72" s="73">
        <f>SUM(V84:V101)</f>
        <v>0</v>
      </c>
      <c r="W72" s="169"/>
      <c r="Y72" s="74"/>
      <c r="Z72" s="74"/>
      <c r="AB72" s="74"/>
      <c r="AD72" s="74"/>
    </row>
    <row r="73" spans="1:39" s="1" customFormat="1" ht="26.4" hidden="1" outlineLevel="1" x14ac:dyDescent="0.25">
      <c r="A73" s="34" t="s">
        <v>223</v>
      </c>
      <c r="B73" s="42" t="s">
        <v>174</v>
      </c>
      <c r="C73" s="34">
        <v>1</v>
      </c>
      <c r="D73" s="34"/>
      <c r="E73" s="34"/>
      <c r="F73" s="34"/>
      <c r="G73" s="34">
        <v>16</v>
      </c>
      <c r="H73" s="34">
        <v>48</v>
      </c>
      <c r="I73" s="34"/>
      <c r="J73" s="34">
        <v>3.6</v>
      </c>
      <c r="K73" s="34"/>
      <c r="L73" s="34"/>
      <c r="M73" s="34"/>
      <c r="N73" s="34"/>
      <c r="O73" s="34">
        <v>12.6</v>
      </c>
      <c r="P73" s="34"/>
      <c r="Q73" s="34"/>
      <c r="R73" s="34"/>
      <c r="S73" s="34"/>
      <c r="T73" s="34"/>
      <c r="U73" s="34"/>
      <c r="V73" s="51">
        <f>SUM(G73:U73)</f>
        <v>80.199999999999989</v>
      </c>
      <c r="W73" s="2"/>
      <c r="Y73" s="74"/>
      <c r="AB73" s="74"/>
      <c r="AD73" s="74"/>
    </row>
    <row r="74" spans="1:39" s="1" customFormat="1" ht="26.4" hidden="1" outlineLevel="1" x14ac:dyDescent="0.25">
      <c r="A74" s="34" t="s">
        <v>223</v>
      </c>
      <c r="B74" s="42" t="s">
        <v>181</v>
      </c>
      <c r="C74" s="34">
        <v>1</v>
      </c>
      <c r="D74" s="34"/>
      <c r="E74" s="34"/>
      <c r="F74" s="34"/>
      <c r="G74" s="34">
        <v>16</v>
      </c>
      <c r="H74" s="34">
        <v>32</v>
      </c>
      <c r="I74" s="34"/>
      <c r="J74" s="34">
        <v>2.7</v>
      </c>
      <c r="K74" s="34"/>
      <c r="L74" s="34"/>
      <c r="M74" s="34"/>
      <c r="N74" s="34"/>
      <c r="O74" s="34">
        <v>9.4499999999999993</v>
      </c>
      <c r="P74" s="34"/>
      <c r="Q74" s="34"/>
      <c r="R74" s="34"/>
      <c r="S74" s="34"/>
      <c r="T74" s="34"/>
      <c r="U74" s="34"/>
      <c r="V74" s="51">
        <f>SUM(G74:U74)</f>
        <v>60.150000000000006</v>
      </c>
      <c r="W74" s="2"/>
      <c r="Y74" s="74"/>
      <c r="AB74" s="74"/>
      <c r="AD74" s="74"/>
    </row>
    <row r="75" spans="1:39" s="1" customFormat="1" hidden="1" outlineLevel="1" x14ac:dyDescent="0.25">
      <c r="A75" s="2" t="s">
        <v>223</v>
      </c>
      <c r="B75" s="51" t="s">
        <v>177</v>
      </c>
      <c r="C75" s="51">
        <v>3</v>
      </c>
      <c r="D75" s="51"/>
      <c r="E75" s="51"/>
      <c r="F75" s="51"/>
      <c r="G75" s="51">
        <v>34</v>
      </c>
      <c r="H75" s="51"/>
      <c r="I75" s="51"/>
      <c r="J75" s="51">
        <v>2.7</v>
      </c>
      <c r="K75" s="51"/>
      <c r="L75" s="51">
        <v>81</v>
      </c>
      <c r="M75" s="51">
        <v>2</v>
      </c>
      <c r="N75" s="51"/>
      <c r="O75" s="51"/>
      <c r="P75" s="51">
        <v>13.5</v>
      </c>
      <c r="Q75" s="51"/>
      <c r="R75" s="51"/>
      <c r="S75" s="51"/>
      <c r="T75" s="51"/>
      <c r="U75" s="51"/>
      <c r="V75" s="51">
        <f t="shared" ref="V75:V82" si="10">SUM(G75:U75)</f>
        <v>133.19999999999999</v>
      </c>
      <c r="W75" s="2"/>
      <c r="Y75" s="74"/>
      <c r="AB75" s="74"/>
      <c r="AD75" s="74"/>
    </row>
    <row r="76" spans="1:39" s="1" customFormat="1" hidden="1" outlineLevel="1" x14ac:dyDescent="0.25">
      <c r="A76" s="2" t="s">
        <v>223</v>
      </c>
      <c r="B76" s="51" t="s">
        <v>184</v>
      </c>
      <c r="C76" s="51">
        <v>3</v>
      </c>
      <c r="D76" s="51"/>
      <c r="E76" s="51"/>
      <c r="F76" s="51"/>
      <c r="G76" s="51"/>
      <c r="H76" s="51"/>
      <c r="I76" s="51"/>
      <c r="J76" s="51">
        <v>2.5</v>
      </c>
      <c r="K76" s="51"/>
      <c r="L76" s="51">
        <v>75</v>
      </c>
      <c r="M76" s="51">
        <v>2</v>
      </c>
      <c r="N76" s="51"/>
      <c r="O76" s="51"/>
      <c r="P76" s="51">
        <v>12.5</v>
      </c>
      <c r="Q76" s="51"/>
      <c r="R76" s="51"/>
      <c r="S76" s="51"/>
      <c r="T76" s="51"/>
      <c r="U76" s="51"/>
      <c r="V76" s="51">
        <f t="shared" si="10"/>
        <v>92</v>
      </c>
      <c r="W76" s="2"/>
      <c r="Y76" s="74"/>
      <c r="AB76" s="74"/>
      <c r="AD76" s="74"/>
    </row>
    <row r="77" spans="1:39" s="1" customFormat="1" hidden="1" outlineLevel="1" x14ac:dyDescent="0.25">
      <c r="A77" s="2"/>
      <c r="B77" s="51"/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  <c r="S77" s="51"/>
      <c r="T77" s="51"/>
      <c r="U77" s="51"/>
      <c r="V77" s="51">
        <f t="shared" si="10"/>
        <v>0</v>
      </c>
      <c r="W77" s="2"/>
      <c r="Y77" s="74"/>
      <c r="AB77" s="74"/>
      <c r="AD77" s="74"/>
    </row>
    <row r="78" spans="1:39" s="1" customFormat="1" hidden="1" outlineLevel="1" x14ac:dyDescent="0.25">
      <c r="A78" s="2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>
        <f t="shared" si="10"/>
        <v>0</v>
      </c>
      <c r="W78" s="2"/>
      <c r="Y78" s="74"/>
      <c r="AB78" s="74"/>
      <c r="AD78" s="74"/>
    </row>
    <row r="79" spans="1:39" s="1" customFormat="1" hidden="1" outlineLevel="1" x14ac:dyDescent="0.25">
      <c r="A79" s="2"/>
      <c r="B79" s="51"/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  <c r="S79" s="51"/>
      <c r="T79" s="51"/>
      <c r="U79" s="51"/>
      <c r="V79" s="51">
        <f t="shared" si="10"/>
        <v>0</v>
      </c>
      <c r="W79" s="2"/>
      <c r="Y79" s="74"/>
      <c r="AB79" s="74"/>
      <c r="AD79" s="74"/>
    </row>
    <row r="80" spans="1:39" s="1" customFormat="1" hidden="1" outlineLevel="1" x14ac:dyDescent="0.25">
      <c r="A80" s="2"/>
      <c r="B80" s="51"/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>
        <f t="shared" si="10"/>
        <v>0</v>
      </c>
      <c r="W80" s="2"/>
      <c r="Y80" s="74"/>
      <c r="AB80" s="74"/>
      <c r="AD80" s="74"/>
    </row>
    <row r="81" spans="1:30" s="1" customFormat="1" hidden="1" outlineLevel="1" x14ac:dyDescent="0.25">
      <c r="A81" s="2"/>
      <c r="B81" s="51"/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  <c r="S81" s="51"/>
      <c r="T81" s="51"/>
      <c r="U81" s="51"/>
      <c r="V81" s="51">
        <f t="shared" si="10"/>
        <v>0</v>
      </c>
      <c r="W81" s="2"/>
      <c r="Y81" s="74"/>
      <c r="AB81" s="74"/>
      <c r="AD81" s="74"/>
    </row>
    <row r="82" spans="1:30" s="1" customFormat="1" hidden="1" outlineLevel="1" x14ac:dyDescent="0.25">
      <c r="A82" s="2"/>
      <c r="B82" s="51"/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  <c r="S82" s="51"/>
      <c r="T82" s="51"/>
      <c r="U82" s="51"/>
      <c r="V82" s="51">
        <f t="shared" si="10"/>
        <v>0</v>
      </c>
      <c r="W82" s="2"/>
      <c r="Y82" s="74"/>
      <c r="AB82" s="74"/>
      <c r="AD82" s="74"/>
    </row>
    <row r="83" spans="1:30" s="1" customFormat="1" hidden="1" outlineLevel="1" x14ac:dyDescent="0.25">
      <c r="A83" s="2"/>
      <c r="B83" s="185" t="s">
        <v>29</v>
      </c>
      <c r="C83" s="185"/>
      <c r="D83" s="185"/>
      <c r="E83" s="185"/>
      <c r="F83" s="185"/>
      <c r="G83" s="185"/>
      <c r="H83" s="185"/>
      <c r="I83" s="185"/>
      <c r="J83" s="185"/>
      <c r="K83" s="185"/>
      <c r="L83" s="185"/>
      <c r="M83" s="185"/>
      <c r="N83" s="185"/>
      <c r="O83" s="185"/>
      <c r="P83" s="185"/>
      <c r="Q83" s="185"/>
      <c r="R83" s="185"/>
      <c r="S83" s="185"/>
      <c r="T83" s="185"/>
      <c r="U83" s="185"/>
      <c r="V83" s="87"/>
      <c r="W83" s="2"/>
      <c r="Y83" s="74"/>
      <c r="AB83" s="74"/>
      <c r="AD83" s="74"/>
    </row>
    <row r="84" spans="1:30" s="1" customFormat="1" hidden="1" outlineLevel="1" x14ac:dyDescent="0.25">
      <c r="A84" s="34"/>
      <c r="B84" s="42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51">
        <f t="shared" ref="V84:V100" si="11">SUM(G84:U84)</f>
        <v>0</v>
      </c>
      <c r="W84" s="2"/>
      <c r="Y84" s="74"/>
      <c r="AB84" s="74"/>
      <c r="AD84" s="74"/>
    </row>
    <row r="85" spans="1:30" s="1" customFormat="1" hidden="1" outlineLevel="1" x14ac:dyDescent="0.25">
      <c r="A85" s="34"/>
      <c r="B85" s="42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51">
        <f t="shared" si="11"/>
        <v>0</v>
      </c>
      <c r="W85" s="2"/>
      <c r="Y85" s="74"/>
      <c r="AB85" s="74"/>
      <c r="AD85" s="74"/>
    </row>
    <row r="86" spans="1:30" s="1" customFormat="1" hidden="1" outlineLevel="1" x14ac:dyDescent="0.25">
      <c r="A86" s="2"/>
      <c r="B86" s="82"/>
      <c r="C86" s="51"/>
      <c r="D86" s="51"/>
      <c r="E86" s="51"/>
      <c r="F86" s="51"/>
      <c r="G86" s="20"/>
      <c r="H86" s="21"/>
      <c r="I86" s="21"/>
      <c r="J86" s="23"/>
      <c r="K86" s="51"/>
      <c r="L86" s="32"/>
      <c r="M86" s="22"/>
      <c r="N86" s="51"/>
      <c r="O86" s="81"/>
      <c r="P86" s="22"/>
      <c r="Q86" s="51"/>
      <c r="R86" s="51"/>
      <c r="S86" s="51"/>
      <c r="T86" s="51"/>
      <c r="U86" s="51"/>
      <c r="V86" s="51">
        <f t="shared" si="11"/>
        <v>0</v>
      </c>
      <c r="W86" s="2"/>
      <c r="Y86" s="74"/>
      <c r="AB86" s="74"/>
      <c r="AD86" s="74"/>
    </row>
    <row r="87" spans="1:30" s="1" customFormat="1" hidden="1" outlineLevel="1" x14ac:dyDescent="0.25">
      <c r="A87" s="2"/>
      <c r="B87" s="82"/>
      <c r="C87" s="51"/>
      <c r="D87" s="51"/>
      <c r="E87" s="51"/>
      <c r="F87" s="51"/>
      <c r="G87" s="20"/>
      <c r="H87" s="21"/>
      <c r="I87" s="21"/>
      <c r="J87" s="23"/>
      <c r="K87" s="51"/>
      <c r="L87" s="32"/>
      <c r="M87" s="22"/>
      <c r="N87" s="51"/>
      <c r="O87" s="81"/>
      <c r="P87" s="22"/>
      <c r="Q87" s="51"/>
      <c r="R87" s="51"/>
      <c r="S87" s="51"/>
      <c r="T87" s="51"/>
      <c r="U87" s="51"/>
      <c r="V87" s="51">
        <f t="shared" si="11"/>
        <v>0</v>
      </c>
      <c r="W87" s="2"/>
      <c r="Y87" s="74"/>
      <c r="AB87" s="74"/>
      <c r="AD87" s="74"/>
    </row>
    <row r="88" spans="1:30" s="1" customFormat="1" hidden="1" outlineLevel="1" x14ac:dyDescent="0.25">
      <c r="A88" s="2"/>
      <c r="B88" s="51"/>
      <c r="C88" s="51"/>
      <c r="D88" s="51"/>
      <c r="E88" s="51"/>
      <c r="F88" s="51"/>
      <c r="G88" s="51"/>
      <c r="H88" s="80"/>
      <c r="I88" s="51"/>
      <c r="J88" s="51"/>
      <c r="K88" s="51"/>
      <c r="L88" s="51"/>
      <c r="M88" s="51"/>
      <c r="N88" s="81"/>
      <c r="O88" s="51"/>
      <c r="P88" s="51"/>
      <c r="Q88" s="51"/>
      <c r="R88" s="51"/>
      <c r="S88" s="51"/>
      <c r="T88" s="51"/>
      <c r="U88" s="51"/>
      <c r="V88" s="51">
        <f t="shared" si="11"/>
        <v>0</v>
      </c>
      <c r="W88" s="2"/>
      <c r="Y88" s="74"/>
      <c r="AB88" s="74"/>
      <c r="AD88" s="74"/>
    </row>
    <row r="89" spans="1:30" s="1" customFormat="1" hidden="1" outlineLevel="1" x14ac:dyDescent="0.25">
      <c r="A89" s="2"/>
      <c r="B89" s="51"/>
      <c r="C89" s="51"/>
      <c r="D89" s="51"/>
      <c r="E89" s="51"/>
      <c r="F89" s="51"/>
      <c r="G89" s="51"/>
      <c r="H89" s="80"/>
      <c r="I89" s="51"/>
      <c r="J89" s="51"/>
      <c r="K89" s="51"/>
      <c r="L89" s="51"/>
      <c r="M89" s="51"/>
      <c r="N89" s="81"/>
      <c r="O89" s="51"/>
      <c r="P89" s="51"/>
      <c r="Q89" s="51"/>
      <c r="R89" s="51"/>
      <c r="S89" s="51"/>
      <c r="T89" s="51"/>
      <c r="U89" s="51"/>
      <c r="V89" s="51">
        <f t="shared" si="11"/>
        <v>0</v>
      </c>
      <c r="W89" s="2"/>
      <c r="Y89" s="74"/>
      <c r="AB89" s="74"/>
      <c r="AD89" s="74"/>
    </row>
    <row r="90" spans="1:30" s="1" customFormat="1" hidden="1" outlineLevel="1" x14ac:dyDescent="0.25">
      <c r="A90" s="2"/>
      <c r="B90" s="51"/>
      <c r="C90" s="51"/>
      <c r="D90" s="51"/>
      <c r="E90" s="51"/>
      <c r="F90" s="51"/>
      <c r="G90" s="51"/>
      <c r="H90" s="80"/>
      <c r="I90" s="51"/>
      <c r="J90" s="51"/>
      <c r="K90" s="51"/>
      <c r="L90" s="51"/>
      <c r="M90" s="51"/>
      <c r="N90" s="81"/>
      <c r="O90" s="51"/>
      <c r="P90" s="51"/>
      <c r="Q90" s="51"/>
      <c r="R90" s="51"/>
      <c r="S90" s="81"/>
      <c r="T90" s="51"/>
      <c r="U90" s="51"/>
      <c r="V90" s="51">
        <f t="shared" si="11"/>
        <v>0</v>
      </c>
      <c r="W90" s="2"/>
      <c r="Y90" s="74"/>
      <c r="AB90" s="74"/>
      <c r="AD90" s="74"/>
    </row>
    <row r="91" spans="1:30" s="1" customFormat="1" hidden="1" outlineLevel="1" x14ac:dyDescent="0.25">
      <c r="A91" s="2"/>
      <c r="B91" s="51"/>
      <c r="C91" s="51"/>
      <c r="D91" s="51"/>
      <c r="E91" s="51"/>
      <c r="F91" s="51"/>
      <c r="G91" s="51"/>
      <c r="H91" s="80"/>
      <c r="I91" s="51"/>
      <c r="J91" s="51"/>
      <c r="K91" s="51"/>
      <c r="L91" s="51"/>
      <c r="M91" s="51"/>
      <c r="N91" s="81"/>
      <c r="O91" s="51"/>
      <c r="P91" s="51"/>
      <c r="Q91" s="51"/>
      <c r="R91" s="51"/>
      <c r="S91" s="81"/>
      <c r="T91" s="51"/>
      <c r="U91" s="51"/>
      <c r="V91" s="51">
        <f t="shared" si="11"/>
        <v>0</v>
      </c>
      <c r="W91" s="2"/>
      <c r="Y91" s="74"/>
      <c r="AB91" s="74"/>
      <c r="AD91" s="74"/>
    </row>
    <row r="92" spans="1:30" s="1" customFormat="1" hidden="1" outlineLevel="1" x14ac:dyDescent="0.25">
      <c r="A92" s="2"/>
      <c r="B92" s="51"/>
      <c r="C92" s="51"/>
      <c r="D92" s="51"/>
      <c r="E92" s="51"/>
      <c r="F92" s="51"/>
      <c r="G92" s="51"/>
      <c r="H92" s="80"/>
      <c r="I92" s="51"/>
      <c r="J92" s="51"/>
      <c r="K92" s="51"/>
      <c r="L92" s="51"/>
      <c r="M92" s="51"/>
      <c r="N92" s="81"/>
      <c r="O92" s="51"/>
      <c r="P92" s="51"/>
      <c r="Q92" s="51"/>
      <c r="R92" s="51"/>
      <c r="S92" s="81"/>
      <c r="T92" s="51"/>
      <c r="U92" s="51"/>
      <c r="V92" s="51">
        <f t="shared" si="11"/>
        <v>0</v>
      </c>
      <c r="W92" s="2"/>
      <c r="Y92" s="74"/>
      <c r="AB92" s="74"/>
      <c r="AD92" s="74"/>
    </row>
    <row r="93" spans="1:30" s="1" customFormat="1" hidden="1" outlineLevel="1" x14ac:dyDescent="0.25">
      <c r="A93" s="2"/>
      <c r="B93" s="51"/>
      <c r="C93" s="51"/>
      <c r="D93" s="51"/>
      <c r="E93" s="51"/>
      <c r="F93" s="51"/>
      <c r="G93" s="51"/>
      <c r="H93" s="80"/>
      <c r="I93" s="51"/>
      <c r="J93" s="51"/>
      <c r="K93" s="51"/>
      <c r="L93" s="51"/>
      <c r="M93" s="51"/>
      <c r="N93" s="81"/>
      <c r="O93" s="51"/>
      <c r="P93" s="51"/>
      <c r="Q93" s="51"/>
      <c r="R93" s="51"/>
      <c r="S93" s="81"/>
      <c r="T93" s="51"/>
      <c r="U93" s="51"/>
      <c r="V93" s="51">
        <f t="shared" si="11"/>
        <v>0</v>
      </c>
      <c r="W93" s="2"/>
      <c r="Y93" s="74"/>
      <c r="AB93" s="74"/>
      <c r="AD93" s="74"/>
    </row>
    <row r="94" spans="1:30" s="1" customFormat="1" hidden="1" outlineLevel="1" x14ac:dyDescent="0.25">
      <c r="A94" s="2"/>
      <c r="B94" s="51"/>
      <c r="C94" s="51"/>
      <c r="D94" s="51"/>
      <c r="E94" s="51"/>
      <c r="F94" s="51"/>
      <c r="G94" s="51"/>
      <c r="H94" s="80"/>
      <c r="I94" s="51"/>
      <c r="J94" s="51"/>
      <c r="K94" s="51"/>
      <c r="L94" s="51"/>
      <c r="M94" s="51"/>
      <c r="N94" s="81"/>
      <c r="O94" s="51"/>
      <c r="P94" s="51"/>
      <c r="Q94" s="51"/>
      <c r="R94" s="51"/>
      <c r="S94" s="81"/>
      <c r="T94" s="51"/>
      <c r="U94" s="51"/>
      <c r="V94" s="51">
        <f t="shared" si="11"/>
        <v>0</v>
      </c>
      <c r="W94" s="2"/>
      <c r="Y94" s="74"/>
      <c r="AB94" s="74"/>
      <c r="AD94" s="74"/>
    </row>
    <row r="95" spans="1:30" s="1" customFormat="1" hidden="1" outlineLevel="1" x14ac:dyDescent="0.25">
      <c r="A95" s="2"/>
      <c r="B95" s="51"/>
      <c r="C95" s="51"/>
      <c r="D95" s="51"/>
      <c r="E95" s="51"/>
      <c r="F95" s="51"/>
      <c r="G95" s="51"/>
      <c r="H95" s="80"/>
      <c r="I95" s="51"/>
      <c r="J95" s="51"/>
      <c r="K95" s="51"/>
      <c r="L95" s="51"/>
      <c r="M95" s="51"/>
      <c r="N95" s="81"/>
      <c r="O95" s="51"/>
      <c r="P95" s="51"/>
      <c r="Q95" s="51"/>
      <c r="R95" s="51"/>
      <c r="S95" s="81"/>
      <c r="T95" s="51"/>
      <c r="U95" s="51"/>
      <c r="V95" s="51">
        <f t="shared" si="11"/>
        <v>0</v>
      </c>
      <c r="W95" s="2"/>
      <c r="Y95" s="74"/>
      <c r="AB95" s="74"/>
      <c r="AD95" s="74"/>
    </row>
    <row r="96" spans="1:30" s="1" customFormat="1" hidden="1" outlineLevel="1" x14ac:dyDescent="0.25">
      <c r="A96" s="2"/>
      <c r="B96" s="51"/>
      <c r="C96" s="51"/>
      <c r="D96" s="51"/>
      <c r="E96" s="51"/>
      <c r="F96" s="51"/>
      <c r="G96" s="51"/>
      <c r="H96" s="80"/>
      <c r="I96" s="51"/>
      <c r="J96" s="51"/>
      <c r="K96" s="51"/>
      <c r="L96" s="51"/>
      <c r="M96" s="51"/>
      <c r="N96" s="81"/>
      <c r="O96" s="51"/>
      <c r="P96" s="51"/>
      <c r="Q96" s="51"/>
      <c r="R96" s="51"/>
      <c r="S96" s="81"/>
      <c r="T96" s="51"/>
      <c r="U96" s="51"/>
      <c r="V96" s="51">
        <f t="shared" si="11"/>
        <v>0</v>
      </c>
      <c r="W96" s="2"/>
      <c r="Y96" s="74"/>
      <c r="AB96" s="74"/>
      <c r="AD96" s="74"/>
    </row>
    <row r="97" spans="1:39" s="1" customFormat="1" hidden="1" outlineLevel="1" x14ac:dyDescent="0.25">
      <c r="A97" s="2"/>
      <c r="B97" s="51"/>
      <c r="C97" s="51"/>
      <c r="D97" s="51"/>
      <c r="E97" s="51"/>
      <c r="F97" s="51"/>
      <c r="G97" s="51"/>
      <c r="H97" s="80"/>
      <c r="I97" s="51"/>
      <c r="J97" s="51"/>
      <c r="K97" s="51"/>
      <c r="L97" s="51"/>
      <c r="M97" s="51"/>
      <c r="N97" s="81"/>
      <c r="O97" s="51"/>
      <c r="P97" s="51"/>
      <c r="Q97" s="51"/>
      <c r="R97" s="51"/>
      <c r="S97" s="81"/>
      <c r="T97" s="51"/>
      <c r="U97" s="51"/>
      <c r="V97" s="51">
        <f t="shared" si="11"/>
        <v>0</v>
      </c>
      <c r="W97" s="2"/>
      <c r="Y97" s="74"/>
      <c r="AB97" s="74"/>
      <c r="AD97" s="74"/>
    </row>
    <row r="98" spans="1:39" s="1" customFormat="1" hidden="1" outlineLevel="1" x14ac:dyDescent="0.25">
      <c r="A98" s="2"/>
      <c r="B98" s="51"/>
      <c r="C98" s="51"/>
      <c r="D98" s="51"/>
      <c r="E98" s="51"/>
      <c r="F98" s="51"/>
      <c r="G98" s="51"/>
      <c r="H98" s="80"/>
      <c r="I98" s="51"/>
      <c r="J98" s="51"/>
      <c r="K98" s="51"/>
      <c r="L98" s="51"/>
      <c r="M98" s="51"/>
      <c r="N98" s="81"/>
      <c r="O98" s="51"/>
      <c r="P98" s="51"/>
      <c r="Q98" s="51"/>
      <c r="R98" s="51"/>
      <c r="S98" s="81"/>
      <c r="T98" s="51"/>
      <c r="U98" s="51"/>
      <c r="V98" s="51">
        <f t="shared" si="11"/>
        <v>0</v>
      </c>
      <c r="W98" s="2"/>
      <c r="Y98" s="74"/>
      <c r="AB98" s="74"/>
      <c r="AD98" s="74"/>
    </row>
    <row r="99" spans="1:39" s="1" customFormat="1" hidden="1" outlineLevel="1" x14ac:dyDescent="0.25">
      <c r="A99" s="2"/>
      <c r="B99" s="51"/>
      <c r="C99" s="51"/>
      <c r="D99" s="51"/>
      <c r="E99" s="51"/>
      <c r="F99" s="51"/>
      <c r="G99" s="51"/>
      <c r="H99" s="80"/>
      <c r="I99" s="51"/>
      <c r="J99" s="51"/>
      <c r="K99" s="51"/>
      <c r="L99" s="51"/>
      <c r="M99" s="51"/>
      <c r="N99" s="81"/>
      <c r="O99" s="51"/>
      <c r="P99" s="51"/>
      <c r="Q99" s="51"/>
      <c r="R99" s="51"/>
      <c r="S99" s="81"/>
      <c r="T99" s="51"/>
      <c r="U99" s="51"/>
      <c r="V99" s="51">
        <f t="shared" si="11"/>
        <v>0</v>
      </c>
      <c r="W99" s="2"/>
      <c r="Y99" s="74"/>
      <c r="AB99" s="74"/>
      <c r="AD99" s="74"/>
    </row>
    <row r="100" spans="1:39" s="1" customFormat="1" hidden="1" outlineLevel="1" x14ac:dyDescent="0.25">
      <c r="A100" s="2"/>
      <c r="B100" s="51"/>
      <c r="C100" s="51"/>
      <c r="D100" s="51"/>
      <c r="E100" s="51"/>
      <c r="F100" s="51"/>
      <c r="G100" s="51"/>
      <c r="H100" s="80"/>
      <c r="I100" s="51"/>
      <c r="J100" s="51"/>
      <c r="K100" s="51"/>
      <c r="L100" s="51"/>
      <c r="M100" s="51"/>
      <c r="N100" s="81"/>
      <c r="O100" s="51"/>
      <c r="P100" s="51"/>
      <c r="Q100" s="51"/>
      <c r="R100" s="51"/>
      <c r="S100" s="81"/>
      <c r="T100" s="51"/>
      <c r="U100" s="51"/>
      <c r="V100" s="51">
        <f t="shared" si="11"/>
        <v>0</v>
      </c>
      <c r="W100" s="2"/>
      <c r="Y100" s="74"/>
      <c r="AB100" s="74"/>
      <c r="AD100" s="74"/>
    </row>
    <row r="101" spans="1:39" ht="15.75" hidden="1" customHeight="1" outlineLevel="1" thickBot="1" x14ac:dyDescent="0.3">
      <c r="A101" s="2"/>
      <c r="B101" s="75"/>
      <c r="C101" s="75"/>
      <c r="D101" s="76"/>
      <c r="E101" s="76"/>
      <c r="F101" s="76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2"/>
      <c r="R101" s="77"/>
      <c r="S101" s="77"/>
      <c r="T101" s="77"/>
      <c r="U101" s="2"/>
      <c r="V101" s="77"/>
      <c r="W101" s="78"/>
      <c r="Y101" s="74"/>
      <c r="Z101" s="6"/>
      <c r="AA101" s="13"/>
      <c r="AB101" s="74"/>
      <c r="AC101" s="6"/>
      <c r="AD101" s="74"/>
      <c r="AE101" s="6"/>
      <c r="AF101" s="6"/>
      <c r="AG101" s="6"/>
      <c r="AH101" s="6"/>
      <c r="AI101" s="6"/>
      <c r="AM101" s="14"/>
    </row>
    <row r="102" spans="1:39" s="1" customFormat="1" ht="12.75" customHeight="1" x14ac:dyDescent="0.25">
      <c r="A102" s="145">
        <v>10</v>
      </c>
      <c r="B102" s="147" t="s">
        <v>209</v>
      </c>
      <c r="C102" s="153" t="s">
        <v>9</v>
      </c>
      <c r="D102" s="156" t="s">
        <v>12</v>
      </c>
      <c r="E102" s="90" t="s">
        <v>15</v>
      </c>
      <c r="F102" s="92">
        <v>0.5</v>
      </c>
      <c r="G102" s="72">
        <f t="shared" ref="G102:U102" si="12">SUM(G104:G113)</f>
        <v>30</v>
      </c>
      <c r="H102" s="72">
        <f t="shared" si="12"/>
        <v>120</v>
      </c>
      <c r="I102" s="72">
        <f t="shared" si="12"/>
        <v>0</v>
      </c>
      <c r="J102" s="72">
        <f t="shared" si="12"/>
        <v>3.3</v>
      </c>
      <c r="K102" s="72">
        <f t="shared" si="12"/>
        <v>0</v>
      </c>
      <c r="L102" s="72">
        <f t="shared" si="12"/>
        <v>99</v>
      </c>
      <c r="M102" s="72">
        <f t="shared" si="12"/>
        <v>4</v>
      </c>
      <c r="N102" s="72">
        <f t="shared" si="12"/>
        <v>0</v>
      </c>
      <c r="O102" s="72">
        <f t="shared" si="12"/>
        <v>0</v>
      </c>
      <c r="P102" s="72">
        <f t="shared" si="12"/>
        <v>16.5</v>
      </c>
      <c r="Q102" s="72">
        <f t="shared" si="12"/>
        <v>0</v>
      </c>
      <c r="R102" s="72">
        <f t="shared" si="12"/>
        <v>0</v>
      </c>
      <c r="S102" s="72">
        <f t="shared" si="12"/>
        <v>0</v>
      </c>
      <c r="T102" s="72">
        <f t="shared" si="12"/>
        <v>0</v>
      </c>
      <c r="U102" s="72">
        <f t="shared" si="12"/>
        <v>0</v>
      </c>
      <c r="V102" s="72">
        <f>SUM(V104:V113)</f>
        <v>272.8</v>
      </c>
      <c r="W102" s="168">
        <f>V102+V103</f>
        <v>596.04999999999995</v>
      </c>
      <c r="Y102" s="74"/>
      <c r="AB102" s="74"/>
      <c r="AD102" s="74"/>
    </row>
    <row r="103" spans="1:39" s="1" customFormat="1" ht="13.8" collapsed="1" thickBot="1" x14ac:dyDescent="0.3">
      <c r="A103" s="146"/>
      <c r="B103" s="148"/>
      <c r="C103" s="154"/>
      <c r="D103" s="157"/>
      <c r="E103" s="91"/>
      <c r="F103" s="93"/>
      <c r="G103" s="73">
        <f>SUM(G115:G132)</f>
        <v>68</v>
      </c>
      <c r="H103" s="79">
        <f>SUM(H115:H132)</f>
        <v>202</v>
      </c>
      <c r="I103" s="79">
        <f>SUM(I115:I132)</f>
        <v>0</v>
      </c>
      <c r="J103" s="73">
        <f t="shared" ref="J103:Q103" si="13">SUM(J115:J132)</f>
        <v>8.4</v>
      </c>
      <c r="K103" s="73">
        <f t="shared" si="13"/>
        <v>0</v>
      </c>
      <c r="L103" s="73">
        <f t="shared" si="13"/>
        <v>0</v>
      </c>
      <c r="M103" s="73">
        <f t="shared" si="13"/>
        <v>6</v>
      </c>
      <c r="N103" s="73">
        <f t="shared" si="13"/>
        <v>0</v>
      </c>
      <c r="O103" s="73">
        <f t="shared" si="13"/>
        <v>7.35</v>
      </c>
      <c r="P103" s="73">
        <f t="shared" si="13"/>
        <v>31.5</v>
      </c>
      <c r="Q103" s="73">
        <f t="shared" si="13"/>
        <v>0</v>
      </c>
      <c r="R103" s="73">
        <f>SUM(R115:R132)</f>
        <v>0</v>
      </c>
      <c r="S103" s="73">
        <f>SUM(S115:S132)</f>
        <v>0</v>
      </c>
      <c r="T103" s="73">
        <f>SUM(T115:T132)</f>
        <v>0</v>
      </c>
      <c r="U103" s="73">
        <f>SUM(U115:U132)</f>
        <v>0</v>
      </c>
      <c r="V103" s="73">
        <f>SUM(V115:V132)</f>
        <v>323.25</v>
      </c>
      <c r="W103" s="169"/>
      <c r="Y103" s="74"/>
      <c r="Z103" s="74"/>
      <c r="AB103" s="74"/>
      <c r="AD103" s="74"/>
    </row>
    <row r="104" spans="1:39" s="1" customFormat="1" ht="39.6" hidden="1" outlineLevel="1" x14ac:dyDescent="0.25">
      <c r="A104" s="34" t="s">
        <v>223</v>
      </c>
      <c r="B104" s="42" t="s">
        <v>180</v>
      </c>
      <c r="C104" s="34">
        <v>4</v>
      </c>
      <c r="D104" s="34"/>
      <c r="E104" s="34"/>
      <c r="F104" s="34"/>
      <c r="G104" s="34">
        <v>30</v>
      </c>
      <c r="H104" s="34">
        <v>60</v>
      </c>
      <c r="I104" s="34"/>
      <c r="J104" s="34">
        <v>1.6</v>
      </c>
      <c r="K104" s="34"/>
      <c r="L104" s="34">
        <v>48</v>
      </c>
      <c r="M104" s="34">
        <v>2</v>
      </c>
      <c r="N104" s="34"/>
      <c r="O104" s="34"/>
      <c r="P104" s="34">
        <v>8</v>
      </c>
      <c r="Q104" s="34"/>
      <c r="R104" s="34"/>
      <c r="S104" s="34"/>
      <c r="T104" s="34"/>
      <c r="U104" s="34"/>
      <c r="V104" s="51">
        <f>SUM(G104:U104)</f>
        <v>149.6</v>
      </c>
      <c r="W104" s="2"/>
      <c r="Y104" s="74"/>
      <c r="AB104" s="74"/>
      <c r="AD104" s="74"/>
    </row>
    <row r="105" spans="1:39" s="1" customFormat="1" hidden="1" outlineLevel="1" x14ac:dyDescent="0.25">
      <c r="A105" s="2" t="s">
        <v>223</v>
      </c>
      <c r="B105" s="51" t="s">
        <v>185</v>
      </c>
      <c r="C105" s="51">
        <v>4</v>
      </c>
      <c r="D105" s="51"/>
      <c r="E105" s="51"/>
      <c r="F105" s="51"/>
      <c r="G105" s="51"/>
      <c r="H105" s="51">
        <v>60</v>
      </c>
      <c r="I105" s="51"/>
      <c r="J105" s="51">
        <v>1.7</v>
      </c>
      <c r="K105" s="51"/>
      <c r="L105" s="51">
        <v>51</v>
      </c>
      <c r="M105" s="51">
        <v>2</v>
      </c>
      <c r="N105" s="51"/>
      <c r="O105" s="51"/>
      <c r="P105" s="51">
        <v>8.5</v>
      </c>
      <c r="Q105" s="51"/>
      <c r="R105" s="51"/>
      <c r="S105" s="51"/>
      <c r="T105" s="51"/>
      <c r="U105" s="51"/>
      <c r="V105" s="51">
        <f>SUM(G105:U105)</f>
        <v>123.2</v>
      </c>
      <c r="W105" s="2"/>
      <c r="Y105" s="74"/>
      <c r="AB105" s="74"/>
      <c r="AD105" s="74"/>
    </row>
    <row r="106" spans="1:39" s="1" customFormat="1" hidden="1" outlineLevel="1" x14ac:dyDescent="0.25">
      <c r="A106" s="2"/>
      <c r="B106" s="51"/>
      <c r="C106" s="51"/>
      <c r="D106" s="51"/>
      <c r="E106" s="51"/>
      <c r="F106" s="51"/>
      <c r="G106" s="51"/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1"/>
      <c r="S106" s="51"/>
      <c r="T106" s="51"/>
      <c r="U106" s="51"/>
      <c r="V106" s="51">
        <f t="shared" ref="V106:V113" si="14">SUM(G106:U106)</f>
        <v>0</v>
      </c>
      <c r="W106" s="2"/>
      <c r="Y106" s="74"/>
      <c r="AB106" s="74"/>
      <c r="AD106" s="74"/>
    </row>
    <row r="107" spans="1:39" s="1" customFormat="1" hidden="1" outlineLevel="1" x14ac:dyDescent="0.25">
      <c r="A107" s="2"/>
      <c r="B107" s="51"/>
      <c r="C107" s="51"/>
      <c r="D107" s="51"/>
      <c r="E107" s="51"/>
      <c r="F107" s="51"/>
      <c r="G107" s="51"/>
      <c r="H107" s="51"/>
      <c r="I107" s="51"/>
      <c r="J107" s="51"/>
      <c r="K107" s="51"/>
      <c r="L107" s="51"/>
      <c r="M107" s="51"/>
      <c r="N107" s="51"/>
      <c r="O107" s="51"/>
      <c r="P107" s="51"/>
      <c r="Q107" s="51"/>
      <c r="R107" s="51"/>
      <c r="S107" s="51"/>
      <c r="T107" s="51"/>
      <c r="U107" s="51"/>
      <c r="V107" s="51">
        <f t="shared" si="14"/>
        <v>0</v>
      </c>
      <c r="W107" s="2"/>
      <c r="Y107" s="74"/>
      <c r="AB107" s="74"/>
      <c r="AD107" s="74"/>
    </row>
    <row r="108" spans="1:39" s="1" customFormat="1" hidden="1" outlineLevel="1" x14ac:dyDescent="0.25">
      <c r="A108" s="2"/>
      <c r="B108" s="51"/>
      <c r="C108" s="51"/>
      <c r="D108" s="51"/>
      <c r="E108" s="51"/>
      <c r="F108" s="51"/>
      <c r="G108" s="51"/>
      <c r="H108" s="51"/>
      <c r="I108" s="51"/>
      <c r="J108" s="51"/>
      <c r="K108" s="51"/>
      <c r="L108" s="51"/>
      <c r="M108" s="51"/>
      <c r="N108" s="51"/>
      <c r="O108" s="51"/>
      <c r="P108" s="51"/>
      <c r="Q108" s="51"/>
      <c r="R108" s="51"/>
      <c r="S108" s="51"/>
      <c r="T108" s="51"/>
      <c r="U108" s="51"/>
      <c r="V108" s="51">
        <f t="shared" si="14"/>
        <v>0</v>
      </c>
      <c r="W108" s="2"/>
      <c r="Y108" s="74"/>
      <c r="AB108" s="74"/>
      <c r="AD108" s="74"/>
    </row>
    <row r="109" spans="1:39" s="1" customFormat="1" hidden="1" outlineLevel="1" x14ac:dyDescent="0.25">
      <c r="A109" s="2"/>
      <c r="B109" s="51"/>
      <c r="C109" s="51"/>
      <c r="D109" s="51"/>
      <c r="E109" s="51"/>
      <c r="F109" s="51"/>
      <c r="G109" s="51"/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1"/>
      <c r="S109" s="51"/>
      <c r="T109" s="51"/>
      <c r="U109" s="51"/>
      <c r="V109" s="51">
        <f t="shared" si="14"/>
        <v>0</v>
      </c>
      <c r="W109" s="2"/>
      <c r="Y109" s="74"/>
      <c r="AB109" s="74"/>
      <c r="AD109" s="74"/>
    </row>
    <row r="110" spans="1:39" s="1" customFormat="1" hidden="1" outlineLevel="1" x14ac:dyDescent="0.25">
      <c r="A110" s="2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>
        <f t="shared" si="14"/>
        <v>0</v>
      </c>
      <c r="W110" s="2"/>
      <c r="Y110" s="74"/>
      <c r="AB110" s="74"/>
      <c r="AD110" s="74"/>
    </row>
    <row r="111" spans="1:39" s="1" customFormat="1" hidden="1" outlineLevel="1" x14ac:dyDescent="0.25">
      <c r="A111" s="2"/>
      <c r="B111" s="51"/>
      <c r="C111" s="51"/>
      <c r="D111" s="51"/>
      <c r="E111" s="51"/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>
        <f t="shared" si="14"/>
        <v>0</v>
      </c>
      <c r="W111" s="2"/>
      <c r="Y111" s="74"/>
      <c r="AB111" s="74"/>
      <c r="AD111" s="74"/>
    </row>
    <row r="112" spans="1:39" s="1" customFormat="1" hidden="1" outlineLevel="1" x14ac:dyDescent="0.25">
      <c r="A112" s="2"/>
      <c r="B112" s="51"/>
      <c r="C112" s="51"/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>
        <f t="shared" si="14"/>
        <v>0</v>
      </c>
      <c r="W112" s="2"/>
      <c r="Y112" s="74"/>
      <c r="AB112" s="74"/>
      <c r="AD112" s="74"/>
    </row>
    <row r="113" spans="1:30" s="1" customFormat="1" hidden="1" outlineLevel="1" x14ac:dyDescent="0.25">
      <c r="A113" s="2"/>
      <c r="B113" s="51"/>
      <c r="C113" s="51"/>
      <c r="D113" s="51"/>
      <c r="E113" s="51"/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>
        <f t="shared" si="14"/>
        <v>0</v>
      </c>
      <c r="W113" s="2"/>
      <c r="Y113" s="74"/>
      <c r="AB113" s="74"/>
      <c r="AD113" s="74"/>
    </row>
    <row r="114" spans="1:30" s="1" customFormat="1" hidden="1" outlineLevel="1" x14ac:dyDescent="0.25">
      <c r="A114" s="2"/>
      <c r="B114" s="185" t="s">
        <v>29</v>
      </c>
      <c r="C114" s="185"/>
      <c r="D114" s="185"/>
      <c r="E114" s="185"/>
      <c r="F114" s="185"/>
      <c r="G114" s="185"/>
      <c r="H114" s="185"/>
      <c r="I114" s="185"/>
      <c r="J114" s="185"/>
      <c r="K114" s="185"/>
      <c r="L114" s="185"/>
      <c r="M114" s="185"/>
      <c r="N114" s="185"/>
      <c r="O114" s="185"/>
      <c r="P114" s="185"/>
      <c r="Q114" s="185"/>
      <c r="R114" s="185"/>
      <c r="S114" s="185"/>
      <c r="T114" s="185"/>
      <c r="U114" s="185"/>
      <c r="V114" s="104"/>
      <c r="W114" s="2"/>
      <c r="Y114" s="74"/>
      <c r="AB114" s="74"/>
      <c r="AD114" s="74"/>
    </row>
    <row r="115" spans="1:30" s="1" customFormat="1" hidden="1" outlineLevel="1" x14ac:dyDescent="0.25">
      <c r="A115" s="2" t="s">
        <v>223</v>
      </c>
      <c r="B115" s="82" t="s">
        <v>191</v>
      </c>
      <c r="C115" s="51">
        <v>1</v>
      </c>
      <c r="D115" s="51"/>
      <c r="E115" s="51"/>
      <c r="F115" s="51"/>
      <c r="G115" s="20"/>
      <c r="H115" s="21">
        <v>68</v>
      </c>
      <c r="I115" s="21"/>
      <c r="J115" s="102">
        <v>2.7</v>
      </c>
      <c r="K115" s="51"/>
      <c r="L115" s="32"/>
      <c r="M115" s="22">
        <v>2</v>
      </c>
      <c r="N115" s="51"/>
      <c r="O115" s="81"/>
      <c r="P115" s="22">
        <v>13.5</v>
      </c>
      <c r="Q115" s="51"/>
      <c r="R115" s="51"/>
      <c r="S115" s="51"/>
      <c r="T115" s="51"/>
      <c r="U115" s="51"/>
      <c r="V115" s="51">
        <f t="shared" ref="V115:V131" si="15">SUM(G115:U115)</f>
        <v>86.2</v>
      </c>
      <c r="W115" s="2"/>
      <c r="Y115" s="74"/>
      <c r="AB115" s="74"/>
      <c r="AD115" s="74"/>
    </row>
    <row r="116" spans="1:30" s="1" customFormat="1" hidden="1" outlineLevel="1" x14ac:dyDescent="0.25">
      <c r="A116" s="2" t="s">
        <v>223</v>
      </c>
      <c r="B116" s="82" t="s">
        <v>186</v>
      </c>
      <c r="C116" s="51">
        <v>1</v>
      </c>
      <c r="D116" s="51"/>
      <c r="E116" s="51"/>
      <c r="F116" s="51"/>
      <c r="G116" s="20">
        <v>34</v>
      </c>
      <c r="H116" s="21">
        <v>102</v>
      </c>
      <c r="I116" s="21"/>
      <c r="J116" s="102">
        <v>3.6</v>
      </c>
      <c r="K116" s="51"/>
      <c r="L116" s="32"/>
      <c r="M116" s="22">
        <v>4</v>
      </c>
      <c r="N116" s="51"/>
      <c r="O116" s="81"/>
      <c r="P116" s="22">
        <v>18</v>
      </c>
      <c r="Q116" s="51"/>
      <c r="R116" s="51"/>
      <c r="S116" s="51"/>
      <c r="T116" s="51"/>
      <c r="U116" s="51"/>
      <c r="V116" s="51">
        <f t="shared" si="15"/>
        <v>161.6</v>
      </c>
      <c r="W116" s="2"/>
      <c r="Y116" s="74"/>
      <c r="AB116" s="74"/>
      <c r="AD116" s="74"/>
    </row>
    <row r="117" spans="1:30" s="1" customFormat="1" hidden="1" outlineLevel="1" x14ac:dyDescent="0.25">
      <c r="A117" s="2" t="s">
        <v>223</v>
      </c>
      <c r="B117" s="82" t="s">
        <v>195</v>
      </c>
      <c r="C117" s="51">
        <v>1</v>
      </c>
      <c r="D117" s="51"/>
      <c r="E117" s="51"/>
      <c r="F117" s="51"/>
      <c r="G117" s="20">
        <v>34</v>
      </c>
      <c r="H117" s="21">
        <v>32</v>
      </c>
      <c r="I117" s="21"/>
      <c r="J117" s="102">
        <v>2.1</v>
      </c>
      <c r="K117" s="51"/>
      <c r="L117" s="32"/>
      <c r="M117" s="22"/>
      <c r="N117" s="51"/>
      <c r="O117" s="81">
        <v>7.35</v>
      </c>
      <c r="P117" s="22"/>
      <c r="Q117" s="51"/>
      <c r="R117" s="51"/>
      <c r="S117" s="51"/>
      <c r="T117" s="51"/>
      <c r="U117" s="51"/>
      <c r="V117" s="51">
        <f t="shared" si="15"/>
        <v>75.449999999999989</v>
      </c>
      <c r="W117" s="2"/>
      <c r="Y117" s="74"/>
      <c r="AB117" s="74"/>
      <c r="AD117" s="74"/>
    </row>
    <row r="118" spans="1:30" s="1" customFormat="1" hidden="1" outlineLevel="1" x14ac:dyDescent="0.25">
      <c r="A118" s="2"/>
      <c r="B118" s="82"/>
      <c r="C118" s="51"/>
      <c r="D118" s="51"/>
      <c r="E118" s="51"/>
      <c r="F118" s="51"/>
      <c r="G118" s="20"/>
      <c r="H118" s="21"/>
      <c r="I118" s="21"/>
      <c r="J118" s="102"/>
      <c r="K118" s="51"/>
      <c r="L118" s="32"/>
      <c r="M118" s="22"/>
      <c r="N118" s="51"/>
      <c r="O118" s="81"/>
      <c r="P118" s="22"/>
      <c r="Q118" s="51"/>
      <c r="R118" s="51"/>
      <c r="S118" s="51"/>
      <c r="T118" s="51"/>
      <c r="U118" s="51"/>
      <c r="V118" s="51">
        <f t="shared" si="15"/>
        <v>0</v>
      </c>
      <c r="W118" s="2"/>
      <c r="Y118" s="74"/>
      <c r="AB118" s="74"/>
      <c r="AD118" s="74"/>
    </row>
    <row r="119" spans="1:30" s="1" customFormat="1" hidden="1" outlineLevel="1" x14ac:dyDescent="0.25">
      <c r="A119" s="2"/>
      <c r="B119" s="51"/>
      <c r="C119" s="51"/>
      <c r="D119" s="51"/>
      <c r="E119" s="51"/>
      <c r="F119" s="51"/>
      <c r="G119" s="51"/>
      <c r="H119" s="80"/>
      <c r="I119" s="51"/>
      <c r="J119" s="51"/>
      <c r="K119" s="51"/>
      <c r="L119" s="51"/>
      <c r="M119" s="51"/>
      <c r="N119" s="81"/>
      <c r="O119" s="51"/>
      <c r="P119" s="51"/>
      <c r="Q119" s="51"/>
      <c r="R119" s="51"/>
      <c r="S119" s="51"/>
      <c r="T119" s="51"/>
      <c r="U119" s="51"/>
      <c r="V119" s="51">
        <f t="shared" si="15"/>
        <v>0</v>
      </c>
      <c r="W119" s="2"/>
      <c r="Y119" s="74"/>
      <c r="AB119" s="74"/>
      <c r="AD119" s="74"/>
    </row>
    <row r="120" spans="1:30" s="1" customFormat="1" hidden="1" outlineLevel="1" x14ac:dyDescent="0.25">
      <c r="A120" s="2"/>
      <c r="B120" s="51"/>
      <c r="C120" s="51"/>
      <c r="D120" s="51"/>
      <c r="E120" s="51"/>
      <c r="F120" s="51"/>
      <c r="G120" s="51"/>
      <c r="H120" s="80"/>
      <c r="I120" s="51"/>
      <c r="J120" s="51"/>
      <c r="K120" s="51"/>
      <c r="L120" s="51"/>
      <c r="M120" s="51"/>
      <c r="N120" s="81"/>
      <c r="O120" s="51"/>
      <c r="P120" s="51"/>
      <c r="Q120" s="51"/>
      <c r="R120" s="51"/>
      <c r="S120" s="51"/>
      <c r="T120" s="51"/>
      <c r="U120" s="51"/>
      <c r="V120" s="51">
        <f t="shared" si="15"/>
        <v>0</v>
      </c>
      <c r="W120" s="2"/>
      <c r="Y120" s="74"/>
      <c r="AB120" s="74"/>
      <c r="AD120" s="74"/>
    </row>
    <row r="121" spans="1:30" s="1" customFormat="1" hidden="1" outlineLevel="1" x14ac:dyDescent="0.25">
      <c r="A121" s="2"/>
      <c r="B121" s="51"/>
      <c r="C121" s="51"/>
      <c r="D121" s="51"/>
      <c r="E121" s="51"/>
      <c r="F121" s="51"/>
      <c r="G121" s="51"/>
      <c r="H121" s="80"/>
      <c r="I121" s="51"/>
      <c r="J121" s="51"/>
      <c r="K121" s="51"/>
      <c r="L121" s="51"/>
      <c r="M121" s="51"/>
      <c r="N121" s="81"/>
      <c r="O121" s="51"/>
      <c r="P121" s="51"/>
      <c r="Q121" s="51"/>
      <c r="R121" s="51"/>
      <c r="S121" s="81"/>
      <c r="T121" s="51"/>
      <c r="U121" s="51"/>
      <c r="V121" s="51">
        <f t="shared" si="15"/>
        <v>0</v>
      </c>
      <c r="W121" s="2"/>
      <c r="Y121" s="74"/>
      <c r="AB121" s="74"/>
      <c r="AD121" s="74"/>
    </row>
    <row r="122" spans="1:30" s="1" customFormat="1" hidden="1" outlineLevel="1" x14ac:dyDescent="0.25">
      <c r="A122" s="2"/>
      <c r="B122" s="51"/>
      <c r="C122" s="51"/>
      <c r="D122" s="51"/>
      <c r="E122" s="51"/>
      <c r="F122" s="51"/>
      <c r="G122" s="51"/>
      <c r="H122" s="80"/>
      <c r="I122" s="51"/>
      <c r="J122" s="51"/>
      <c r="K122" s="51"/>
      <c r="L122" s="51"/>
      <c r="M122" s="51"/>
      <c r="N122" s="81"/>
      <c r="O122" s="51"/>
      <c r="P122" s="51"/>
      <c r="Q122" s="51"/>
      <c r="R122" s="51"/>
      <c r="S122" s="81"/>
      <c r="T122" s="51"/>
      <c r="U122" s="51"/>
      <c r="V122" s="51">
        <f t="shared" si="15"/>
        <v>0</v>
      </c>
      <c r="W122" s="2"/>
      <c r="Y122" s="74"/>
      <c r="AB122" s="74"/>
      <c r="AD122" s="74"/>
    </row>
    <row r="123" spans="1:30" s="1" customFormat="1" hidden="1" outlineLevel="1" x14ac:dyDescent="0.25">
      <c r="A123" s="2"/>
      <c r="B123" s="51"/>
      <c r="C123" s="51"/>
      <c r="D123" s="51"/>
      <c r="E123" s="51"/>
      <c r="F123" s="51"/>
      <c r="G123" s="51"/>
      <c r="H123" s="80"/>
      <c r="I123" s="51"/>
      <c r="J123" s="51"/>
      <c r="K123" s="51"/>
      <c r="L123" s="51"/>
      <c r="M123" s="51"/>
      <c r="N123" s="81"/>
      <c r="O123" s="51"/>
      <c r="P123" s="51"/>
      <c r="Q123" s="51"/>
      <c r="R123" s="51"/>
      <c r="S123" s="81"/>
      <c r="T123" s="51"/>
      <c r="U123" s="51"/>
      <c r="V123" s="51">
        <f t="shared" si="15"/>
        <v>0</v>
      </c>
      <c r="W123" s="2"/>
      <c r="Y123" s="74"/>
      <c r="AB123" s="74"/>
      <c r="AD123" s="74"/>
    </row>
    <row r="124" spans="1:30" s="1" customFormat="1" hidden="1" outlineLevel="1" x14ac:dyDescent="0.25">
      <c r="A124" s="2"/>
      <c r="B124" s="51"/>
      <c r="C124" s="51"/>
      <c r="D124" s="51"/>
      <c r="E124" s="51"/>
      <c r="F124" s="51"/>
      <c r="G124" s="51"/>
      <c r="H124" s="80"/>
      <c r="I124" s="51"/>
      <c r="J124" s="51"/>
      <c r="K124" s="51"/>
      <c r="L124" s="51"/>
      <c r="M124" s="51"/>
      <c r="N124" s="81"/>
      <c r="O124" s="51"/>
      <c r="P124" s="51"/>
      <c r="Q124" s="51"/>
      <c r="R124" s="51"/>
      <c r="S124" s="81"/>
      <c r="T124" s="51"/>
      <c r="U124" s="51"/>
      <c r="V124" s="51">
        <f t="shared" si="15"/>
        <v>0</v>
      </c>
      <c r="W124" s="2"/>
      <c r="Y124" s="74"/>
      <c r="AB124" s="74"/>
      <c r="AD124" s="74"/>
    </row>
    <row r="125" spans="1:30" s="1" customFormat="1" hidden="1" outlineLevel="1" x14ac:dyDescent="0.25">
      <c r="A125" s="2"/>
      <c r="B125" s="51"/>
      <c r="C125" s="51"/>
      <c r="D125" s="51"/>
      <c r="E125" s="51"/>
      <c r="F125" s="51"/>
      <c r="G125" s="51"/>
      <c r="H125" s="80"/>
      <c r="I125" s="51"/>
      <c r="J125" s="51"/>
      <c r="K125" s="51"/>
      <c r="L125" s="51"/>
      <c r="M125" s="51"/>
      <c r="N125" s="81"/>
      <c r="O125" s="51"/>
      <c r="P125" s="51"/>
      <c r="Q125" s="51"/>
      <c r="R125" s="51"/>
      <c r="S125" s="81"/>
      <c r="T125" s="51"/>
      <c r="U125" s="51"/>
      <c r="V125" s="51">
        <f t="shared" si="15"/>
        <v>0</v>
      </c>
      <c r="W125" s="2"/>
      <c r="Y125" s="74"/>
      <c r="AB125" s="74"/>
      <c r="AD125" s="74"/>
    </row>
    <row r="126" spans="1:30" s="1" customFormat="1" hidden="1" outlineLevel="1" x14ac:dyDescent="0.25">
      <c r="A126" s="2"/>
      <c r="B126" s="51"/>
      <c r="C126" s="51"/>
      <c r="D126" s="51"/>
      <c r="E126" s="51"/>
      <c r="F126" s="51"/>
      <c r="G126" s="51"/>
      <c r="H126" s="80"/>
      <c r="I126" s="51"/>
      <c r="J126" s="51"/>
      <c r="K126" s="51"/>
      <c r="L126" s="51"/>
      <c r="M126" s="51"/>
      <c r="N126" s="81"/>
      <c r="O126" s="51"/>
      <c r="P126" s="51"/>
      <c r="Q126" s="51"/>
      <c r="R126" s="51"/>
      <c r="S126" s="81"/>
      <c r="T126" s="51"/>
      <c r="U126" s="51"/>
      <c r="V126" s="51">
        <f t="shared" si="15"/>
        <v>0</v>
      </c>
      <c r="W126" s="2"/>
      <c r="Y126" s="74"/>
      <c r="AB126" s="74"/>
      <c r="AD126" s="74"/>
    </row>
    <row r="127" spans="1:30" s="1" customFormat="1" hidden="1" outlineLevel="1" x14ac:dyDescent="0.25">
      <c r="A127" s="2"/>
      <c r="B127" s="51"/>
      <c r="C127" s="51"/>
      <c r="D127" s="51"/>
      <c r="E127" s="51"/>
      <c r="F127" s="51"/>
      <c r="G127" s="51"/>
      <c r="H127" s="80"/>
      <c r="I127" s="51"/>
      <c r="J127" s="51"/>
      <c r="K127" s="51"/>
      <c r="L127" s="51"/>
      <c r="M127" s="51"/>
      <c r="N127" s="81"/>
      <c r="O127" s="51"/>
      <c r="P127" s="51"/>
      <c r="Q127" s="51"/>
      <c r="R127" s="51"/>
      <c r="S127" s="81"/>
      <c r="T127" s="51"/>
      <c r="U127" s="51"/>
      <c r="V127" s="51">
        <f t="shared" si="15"/>
        <v>0</v>
      </c>
      <c r="W127" s="2"/>
      <c r="Y127" s="74"/>
      <c r="AB127" s="74"/>
      <c r="AD127" s="74"/>
    </row>
    <row r="128" spans="1:30" s="1" customFormat="1" hidden="1" outlineLevel="1" x14ac:dyDescent="0.25">
      <c r="A128" s="2"/>
      <c r="B128" s="51"/>
      <c r="C128" s="51"/>
      <c r="D128" s="51"/>
      <c r="E128" s="51"/>
      <c r="F128" s="51"/>
      <c r="G128" s="51"/>
      <c r="H128" s="80"/>
      <c r="I128" s="51"/>
      <c r="J128" s="51"/>
      <c r="K128" s="51"/>
      <c r="L128" s="51"/>
      <c r="M128" s="51"/>
      <c r="N128" s="81"/>
      <c r="O128" s="51"/>
      <c r="P128" s="51"/>
      <c r="Q128" s="51"/>
      <c r="R128" s="51"/>
      <c r="S128" s="81"/>
      <c r="T128" s="51"/>
      <c r="U128" s="51"/>
      <c r="V128" s="51">
        <f t="shared" si="15"/>
        <v>0</v>
      </c>
      <c r="W128" s="2"/>
      <c r="Y128" s="74"/>
      <c r="AB128" s="74"/>
      <c r="AD128" s="74"/>
    </row>
    <row r="129" spans="1:39" s="1" customFormat="1" hidden="1" outlineLevel="1" x14ac:dyDescent="0.25">
      <c r="A129" s="2"/>
      <c r="B129" s="51"/>
      <c r="C129" s="51"/>
      <c r="D129" s="51"/>
      <c r="E129" s="51"/>
      <c r="F129" s="51"/>
      <c r="G129" s="51"/>
      <c r="H129" s="80"/>
      <c r="I129" s="51"/>
      <c r="J129" s="51"/>
      <c r="K129" s="51"/>
      <c r="L129" s="51"/>
      <c r="M129" s="51"/>
      <c r="N129" s="81"/>
      <c r="O129" s="51"/>
      <c r="P129" s="51"/>
      <c r="Q129" s="51"/>
      <c r="R129" s="51"/>
      <c r="S129" s="81"/>
      <c r="T129" s="51"/>
      <c r="U129" s="51"/>
      <c r="V129" s="51">
        <f t="shared" si="15"/>
        <v>0</v>
      </c>
      <c r="W129" s="2"/>
      <c r="Y129" s="74"/>
      <c r="AB129" s="74"/>
      <c r="AD129" s="74"/>
    </row>
    <row r="130" spans="1:39" s="1" customFormat="1" hidden="1" outlineLevel="1" x14ac:dyDescent="0.25">
      <c r="A130" s="2"/>
      <c r="B130" s="51"/>
      <c r="C130" s="51"/>
      <c r="D130" s="51"/>
      <c r="E130" s="51"/>
      <c r="F130" s="51"/>
      <c r="G130" s="51"/>
      <c r="H130" s="80"/>
      <c r="I130" s="51"/>
      <c r="J130" s="51"/>
      <c r="K130" s="51"/>
      <c r="L130" s="51"/>
      <c r="M130" s="51"/>
      <c r="N130" s="81"/>
      <c r="O130" s="51"/>
      <c r="P130" s="51"/>
      <c r="Q130" s="51"/>
      <c r="R130" s="51"/>
      <c r="S130" s="81"/>
      <c r="T130" s="51"/>
      <c r="U130" s="51"/>
      <c r="V130" s="51">
        <f t="shared" si="15"/>
        <v>0</v>
      </c>
      <c r="W130" s="2"/>
      <c r="Y130" s="74"/>
      <c r="AB130" s="74"/>
      <c r="AD130" s="74"/>
    </row>
    <row r="131" spans="1:39" s="1" customFormat="1" hidden="1" outlineLevel="1" x14ac:dyDescent="0.25">
      <c r="A131" s="2"/>
      <c r="B131" s="51"/>
      <c r="C131" s="51"/>
      <c r="D131" s="51"/>
      <c r="E131" s="51"/>
      <c r="F131" s="51"/>
      <c r="G131" s="51"/>
      <c r="H131" s="80"/>
      <c r="I131" s="51"/>
      <c r="J131" s="51"/>
      <c r="K131" s="51"/>
      <c r="L131" s="51"/>
      <c r="M131" s="51"/>
      <c r="N131" s="81"/>
      <c r="O131" s="51"/>
      <c r="P131" s="51"/>
      <c r="Q131" s="51"/>
      <c r="R131" s="51"/>
      <c r="S131" s="81"/>
      <c r="T131" s="51"/>
      <c r="U131" s="51"/>
      <c r="V131" s="51">
        <f t="shared" si="15"/>
        <v>0</v>
      </c>
      <c r="W131" s="2"/>
      <c r="Y131" s="74"/>
      <c r="AB131" s="74"/>
      <c r="AD131" s="74"/>
    </row>
    <row r="132" spans="1:39" ht="15.75" hidden="1" customHeight="1" outlineLevel="1" thickBot="1" x14ac:dyDescent="0.3">
      <c r="A132" s="2"/>
      <c r="B132" s="75"/>
      <c r="C132" s="75"/>
      <c r="D132" s="76"/>
      <c r="E132" s="76"/>
      <c r="F132" s="76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2"/>
      <c r="R132" s="77"/>
      <c r="S132" s="77"/>
      <c r="T132" s="77"/>
      <c r="U132" s="2"/>
      <c r="V132" s="77"/>
      <c r="W132" s="78"/>
      <c r="Y132" s="74"/>
      <c r="Z132" s="6"/>
      <c r="AA132" s="13"/>
      <c r="AB132" s="74"/>
      <c r="AC132" s="6"/>
      <c r="AD132" s="74"/>
      <c r="AE132" s="6"/>
      <c r="AF132" s="6"/>
      <c r="AG132" s="6"/>
      <c r="AH132" s="6"/>
      <c r="AI132" s="6"/>
      <c r="AM132" s="14"/>
    </row>
    <row r="133" spans="1:39" s="1" customFormat="1" ht="12.75" customHeight="1" x14ac:dyDescent="0.25">
      <c r="A133" s="145">
        <v>11</v>
      </c>
      <c r="B133" s="147" t="s">
        <v>199</v>
      </c>
      <c r="C133" s="149" t="s">
        <v>9</v>
      </c>
      <c r="D133" s="90" t="s">
        <v>12</v>
      </c>
      <c r="E133" s="90" t="s">
        <v>15</v>
      </c>
      <c r="F133" s="92">
        <v>0.5</v>
      </c>
      <c r="G133" s="72">
        <f t="shared" ref="G133:U133" si="16">SUM(G135:G144)</f>
        <v>0</v>
      </c>
      <c r="H133" s="72">
        <f t="shared" si="16"/>
        <v>0</v>
      </c>
      <c r="I133" s="72">
        <f t="shared" si="16"/>
        <v>0</v>
      </c>
      <c r="J133" s="72">
        <f t="shared" si="16"/>
        <v>4.6999999999999993</v>
      </c>
      <c r="K133" s="72">
        <f t="shared" si="16"/>
        <v>0</v>
      </c>
      <c r="L133" s="72">
        <f t="shared" si="16"/>
        <v>141</v>
      </c>
      <c r="M133" s="72">
        <f t="shared" si="16"/>
        <v>0</v>
      </c>
      <c r="N133" s="72">
        <f t="shared" si="16"/>
        <v>0</v>
      </c>
      <c r="O133" s="72">
        <f t="shared" si="16"/>
        <v>0</v>
      </c>
      <c r="P133" s="72">
        <f t="shared" si="16"/>
        <v>0</v>
      </c>
      <c r="Q133" s="72">
        <f t="shared" si="16"/>
        <v>0</v>
      </c>
      <c r="R133" s="72">
        <f t="shared" si="16"/>
        <v>0</v>
      </c>
      <c r="S133" s="72">
        <f t="shared" si="16"/>
        <v>0</v>
      </c>
      <c r="T133" s="72">
        <f t="shared" si="16"/>
        <v>0</v>
      </c>
      <c r="U133" s="72">
        <f t="shared" si="16"/>
        <v>0</v>
      </c>
      <c r="V133" s="72">
        <f>SUM(V135:V144)</f>
        <v>145.69999999999999</v>
      </c>
      <c r="W133" s="168">
        <f>V133+V134</f>
        <v>378.04999999999995</v>
      </c>
      <c r="Y133" s="74"/>
      <c r="AB133" s="74"/>
      <c r="AD133" s="74"/>
    </row>
    <row r="134" spans="1:39" s="1" customFormat="1" ht="13.8" collapsed="1" thickBot="1" x14ac:dyDescent="0.3">
      <c r="A134" s="146"/>
      <c r="B134" s="148"/>
      <c r="C134" s="150"/>
      <c r="D134" s="91"/>
      <c r="E134" s="91"/>
      <c r="F134" s="93"/>
      <c r="G134" s="73">
        <f>SUM(G146:G163)</f>
        <v>34</v>
      </c>
      <c r="H134" s="79">
        <f>SUM(H146:H163)</f>
        <v>170</v>
      </c>
      <c r="I134" s="79">
        <f>SUM(I146:I163)</f>
        <v>0</v>
      </c>
      <c r="J134" s="73">
        <f t="shared" ref="J134:Q134" si="17">SUM(J146:J163)</f>
        <v>6.3000000000000007</v>
      </c>
      <c r="K134" s="73">
        <f t="shared" si="17"/>
        <v>0</v>
      </c>
      <c r="L134" s="73">
        <f t="shared" si="17"/>
        <v>0</v>
      </c>
      <c r="M134" s="73">
        <f t="shared" si="17"/>
        <v>0</v>
      </c>
      <c r="N134" s="73">
        <f t="shared" si="17"/>
        <v>0</v>
      </c>
      <c r="O134" s="73">
        <f t="shared" si="17"/>
        <v>22.049999999999997</v>
      </c>
      <c r="P134" s="73">
        <f t="shared" si="17"/>
        <v>0</v>
      </c>
      <c r="Q134" s="73">
        <f t="shared" si="17"/>
        <v>0</v>
      </c>
      <c r="R134" s="73">
        <f>SUM(R146:R163)</f>
        <v>0</v>
      </c>
      <c r="S134" s="73">
        <f>SUM(S146:S163)</f>
        <v>0</v>
      </c>
      <c r="T134" s="73">
        <f>SUM(T146:T163)</f>
        <v>0</v>
      </c>
      <c r="U134" s="73">
        <f>SUM(U146:U163)</f>
        <v>0</v>
      </c>
      <c r="V134" s="73">
        <f>SUM(V146:V163)</f>
        <v>232.35</v>
      </c>
      <c r="W134" s="169"/>
      <c r="Y134" s="74"/>
      <c r="Z134" s="74"/>
      <c r="AB134" s="74"/>
      <c r="AD134" s="74"/>
    </row>
    <row r="135" spans="1:39" s="1" customFormat="1" hidden="1" outlineLevel="1" x14ac:dyDescent="0.25">
      <c r="A135" s="2" t="s">
        <v>223</v>
      </c>
      <c r="B135" s="51" t="s">
        <v>182</v>
      </c>
      <c r="C135" s="51">
        <v>2</v>
      </c>
      <c r="D135" s="51"/>
      <c r="E135" s="51"/>
      <c r="F135" s="51"/>
      <c r="G135" s="51"/>
      <c r="H135" s="51"/>
      <c r="I135" s="51"/>
      <c r="J135" s="51">
        <v>2.4</v>
      </c>
      <c r="K135" s="51"/>
      <c r="L135" s="51">
        <v>72</v>
      </c>
      <c r="M135" s="51"/>
      <c r="N135" s="51"/>
      <c r="O135" s="51"/>
      <c r="P135" s="51"/>
      <c r="Q135" s="51"/>
      <c r="R135" s="51"/>
      <c r="S135" s="51"/>
      <c r="T135" s="51"/>
      <c r="U135" s="51"/>
      <c r="V135" s="51">
        <f>SUM(G135:U135)</f>
        <v>74.400000000000006</v>
      </c>
      <c r="W135" s="2"/>
      <c r="Y135" s="74"/>
      <c r="AB135" s="74"/>
      <c r="AD135" s="74"/>
    </row>
    <row r="136" spans="1:39" s="1" customFormat="1" hidden="1" outlineLevel="1" x14ac:dyDescent="0.25">
      <c r="A136" t="s">
        <v>223</v>
      </c>
      <c r="B136" t="s">
        <v>175</v>
      </c>
      <c r="C136">
        <v>2</v>
      </c>
      <c r="D136"/>
      <c r="E136"/>
      <c r="F136"/>
      <c r="G136"/>
      <c r="H136"/>
      <c r="I136"/>
      <c r="J136">
        <v>2.2999999999999998</v>
      </c>
      <c r="K136"/>
      <c r="L136">
        <v>69</v>
      </c>
      <c r="M136"/>
      <c r="N136"/>
      <c r="O136"/>
      <c r="P136"/>
      <c r="Q136"/>
      <c r="R136"/>
      <c r="S136"/>
      <c r="T136"/>
      <c r="U136"/>
      <c r="V136" s="51">
        <f>SUM(G136:U136)</f>
        <v>71.3</v>
      </c>
      <c r="W136" s="2"/>
      <c r="Y136" s="74"/>
      <c r="AB136" s="74"/>
      <c r="AD136" s="74"/>
    </row>
    <row r="137" spans="1:39" s="1" customFormat="1" hidden="1" outlineLevel="1" x14ac:dyDescent="0.25">
      <c r="A137" s="2"/>
      <c r="B137" s="51"/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  <c r="T137" s="51"/>
      <c r="U137" s="51"/>
      <c r="V137" s="51">
        <f t="shared" ref="V137:V144" si="18">SUM(G137:U137)</f>
        <v>0</v>
      </c>
      <c r="W137" s="2"/>
      <c r="Y137" s="74"/>
      <c r="AB137" s="74"/>
      <c r="AD137" s="74"/>
    </row>
    <row r="138" spans="1:39" s="1" customFormat="1" hidden="1" outlineLevel="1" x14ac:dyDescent="0.25">
      <c r="A138" s="2"/>
      <c r="B138" s="51"/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>
        <f t="shared" si="18"/>
        <v>0</v>
      </c>
      <c r="W138" s="2"/>
      <c r="Y138" s="74"/>
      <c r="AB138" s="74"/>
      <c r="AD138" s="74"/>
    </row>
    <row r="139" spans="1:39" s="1" customFormat="1" hidden="1" outlineLevel="1" x14ac:dyDescent="0.25">
      <c r="A139" s="2"/>
      <c r="B139" s="51"/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  <c r="S139" s="51"/>
      <c r="T139" s="51"/>
      <c r="U139" s="51"/>
      <c r="V139" s="51">
        <f t="shared" si="18"/>
        <v>0</v>
      </c>
      <c r="W139" s="2"/>
      <c r="Y139" s="74"/>
      <c r="AB139" s="74"/>
      <c r="AD139" s="74"/>
    </row>
    <row r="140" spans="1:39" s="1" customFormat="1" hidden="1" outlineLevel="1" x14ac:dyDescent="0.25">
      <c r="A140" s="2"/>
      <c r="B140" s="51"/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  <c r="S140" s="51"/>
      <c r="T140" s="51"/>
      <c r="U140" s="51"/>
      <c r="V140" s="51">
        <f t="shared" si="18"/>
        <v>0</v>
      </c>
      <c r="W140" s="2"/>
      <c r="Y140" s="74"/>
      <c r="AB140" s="74"/>
      <c r="AD140" s="74"/>
    </row>
    <row r="141" spans="1:39" s="1" customFormat="1" hidden="1" outlineLevel="1" x14ac:dyDescent="0.25">
      <c r="A141" s="2"/>
      <c r="B141" s="51"/>
      <c r="C141" s="51"/>
      <c r="D141" s="51"/>
      <c r="E141" s="51"/>
      <c r="F141" s="51"/>
      <c r="G141" s="51"/>
      <c r="H141" s="51"/>
      <c r="I141" s="51"/>
      <c r="J141" s="51"/>
      <c r="K141" s="51"/>
      <c r="L141" s="51"/>
      <c r="M141" s="51"/>
      <c r="N141" s="51"/>
      <c r="O141" s="51"/>
      <c r="P141" s="51"/>
      <c r="Q141" s="51"/>
      <c r="R141" s="51"/>
      <c r="S141" s="51"/>
      <c r="T141" s="51"/>
      <c r="U141" s="51"/>
      <c r="V141" s="51">
        <f t="shared" si="18"/>
        <v>0</v>
      </c>
      <c r="W141" s="2"/>
      <c r="Y141" s="74"/>
      <c r="AB141" s="74"/>
      <c r="AD141" s="74"/>
    </row>
    <row r="142" spans="1:39" s="1" customFormat="1" hidden="1" outlineLevel="1" x14ac:dyDescent="0.25">
      <c r="A142" s="2"/>
      <c r="B142" s="51"/>
      <c r="C142" s="51"/>
      <c r="D142" s="51"/>
      <c r="E142" s="51"/>
      <c r="F142" s="51"/>
      <c r="G142" s="51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1"/>
      <c r="S142" s="51"/>
      <c r="T142" s="51"/>
      <c r="U142" s="51"/>
      <c r="V142" s="51">
        <f t="shared" si="18"/>
        <v>0</v>
      </c>
      <c r="W142" s="2"/>
      <c r="Y142" s="74"/>
      <c r="AB142" s="74"/>
      <c r="AD142" s="74"/>
    </row>
    <row r="143" spans="1:39" s="1" customFormat="1" hidden="1" outlineLevel="1" x14ac:dyDescent="0.25">
      <c r="A143" s="2"/>
      <c r="B143" s="51"/>
      <c r="C143" s="51"/>
      <c r="D143" s="51"/>
      <c r="E143" s="51"/>
      <c r="F143" s="51"/>
      <c r="G143" s="51"/>
      <c r="H143" s="51"/>
      <c r="I143" s="51"/>
      <c r="J143" s="51"/>
      <c r="K143" s="51"/>
      <c r="L143" s="51"/>
      <c r="M143" s="51"/>
      <c r="N143" s="51"/>
      <c r="O143" s="51"/>
      <c r="P143" s="51"/>
      <c r="Q143" s="51"/>
      <c r="R143" s="51"/>
      <c r="S143" s="51"/>
      <c r="T143" s="51"/>
      <c r="U143" s="51"/>
      <c r="V143" s="51">
        <f t="shared" si="18"/>
        <v>0</v>
      </c>
      <c r="W143" s="2"/>
      <c r="Y143" s="74"/>
      <c r="AB143" s="74"/>
      <c r="AD143" s="74"/>
    </row>
    <row r="144" spans="1:39" s="1" customFormat="1" hidden="1" outlineLevel="1" x14ac:dyDescent="0.25">
      <c r="A144" s="2"/>
      <c r="B144" s="51"/>
      <c r="C144" s="51"/>
      <c r="D144" s="51"/>
      <c r="E144" s="51"/>
      <c r="F144" s="51"/>
      <c r="G144" s="51"/>
      <c r="H144" s="51"/>
      <c r="I144" s="51"/>
      <c r="J144" s="51"/>
      <c r="K144" s="51"/>
      <c r="L144" s="51"/>
      <c r="M144" s="51"/>
      <c r="N144" s="51"/>
      <c r="O144" s="51"/>
      <c r="P144" s="51"/>
      <c r="Q144" s="51"/>
      <c r="R144" s="51"/>
      <c r="S144" s="51"/>
      <c r="T144" s="51"/>
      <c r="U144" s="51"/>
      <c r="V144" s="51">
        <f t="shared" si="18"/>
        <v>0</v>
      </c>
      <c r="W144" s="2"/>
      <c r="Y144" s="74"/>
      <c r="AB144" s="74"/>
      <c r="AD144" s="74"/>
    </row>
    <row r="145" spans="1:30" s="1" customFormat="1" hidden="1" outlineLevel="1" x14ac:dyDescent="0.25">
      <c r="A145" s="2"/>
      <c r="B145" s="185" t="s">
        <v>29</v>
      </c>
      <c r="C145" s="185"/>
      <c r="D145" s="185"/>
      <c r="E145" s="185"/>
      <c r="F145" s="185"/>
      <c r="G145" s="185"/>
      <c r="H145" s="185"/>
      <c r="I145" s="185"/>
      <c r="J145" s="185"/>
      <c r="K145" s="185"/>
      <c r="L145" s="185"/>
      <c r="M145" s="185"/>
      <c r="N145" s="185"/>
      <c r="O145" s="185"/>
      <c r="P145" s="185"/>
      <c r="Q145" s="185"/>
      <c r="R145" s="185"/>
      <c r="S145" s="185"/>
      <c r="T145" s="185"/>
      <c r="U145" s="185"/>
      <c r="V145" s="104"/>
      <c r="W145" s="2"/>
      <c r="Y145" s="74"/>
      <c r="AB145" s="74"/>
      <c r="AD145" s="74"/>
    </row>
    <row r="146" spans="1:30" s="1" customFormat="1" hidden="1" outlineLevel="1" x14ac:dyDescent="0.25">
      <c r="A146" s="2" t="s">
        <v>223</v>
      </c>
      <c r="B146" s="82" t="s">
        <v>175</v>
      </c>
      <c r="C146" s="51">
        <v>1</v>
      </c>
      <c r="D146" s="51"/>
      <c r="E146" s="51"/>
      <c r="F146" s="51"/>
      <c r="G146" s="20">
        <v>34</v>
      </c>
      <c r="H146" s="21">
        <v>102</v>
      </c>
      <c r="I146" s="21"/>
      <c r="J146" s="102">
        <v>3.6</v>
      </c>
      <c r="K146" s="51"/>
      <c r="L146" s="32"/>
      <c r="M146" s="22"/>
      <c r="N146" s="51"/>
      <c r="O146" s="81">
        <v>12.6</v>
      </c>
      <c r="P146" s="22"/>
      <c r="Q146" s="51"/>
      <c r="R146" s="51"/>
      <c r="S146" s="51"/>
      <c r="T146" s="51"/>
      <c r="U146" s="51"/>
      <c r="V146" s="51">
        <f t="shared" ref="V146:V162" si="19">SUM(G146:U146)</f>
        <v>152.19999999999999</v>
      </c>
      <c r="W146" s="2"/>
      <c r="Y146" s="74"/>
      <c r="AB146" s="74"/>
      <c r="AD146" s="74"/>
    </row>
    <row r="147" spans="1:30" s="1" customFormat="1" hidden="1" outlineLevel="1" x14ac:dyDescent="0.25">
      <c r="A147" s="2" t="s">
        <v>223</v>
      </c>
      <c r="B147" s="82" t="s">
        <v>182</v>
      </c>
      <c r="C147" s="51">
        <v>1</v>
      </c>
      <c r="D147" s="51"/>
      <c r="E147" s="51"/>
      <c r="F147" s="51"/>
      <c r="G147" s="20"/>
      <c r="H147" s="21">
        <v>68</v>
      </c>
      <c r="I147" s="21"/>
      <c r="J147" s="102">
        <v>2.7</v>
      </c>
      <c r="K147" s="51"/>
      <c r="L147" s="32"/>
      <c r="M147" s="22"/>
      <c r="N147" s="51"/>
      <c r="O147" s="81">
        <v>9.4499999999999993</v>
      </c>
      <c r="P147" s="22"/>
      <c r="Q147" s="51"/>
      <c r="R147" s="51"/>
      <c r="S147" s="51"/>
      <c r="T147" s="51"/>
      <c r="U147" s="51"/>
      <c r="V147" s="51">
        <f t="shared" si="19"/>
        <v>80.150000000000006</v>
      </c>
      <c r="W147" s="2"/>
      <c r="Y147" s="74"/>
      <c r="AB147" s="74"/>
      <c r="AD147" s="74"/>
    </row>
    <row r="148" spans="1:30" s="1" customFormat="1" hidden="1" outlineLevel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 s="51">
        <f t="shared" si="19"/>
        <v>0</v>
      </c>
      <c r="W148" s="2"/>
      <c r="Y148" s="74"/>
      <c r="AB148" s="74"/>
      <c r="AD148" s="74"/>
    </row>
    <row r="149" spans="1:30" s="1" customFormat="1" hidden="1" outlineLevel="1" x14ac:dyDescent="0.25">
      <c r="A149" s="2"/>
      <c r="B149" s="82"/>
      <c r="C149" s="51"/>
      <c r="D149" s="51"/>
      <c r="E149" s="51"/>
      <c r="F149" s="51"/>
      <c r="G149" s="20"/>
      <c r="H149" s="21"/>
      <c r="I149" s="21"/>
      <c r="J149" s="102"/>
      <c r="K149" s="51"/>
      <c r="L149" s="32"/>
      <c r="M149" s="22"/>
      <c r="N149" s="51"/>
      <c r="O149" s="81"/>
      <c r="P149" s="22"/>
      <c r="Q149" s="51"/>
      <c r="R149" s="51"/>
      <c r="S149" s="51"/>
      <c r="T149" s="51"/>
      <c r="U149" s="51"/>
      <c r="V149" s="51">
        <f t="shared" si="19"/>
        <v>0</v>
      </c>
      <c r="W149" s="2"/>
      <c r="Y149" s="74"/>
      <c r="AB149" s="74"/>
      <c r="AD149" s="74"/>
    </row>
    <row r="150" spans="1:30" s="1" customFormat="1" hidden="1" outlineLevel="1" x14ac:dyDescent="0.25">
      <c r="A150" s="2"/>
      <c r="B150" s="51"/>
      <c r="C150" s="51"/>
      <c r="D150" s="51"/>
      <c r="E150" s="51"/>
      <c r="F150" s="51"/>
      <c r="G150" s="51"/>
      <c r="H150" s="80"/>
      <c r="I150" s="51"/>
      <c r="J150" s="51"/>
      <c r="K150" s="51"/>
      <c r="L150" s="51"/>
      <c r="M150" s="51"/>
      <c r="N150" s="81"/>
      <c r="O150" s="51"/>
      <c r="P150" s="51"/>
      <c r="Q150" s="51"/>
      <c r="R150" s="51"/>
      <c r="S150" s="51"/>
      <c r="T150" s="51"/>
      <c r="U150" s="51"/>
      <c r="V150" s="51">
        <f t="shared" si="19"/>
        <v>0</v>
      </c>
      <c r="W150" s="2"/>
      <c r="Y150" s="74"/>
      <c r="AB150" s="74"/>
      <c r="AD150" s="74"/>
    </row>
    <row r="151" spans="1:30" s="1" customFormat="1" hidden="1" outlineLevel="1" x14ac:dyDescent="0.25">
      <c r="A151" s="2"/>
      <c r="B151" s="51"/>
      <c r="C151" s="51"/>
      <c r="D151" s="51"/>
      <c r="E151" s="51"/>
      <c r="F151" s="51"/>
      <c r="G151" s="51"/>
      <c r="H151" s="80"/>
      <c r="I151" s="51"/>
      <c r="J151" s="51"/>
      <c r="K151" s="51"/>
      <c r="L151" s="51"/>
      <c r="M151" s="51"/>
      <c r="N151" s="81"/>
      <c r="O151" s="51"/>
      <c r="P151" s="51"/>
      <c r="Q151" s="51"/>
      <c r="R151" s="51"/>
      <c r="S151" s="51"/>
      <c r="T151" s="51"/>
      <c r="U151" s="51"/>
      <c r="V151" s="51">
        <f t="shared" si="19"/>
        <v>0</v>
      </c>
      <c r="W151" s="2"/>
      <c r="Y151" s="74"/>
      <c r="AB151" s="74"/>
      <c r="AD151" s="74"/>
    </row>
    <row r="152" spans="1:30" s="1" customFormat="1" hidden="1" outlineLevel="1" x14ac:dyDescent="0.25">
      <c r="A152" s="2"/>
      <c r="B152" s="51"/>
      <c r="C152" s="51"/>
      <c r="D152" s="51"/>
      <c r="E152" s="51"/>
      <c r="F152" s="51"/>
      <c r="G152" s="51"/>
      <c r="H152" s="80"/>
      <c r="I152" s="51"/>
      <c r="J152" s="51"/>
      <c r="K152" s="51"/>
      <c r="L152" s="51"/>
      <c r="M152" s="51"/>
      <c r="N152" s="81"/>
      <c r="O152" s="51"/>
      <c r="P152" s="51"/>
      <c r="Q152" s="51"/>
      <c r="R152" s="51"/>
      <c r="S152" s="81"/>
      <c r="T152" s="51"/>
      <c r="U152" s="51"/>
      <c r="V152" s="51">
        <f t="shared" si="19"/>
        <v>0</v>
      </c>
      <c r="W152" s="2"/>
      <c r="Y152" s="74"/>
      <c r="AB152" s="74"/>
      <c r="AD152" s="74"/>
    </row>
    <row r="153" spans="1:30" s="1" customFormat="1" hidden="1" outlineLevel="1" x14ac:dyDescent="0.25">
      <c r="A153" s="2"/>
      <c r="B153" s="51"/>
      <c r="C153" s="51"/>
      <c r="D153" s="51"/>
      <c r="E153" s="51"/>
      <c r="F153" s="51"/>
      <c r="G153" s="51"/>
      <c r="H153" s="80"/>
      <c r="I153" s="51"/>
      <c r="J153" s="51"/>
      <c r="K153" s="51"/>
      <c r="L153" s="51"/>
      <c r="M153" s="51"/>
      <c r="N153" s="81"/>
      <c r="O153" s="51"/>
      <c r="P153" s="51"/>
      <c r="Q153" s="51"/>
      <c r="R153" s="51"/>
      <c r="S153" s="81"/>
      <c r="T153" s="51"/>
      <c r="U153" s="51"/>
      <c r="V153" s="51">
        <f t="shared" si="19"/>
        <v>0</v>
      </c>
      <c r="W153" s="2"/>
      <c r="Y153" s="74"/>
      <c r="AB153" s="74"/>
      <c r="AD153" s="74"/>
    </row>
    <row r="154" spans="1:30" s="1" customFormat="1" hidden="1" outlineLevel="1" x14ac:dyDescent="0.25">
      <c r="A154" s="2"/>
      <c r="B154" s="51"/>
      <c r="C154" s="51"/>
      <c r="D154" s="51"/>
      <c r="E154" s="51"/>
      <c r="F154" s="51"/>
      <c r="G154" s="51"/>
      <c r="H154" s="80"/>
      <c r="I154" s="51"/>
      <c r="J154" s="51"/>
      <c r="K154" s="51"/>
      <c r="L154" s="51"/>
      <c r="M154" s="51"/>
      <c r="N154" s="81"/>
      <c r="O154" s="51"/>
      <c r="P154" s="51"/>
      <c r="Q154" s="51"/>
      <c r="R154" s="51"/>
      <c r="S154" s="81"/>
      <c r="T154" s="51"/>
      <c r="U154" s="51"/>
      <c r="V154" s="51">
        <f t="shared" si="19"/>
        <v>0</v>
      </c>
      <c r="W154" s="2"/>
      <c r="Y154" s="74"/>
      <c r="AB154" s="74"/>
      <c r="AD154" s="74"/>
    </row>
    <row r="155" spans="1:30" s="1" customFormat="1" hidden="1" outlineLevel="1" x14ac:dyDescent="0.25">
      <c r="A155" s="2"/>
      <c r="B155" s="51"/>
      <c r="C155" s="51"/>
      <c r="D155" s="51"/>
      <c r="E155" s="51"/>
      <c r="F155" s="51"/>
      <c r="G155" s="51"/>
      <c r="H155" s="80"/>
      <c r="I155" s="51"/>
      <c r="J155" s="51"/>
      <c r="K155" s="51"/>
      <c r="L155" s="51"/>
      <c r="M155" s="51"/>
      <c r="N155" s="81"/>
      <c r="O155" s="51"/>
      <c r="P155" s="51"/>
      <c r="Q155" s="51"/>
      <c r="R155" s="51"/>
      <c r="S155" s="81"/>
      <c r="T155" s="51"/>
      <c r="U155" s="51"/>
      <c r="V155" s="51">
        <f t="shared" si="19"/>
        <v>0</v>
      </c>
      <c r="W155" s="2"/>
      <c r="Y155" s="74"/>
      <c r="AB155" s="74"/>
      <c r="AD155" s="74"/>
    </row>
    <row r="156" spans="1:30" s="1" customFormat="1" hidden="1" outlineLevel="1" x14ac:dyDescent="0.25">
      <c r="A156" s="2"/>
      <c r="B156" s="51"/>
      <c r="C156" s="51"/>
      <c r="D156" s="51"/>
      <c r="E156" s="51"/>
      <c r="F156" s="51"/>
      <c r="G156" s="51"/>
      <c r="H156" s="80"/>
      <c r="I156" s="51"/>
      <c r="J156" s="51"/>
      <c r="K156" s="51"/>
      <c r="L156" s="51"/>
      <c r="M156" s="51"/>
      <c r="N156" s="81"/>
      <c r="O156" s="51"/>
      <c r="P156" s="51"/>
      <c r="Q156" s="51"/>
      <c r="R156" s="51"/>
      <c r="S156" s="81"/>
      <c r="T156" s="51"/>
      <c r="U156" s="51"/>
      <c r="V156" s="51">
        <f t="shared" si="19"/>
        <v>0</v>
      </c>
      <c r="W156" s="2"/>
      <c r="Y156" s="74"/>
      <c r="AB156" s="74"/>
      <c r="AD156" s="74"/>
    </row>
    <row r="157" spans="1:30" s="1" customFormat="1" hidden="1" outlineLevel="1" x14ac:dyDescent="0.25">
      <c r="A157" s="2"/>
      <c r="B157" s="51"/>
      <c r="C157" s="51"/>
      <c r="D157" s="51"/>
      <c r="E157" s="51"/>
      <c r="F157" s="51"/>
      <c r="G157" s="51"/>
      <c r="H157" s="80"/>
      <c r="I157" s="51"/>
      <c r="J157" s="51"/>
      <c r="K157" s="51"/>
      <c r="L157" s="51"/>
      <c r="M157" s="51"/>
      <c r="N157" s="81"/>
      <c r="O157" s="51"/>
      <c r="P157" s="51"/>
      <c r="Q157" s="51"/>
      <c r="R157" s="51"/>
      <c r="S157" s="81"/>
      <c r="T157" s="51"/>
      <c r="U157" s="51"/>
      <c r="V157" s="51">
        <f t="shared" si="19"/>
        <v>0</v>
      </c>
      <c r="W157" s="2"/>
      <c r="Y157" s="74"/>
      <c r="AB157" s="74"/>
      <c r="AD157" s="74"/>
    </row>
    <row r="158" spans="1:30" s="1" customFormat="1" hidden="1" outlineLevel="1" x14ac:dyDescent="0.25">
      <c r="A158" s="2"/>
      <c r="B158" s="51"/>
      <c r="C158" s="51"/>
      <c r="D158" s="51"/>
      <c r="E158" s="51"/>
      <c r="F158" s="51"/>
      <c r="G158" s="51"/>
      <c r="H158" s="80"/>
      <c r="I158" s="51"/>
      <c r="J158" s="51"/>
      <c r="K158" s="51"/>
      <c r="L158" s="51"/>
      <c r="M158" s="51"/>
      <c r="N158" s="81"/>
      <c r="O158" s="51"/>
      <c r="P158" s="51"/>
      <c r="Q158" s="51"/>
      <c r="R158" s="51"/>
      <c r="S158" s="81"/>
      <c r="T158" s="51"/>
      <c r="U158" s="51"/>
      <c r="V158" s="51">
        <f t="shared" si="19"/>
        <v>0</v>
      </c>
      <c r="W158" s="2"/>
      <c r="Y158" s="74"/>
      <c r="AB158" s="74"/>
      <c r="AD158" s="74"/>
    </row>
    <row r="159" spans="1:30" s="1" customFormat="1" hidden="1" outlineLevel="1" x14ac:dyDescent="0.25">
      <c r="A159" s="2"/>
      <c r="B159" s="51"/>
      <c r="C159" s="51"/>
      <c r="D159" s="51"/>
      <c r="E159" s="51"/>
      <c r="F159" s="51"/>
      <c r="G159" s="51"/>
      <c r="H159" s="80"/>
      <c r="I159" s="51"/>
      <c r="J159" s="51"/>
      <c r="K159" s="51"/>
      <c r="L159" s="51"/>
      <c r="M159" s="51"/>
      <c r="N159" s="81"/>
      <c r="O159" s="51"/>
      <c r="P159" s="51"/>
      <c r="Q159" s="51"/>
      <c r="R159" s="51"/>
      <c r="S159" s="81"/>
      <c r="T159" s="51"/>
      <c r="U159" s="51"/>
      <c r="V159" s="51">
        <f t="shared" si="19"/>
        <v>0</v>
      </c>
      <c r="W159" s="2"/>
      <c r="Y159" s="74"/>
      <c r="AB159" s="74"/>
      <c r="AD159" s="74"/>
    </row>
    <row r="160" spans="1:30" s="1" customFormat="1" hidden="1" outlineLevel="1" x14ac:dyDescent="0.25">
      <c r="A160" s="2"/>
      <c r="B160" s="51"/>
      <c r="C160" s="51"/>
      <c r="D160" s="51"/>
      <c r="E160" s="51"/>
      <c r="F160" s="51"/>
      <c r="G160" s="51"/>
      <c r="H160" s="80"/>
      <c r="I160" s="51"/>
      <c r="J160" s="51"/>
      <c r="K160" s="51"/>
      <c r="L160" s="51"/>
      <c r="M160" s="51"/>
      <c r="N160" s="81"/>
      <c r="O160" s="51"/>
      <c r="P160" s="51"/>
      <c r="Q160" s="51"/>
      <c r="R160" s="51"/>
      <c r="S160" s="81"/>
      <c r="T160" s="51"/>
      <c r="U160" s="51"/>
      <c r="V160" s="51">
        <f t="shared" si="19"/>
        <v>0</v>
      </c>
      <c r="W160" s="2"/>
      <c r="Y160" s="74"/>
      <c r="AB160" s="74"/>
      <c r="AD160" s="74"/>
    </row>
    <row r="161" spans="1:39" s="1" customFormat="1" hidden="1" outlineLevel="1" x14ac:dyDescent="0.25">
      <c r="A161" s="2"/>
      <c r="B161" s="51"/>
      <c r="C161" s="51"/>
      <c r="D161" s="51"/>
      <c r="E161" s="51"/>
      <c r="F161" s="51"/>
      <c r="G161" s="51"/>
      <c r="H161" s="80"/>
      <c r="I161" s="51"/>
      <c r="J161" s="51"/>
      <c r="K161" s="51"/>
      <c r="L161" s="51"/>
      <c r="M161" s="51"/>
      <c r="N161" s="81"/>
      <c r="O161" s="51"/>
      <c r="P161" s="51"/>
      <c r="Q161" s="51"/>
      <c r="R161" s="51"/>
      <c r="S161" s="81"/>
      <c r="T161" s="51"/>
      <c r="U161" s="51"/>
      <c r="V161" s="51">
        <f t="shared" si="19"/>
        <v>0</v>
      </c>
      <c r="W161" s="2"/>
      <c r="Y161" s="74"/>
      <c r="AB161" s="74"/>
      <c r="AD161" s="74"/>
    </row>
    <row r="162" spans="1:39" s="1" customFormat="1" hidden="1" outlineLevel="1" x14ac:dyDescent="0.25">
      <c r="A162" s="2"/>
      <c r="B162" s="51"/>
      <c r="C162" s="51"/>
      <c r="D162" s="51"/>
      <c r="E162" s="51"/>
      <c r="F162" s="51"/>
      <c r="G162" s="51"/>
      <c r="H162" s="80"/>
      <c r="I162" s="51"/>
      <c r="J162" s="51"/>
      <c r="K162" s="51"/>
      <c r="L162" s="51"/>
      <c r="M162" s="51"/>
      <c r="N162" s="81"/>
      <c r="O162" s="51"/>
      <c r="P162" s="51"/>
      <c r="Q162" s="51"/>
      <c r="R162" s="51"/>
      <c r="S162" s="81"/>
      <c r="T162" s="51"/>
      <c r="U162" s="51"/>
      <c r="V162" s="51">
        <f t="shared" si="19"/>
        <v>0</v>
      </c>
      <c r="W162" s="2"/>
      <c r="Y162" s="74"/>
      <c r="AB162" s="74"/>
      <c r="AD162" s="74"/>
    </row>
    <row r="163" spans="1:39" ht="15.75" hidden="1" customHeight="1" outlineLevel="1" thickBot="1" x14ac:dyDescent="0.3">
      <c r="A163" s="2"/>
      <c r="B163" s="75"/>
      <c r="C163" s="75"/>
      <c r="D163" s="76"/>
      <c r="E163" s="76"/>
      <c r="F163" s="76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2"/>
      <c r="R163" s="77"/>
      <c r="S163" s="77"/>
      <c r="T163" s="77"/>
      <c r="U163" s="2"/>
      <c r="V163" s="77"/>
      <c r="W163" s="78"/>
      <c r="Y163" s="74"/>
      <c r="Z163" s="6"/>
      <c r="AA163" s="13"/>
      <c r="AB163" s="74"/>
      <c r="AC163" s="6"/>
      <c r="AD163" s="74"/>
      <c r="AE163" s="6"/>
      <c r="AF163" s="6"/>
      <c r="AG163" s="6"/>
      <c r="AH163" s="6"/>
      <c r="AI163" s="6"/>
      <c r="AM163" s="14"/>
    </row>
    <row r="164" spans="1:39" s="1" customFormat="1" ht="12.75" customHeight="1" x14ac:dyDescent="0.25">
      <c r="A164" s="145">
        <v>12</v>
      </c>
      <c r="B164" s="147" t="s">
        <v>200</v>
      </c>
      <c r="C164" s="149" t="s">
        <v>9</v>
      </c>
      <c r="D164" s="156" t="s">
        <v>12</v>
      </c>
      <c r="E164" s="90" t="s">
        <v>15</v>
      </c>
      <c r="F164" s="92">
        <v>0.25</v>
      </c>
      <c r="G164" s="72">
        <f t="shared" ref="G164:U164" si="20">SUM(G166:G175)</f>
        <v>0</v>
      </c>
      <c r="H164" s="72">
        <f t="shared" si="20"/>
        <v>0</v>
      </c>
      <c r="I164" s="72">
        <f t="shared" si="20"/>
        <v>0</v>
      </c>
      <c r="J164" s="72">
        <f t="shared" si="20"/>
        <v>0</v>
      </c>
      <c r="K164" s="72">
        <f t="shared" si="20"/>
        <v>0</v>
      </c>
      <c r="L164" s="72">
        <f t="shared" si="20"/>
        <v>0</v>
      </c>
      <c r="M164" s="72">
        <f t="shared" si="20"/>
        <v>0</v>
      </c>
      <c r="N164" s="72">
        <f t="shared" si="20"/>
        <v>0</v>
      </c>
      <c r="O164" s="72">
        <f t="shared" si="20"/>
        <v>0</v>
      </c>
      <c r="P164" s="72">
        <f t="shared" si="20"/>
        <v>0</v>
      </c>
      <c r="Q164" s="72">
        <f t="shared" si="20"/>
        <v>0</v>
      </c>
      <c r="R164" s="72">
        <f t="shared" si="20"/>
        <v>0</v>
      </c>
      <c r="S164" s="72">
        <f t="shared" si="20"/>
        <v>0</v>
      </c>
      <c r="T164" s="72">
        <f t="shared" si="20"/>
        <v>0</v>
      </c>
      <c r="U164" s="72">
        <f t="shared" si="20"/>
        <v>0</v>
      </c>
      <c r="V164" s="72">
        <f>SUM(V166:V175)</f>
        <v>0</v>
      </c>
      <c r="W164" s="168">
        <f>V164+V165</f>
        <v>175.6</v>
      </c>
      <c r="Y164" s="74"/>
      <c r="AB164" s="74"/>
      <c r="AD164" s="74"/>
    </row>
    <row r="165" spans="1:39" s="1" customFormat="1" ht="13.8" collapsed="1" thickBot="1" x14ac:dyDescent="0.3">
      <c r="A165" s="146"/>
      <c r="B165" s="148"/>
      <c r="C165" s="150"/>
      <c r="D165" s="157"/>
      <c r="E165" s="91"/>
      <c r="F165" s="93"/>
      <c r="G165" s="73">
        <f>SUM(G177:G194)</f>
        <v>32</v>
      </c>
      <c r="H165" s="79">
        <f>SUM(H177:H194)</f>
        <v>132</v>
      </c>
      <c r="I165" s="79">
        <f>SUM(I177:I194)</f>
        <v>0</v>
      </c>
      <c r="J165" s="73">
        <f t="shared" ref="J165:Q165" si="21">SUM(J177:J194)</f>
        <v>1.6</v>
      </c>
      <c r="K165" s="73">
        <f t="shared" si="21"/>
        <v>0</v>
      </c>
      <c r="L165" s="73">
        <f t="shared" si="21"/>
        <v>0</v>
      </c>
      <c r="M165" s="73">
        <f t="shared" si="21"/>
        <v>2</v>
      </c>
      <c r="N165" s="73">
        <f t="shared" si="21"/>
        <v>0</v>
      </c>
      <c r="O165" s="73">
        <f t="shared" si="21"/>
        <v>0</v>
      </c>
      <c r="P165" s="73">
        <f t="shared" si="21"/>
        <v>8</v>
      </c>
      <c r="Q165" s="73">
        <f t="shared" si="21"/>
        <v>0</v>
      </c>
      <c r="R165" s="73">
        <f>SUM(R177:R194)</f>
        <v>0</v>
      </c>
      <c r="S165" s="73">
        <f>SUM(S177:S194)</f>
        <v>0</v>
      </c>
      <c r="T165" s="73">
        <f>SUM(T177:T194)</f>
        <v>0</v>
      </c>
      <c r="U165" s="73">
        <f>SUM(U177:U194)</f>
        <v>0</v>
      </c>
      <c r="V165" s="73">
        <f>SUM(V177:V194)</f>
        <v>175.6</v>
      </c>
      <c r="W165" s="169"/>
      <c r="Y165" s="74"/>
      <c r="Z165" s="74"/>
      <c r="AB165" s="74"/>
      <c r="AD165" s="74"/>
    </row>
    <row r="166" spans="1:39" s="1" customFormat="1" hidden="1" outlineLevel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 s="51">
        <f>SUM(G166:U166)</f>
        <v>0</v>
      </c>
      <c r="W166" s="2"/>
      <c r="Y166" s="74"/>
      <c r="AB166" s="74"/>
      <c r="AD166" s="74"/>
    </row>
    <row r="167" spans="1:39" s="1" customFormat="1" hidden="1" outlineLevel="1" x14ac:dyDescent="0.25">
      <c r="A167" s="2"/>
      <c r="B167" s="51"/>
      <c r="C167" s="51"/>
      <c r="D167" s="51"/>
      <c r="E167" s="51"/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  <c r="S167" s="51"/>
      <c r="T167" s="51"/>
      <c r="U167" s="51"/>
      <c r="V167" s="51">
        <f>SUM(G167:U167)</f>
        <v>0</v>
      </c>
      <c r="W167" s="2"/>
      <c r="Y167" s="74"/>
      <c r="AB167" s="74"/>
      <c r="AD167" s="74"/>
    </row>
    <row r="168" spans="1:39" s="1" customFormat="1" hidden="1" outlineLevel="1" x14ac:dyDescent="0.25">
      <c r="A168" s="2"/>
      <c r="B168" s="51"/>
      <c r="C168" s="51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  <c r="S168" s="51"/>
      <c r="T168" s="51"/>
      <c r="U168" s="51"/>
      <c r="V168" s="51">
        <f t="shared" ref="V168:V175" si="22">SUM(G168:U168)</f>
        <v>0</v>
      </c>
      <c r="W168" s="2"/>
      <c r="Y168" s="74"/>
      <c r="AB168" s="74"/>
      <c r="AD168" s="74"/>
    </row>
    <row r="169" spans="1:39" s="1" customFormat="1" hidden="1" outlineLevel="1" x14ac:dyDescent="0.25">
      <c r="A169" s="2"/>
      <c r="B169" s="51"/>
      <c r="C169" s="51"/>
      <c r="D169" s="51"/>
      <c r="E169" s="51"/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  <c r="S169" s="51"/>
      <c r="T169" s="51"/>
      <c r="U169" s="51"/>
      <c r="V169" s="51">
        <f t="shared" si="22"/>
        <v>0</v>
      </c>
      <c r="W169" s="2"/>
      <c r="Y169" s="74"/>
      <c r="AB169" s="74"/>
      <c r="AD169" s="74"/>
    </row>
    <row r="170" spans="1:39" s="1" customFormat="1" hidden="1" outlineLevel="1" x14ac:dyDescent="0.25">
      <c r="A170" s="2"/>
      <c r="B170" s="51"/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  <c r="S170" s="51"/>
      <c r="T170" s="51"/>
      <c r="U170" s="51"/>
      <c r="V170" s="51">
        <f t="shared" si="22"/>
        <v>0</v>
      </c>
      <c r="W170" s="2"/>
      <c r="Y170" s="74"/>
      <c r="AB170" s="74"/>
      <c r="AD170" s="74"/>
    </row>
    <row r="171" spans="1:39" s="1" customFormat="1" hidden="1" outlineLevel="1" x14ac:dyDescent="0.25">
      <c r="A171" s="2"/>
      <c r="B171" s="51"/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  <c r="S171" s="51"/>
      <c r="T171" s="51"/>
      <c r="U171" s="51"/>
      <c r="V171" s="51">
        <f t="shared" si="22"/>
        <v>0</v>
      </c>
      <c r="W171" s="2"/>
      <c r="Y171" s="74"/>
      <c r="AB171" s="74"/>
      <c r="AD171" s="74"/>
    </row>
    <row r="172" spans="1:39" s="1" customFormat="1" hidden="1" outlineLevel="1" x14ac:dyDescent="0.25">
      <c r="A172" s="2"/>
      <c r="B172" s="51"/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>
        <f t="shared" si="22"/>
        <v>0</v>
      </c>
      <c r="W172" s="2"/>
      <c r="Y172" s="74"/>
      <c r="AB172" s="74"/>
      <c r="AD172" s="74"/>
    </row>
    <row r="173" spans="1:39" s="1" customFormat="1" hidden="1" outlineLevel="1" x14ac:dyDescent="0.25">
      <c r="A173" s="2"/>
      <c r="B173" s="51"/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  <c r="S173" s="51"/>
      <c r="T173" s="51"/>
      <c r="U173" s="51"/>
      <c r="V173" s="51">
        <f t="shared" si="22"/>
        <v>0</v>
      </c>
      <c r="W173" s="2"/>
      <c r="Y173" s="74"/>
      <c r="AB173" s="74"/>
      <c r="AD173" s="74"/>
    </row>
    <row r="174" spans="1:39" s="1" customFormat="1" hidden="1" outlineLevel="1" x14ac:dyDescent="0.25">
      <c r="A174" s="2"/>
      <c r="B174" s="51"/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  <c r="S174" s="51"/>
      <c r="T174" s="51"/>
      <c r="U174" s="51"/>
      <c r="V174" s="51">
        <f t="shared" si="22"/>
        <v>0</v>
      </c>
      <c r="W174" s="2"/>
      <c r="Y174" s="74"/>
      <c r="AB174" s="74"/>
      <c r="AD174" s="74"/>
    </row>
    <row r="175" spans="1:39" s="1" customFormat="1" hidden="1" outlineLevel="1" x14ac:dyDescent="0.25">
      <c r="A175" s="2"/>
      <c r="B175" s="51"/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>
        <f t="shared" si="22"/>
        <v>0</v>
      </c>
      <c r="W175" s="2"/>
      <c r="Y175" s="74"/>
      <c r="AB175" s="74"/>
      <c r="AD175" s="74"/>
    </row>
    <row r="176" spans="1:39" s="1" customFormat="1" hidden="1" outlineLevel="1" x14ac:dyDescent="0.25">
      <c r="A176" s="2"/>
      <c r="B176" s="185" t="s">
        <v>29</v>
      </c>
      <c r="C176" s="185"/>
      <c r="D176" s="185"/>
      <c r="E176" s="185"/>
      <c r="F176" s="185"/>
      <c r="G176" s="185"/>
      <c r="H176" s="185"/>
      <c r="I176" s="185"/>
      <c r="J176" s="185"/>
      <c r="K176" s="185"/>
      <c r="L176" s="185"/>
      <c r="M176" s="185"/>
      <c r="N176" s="185"/>
      <c r="O176" s="185"/>
      <c r="P176" s="185"/>
      <c r="Q176" s="185"/>
      <c r="R176" s="185"/>
      <c r="S176" s="185"/>
      <c r="T176" s="185"/>
      <c r="U176" s="185"/>
      <c r="V176" s="104"/>
      <c r="W176" s="2"/>
      <c r="Y176" s="74"/>
      <c r="AB176" s="74"/>
      <c r="AD176" s="74"/>
    </row>
    <row r="177" spans="1:32" s="1" customFormat="1" hidden="1" outlineLevel="1" x14ac:dyDescent="0.25">
      <c r="A177" s="34" t="s">
        <v>223</v>
      </c>
      <c r="B177" s="42" t="s">
        <v>188</v>
      </c>
      <c r="C177" s="34">
        <v>4</v>
      </c>
      <c r="D177" s="34"/>
      <c r="E177" s="34"/>
      <c r="F177" s="34"/>
      <c r="G177" s="34">
        <v>32</v>
      </c>
      <c r="H177" s="34">
        <v>132</v>
      </c>
      <c r="I177" s="34"/>
      <c r="J177" s="34">
        <v>1.6</v>
      </c>
      <c r="K177" s="34"/>
      <c r="L177" s="34"/>
      <c r="M177" s="34">
        <v>2</v>
      </c>
      <c r="N177" s="34"/>
      <c r="O177" s="34"/>
      <c r="P177" s="34">
        <v>8</v>
      </c>
      <c r="Q177" s="34"/>
      <c r="R177" s="34"/>
      <c r="S177" s="34"/>
      <c r="T177" s="34"/>
      <c r="U177" s="34"/>
      <c r="V177" s="51">
        <f t="shared" ref="V177:V193" si="23">SUM(G177:U177)</f>
        <v>175.6</v>
      </c>
      <c r="W177" s="2"/>
      <c r="Y177" s="74"/>
      <c r="AB177" s="74"/>
      <c r="AD177" s="74"/>
    </row>
    <row r="178" spans="1:32" s="1" customFormat="1" hidden="1" outlineLevel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 s="51">
        <f t="shared" si="23"/>
        <v>0</v>
      </c>
      <c r="W178" s="2"/>
      <c r="Y178" s="74"/>
      <c r="AB178" s="74"/>
      <c r="AD178" s="74"/>
    </row>
    <row r="179" spans="1:32" s="1" customFormat="1" hidden="1" outlineLevel="1" x14ac:dyDescent="0.25">
      <c r="A179" s="2"/>
      <c r="B179" s="82"/>
      <c r="C179" s="51"/>
      <c r="D179" s="51"/>
      <c r="E179" s="51"/>
      <c r="F179" s="51"/>
      <c r="G179" s="20"/>
      <c r="H179" s="21"/>
      <c r="I179" s="21"/>
      <c r="J179" s="102"/>
      <c r="K179" s="51"/>
      <c r="L179" s="32"/>
      <c r="M179" s="22"/>
      <c r="N179" s="51"/>
      <c r="O179" s="81"/>
      <c r="P179" s="22"/>
      <c r="Q179" s="51"/>
      <c r="R179" s="51"/>
      <c r="S179" s="51"/>
      <c r="T179" s="51"/>
      <c r="U179" s="51"/>
      <c r="V179" s="51">
        <f t="shared" si="23"/>
        <v>0</v>
      </c>
      <c r="W179" s="2"/>
      <c r="Y179" s="74"/>
      <c r="AB179" s="74"/>
      <c r="AD179" s="74"/>
    </row>
    <row r="180" spans="1:32" s="1" customFormat="1" hidden="1" outlineLevel="1" x14ac:dyDescent="0.25">
      <c r="A180" s="2"/>
      <c r="B180" s="82"/>
      <c r="C180" s="51"/>
      <c r="D180" s="51"/>
      <c r="E180" s="51"/>
      <c r="F180" s="51"/>
      <c r="G180" s="20"/>
      <c r="H180" s="21"/>
      <c r="I180" s="21"/>
      <c r="J180" s="102"/>
      <c r="K180" s="51"/>
      <c r="L180" s="32"/>
      <c r="M180" s="22"/>
      <c r="N180" s="51"/>
      <c r="O180" s="81"/>
      <c r="P180" s="22"/>
      <c r="Q180" s="51"/>
      <c r="R180" s="51"/>
      <c r="S180" s="51"/>
      <c r="T180" s="51"/>
      <c r="U180" s="51"/>
      <c r="V180" s="51">
        <f t="shared" si="23"/>
        <v>0</v>
      </c>
      <c r="W180" s="2"/>
      <c r="Y180" s="74"/>
      <c r="AB180" s="74"/>
      <c r="AD180" s="74"/>
    </row>
    <row r="181" spans="1:32" s="1" customFormat="1" hidden="1" outlineLevel="1" x14ac:dyDescent="0.25">
      <c r="A181" s="2"/>
      <c r="B181" s="51"/>
      <c r="C181" s="51"/>
      <c r="D181" s="51"/>
      <c r="E181" s="51"/>
      <c r="F181" s="51"/>
      <c r="G181" s="51"/>
      <c r="H181" s="80"/>
      <c r="I181" s="51"/>
      <c r="J181" s="51"/>
      <c r="K181" s="51"/>
      <c r="L181" s="51"/>
      <c r="M181" s="51"/>
      <c r="N181" s="81"/>
      <c r="O181" s="51"/>
      <c r="P181" s="51"/>
      <c r="Q181" s="51"/>
      <c r="R181" s="51"/>
      <c r="S181" s="51"/>
      <c r="T181" s="51"/>
      <c r="U181" s="51"/>
      <c r="V181" s="51">
        <f t="shared" si="23"/>
        <v>0</v>
      </c>
      <c r="W181" s="2"/>
      <c r="Y181" s="74"/>
      <c r="AB181" s="74"/>
      <c r="AD181" s="74"/>
    </row>
    <row r="182" spans="1:32" s="1" customFormat="1" hidden="1" outlineLevel="1" x14ac:dyDescent="0.25">
      <c r="A182" s="2"/>
      <c r="B182" s="51"/>
      <c r="C182" s="51"/>
      <c r="D182" s="51"/>
      <c r="E182" s="51"/>
      <c r="F182" s="51"/>
      <c r="G182" s="51"/>
      <c r="H182" s="80"/>
      <c r="I182" s="51"/>
      <c r="J182" s="51"/>
      <c r="K182" s="51"/>
      <c r="L182" s="51"/>
      <c r="M182" s="51"/>
      <c r="N182" s="81"/>
      <c r="O182" s="51"/>
      <c r="P182" s="51"/>
      <c r="Q182" s="51"/>
      <c r="R182" s="51"/>
      <c r="S182" s="51"/>
      <c r="T182" s="51"/>
      <c r="U182" s="51"/>
      <c r="V182" s="51">
        <f t="shared" si="23"/>
        <v>0</v>
      </c>
      <c r="W182" s="2"/>
      <c r="Y182" s="74"/>
      <c r="AB182" s="74"/>
      <c r="AD182" s="74"/>
    </row>
    <row r="183" spans="1:32" s="1" customFormat="1" hidden="1" outlineLevel="1" x14ac:dyDescent="0.25">
      <c r="A183" s="2"/>
      <c r="B183" s="51"/>
      <c r="C183" s="51"/>
      <c r="D183" s="51"/>
      <c r="E183" s="51"/>
      <c r="F183" s="51"/>
      <c r="G183" s="51"/>
      <c r="H183" s="80"/>
      <c r="I183" s="51"/>
      <c r="J183" s="51"/>
      <c r="K183" s="51"/>
      <c r="L183" s="51"/>
      <c r="M183" s="51"/>
      <c r="N183" s="81"/>
      <c r="O183" s="51"/>
      <c r="P183" s="51"/>
      <c r="Q183" s="51"/>
      <c r="R183" s="51"/>
      <c r="S183" s="81"/>
      <c r="T183" s="51"/>
      <c r="U183" s="51"/>
      <c r="V183" s="51">
        <f t="shared" si="23"/>
        <v>0</v>
      </c>
      <c r="W183" s="2"/>
      <c r="Y183" s="74"/>
      <c r="AB183" s="74"/>
      <c r="AD183" s="74"/>
    </row>
    <row r="184" spans="1:32" s="1" customFormat="1" hidden="1" outlineLevel="1" x14ac:dyDescent="0.25">
      <c r="A184" s="2"/>
      <c r="B184" s="51"/>
      <c r="C184" s="51"/>
      <c r="D184" s="51"/>
      <c r="E184" s="51"/>
      <c r="F184" s="51"/>
      <c r="G184" s="51"/>
      <c r="H184" s="80"/>
      <c r="I184" s="51"/>
      <c r="J184" s="51"/>
      <c r="K184" s="51"/>
      <c r="L184" s="51"/>
      <c r="M184" s="51"/>
      <c r="N184" s="81"/>
      <c r="O184" s="51"/>
      <c r="P184" s="51"/>
      <c r="Q184" s="51"/>
      <c r="R184" s="51"/>
      <c r="S184" s="81"/>
      <c r="T184" s="51"/>
      <c r="U184" s="51"/>
      <c r="V184" s="51">
        <f t="shared" si="23"/>
        <v>0</v>
      </c>
      <c r="W184" s="2"/>
      <c r="Y184" s="74"/>
      <c r="AB184" s="74"/>
      <c r="AD184" s="74"/>
    </row>
    <row r="185" spans="1:32" s="1" customFormat="1" hidden="1" outlineLevel="1" x14ac:dyDescent="0.25">
      <c r="A185" s="2"/>
      <c r="B185" s="51"/>
      <c r="C185" s="51"/>
      <c r="D185" s="51"/>
      <c r="E185" s="51"/>
      <c r="F185" s="51"/>
      <c r="G185" s="51"/>
      <c r="H185" s="80"/>
      <c r="I185" s="51"/>
      <c r="J185" s="51"/>
      <c r="K185" s="51"/>
      <c r="L185" s="51"/>
      <c r="M185" s="51"/>
      <c r="N185" s="81"/>
      <c r="O185" s="51"/>
      <c r="P185" s="51"/>
      <c r="Q185" s="51"/>
      <c r="R185" s="51"/>
      <c r="S185" s="81"/>
      <c r="T185" s="51"/>
      <c r="U185" s="51"/>
      <c r="V185" s="51">
        <f t="shared" si="23"/>
        <v>0</v>
      </c>
      <c r="W185" s="2"/>
      <c r="Y185" s="74"/>
      <c r="AB185" s="74"/>
      <c r="AD185" s="74"/>
    </row>
    <row r="186" spans="1:32" s="1" customFormat="1" hidden="1" outlineLevel="1" x14ac:dyDescent="0.25">
      <c r="A186" s="2"/>
      <c r="B186" s="51"/>
      <c r="C186" s="51"/>
      <c r="D186" s="51"/>
      <c r="E186" s="51"/>
      <c r="F186" s="51"/>
      <c r="G186" s="51"/>
      <c r="H186" s="80"/>
      <c r="I186" s="51"/>
      <c r="J186" s="51"/>
      <c r="K186" s="51"/>
      <c r="L186" s="51"/>
      <c r="M186" s="51"/>
      <c r="N186" s="81"/>
      <c r="O186" s="51"/>
      <c r="P186" s="51"/>
      <c r="Q186" s="51"/>
      <c r="R186" s="51"/>
      <c r="S186" s="81"/>
      <c r="T186" s="51"/>
      <c r="U186" s="51"/>
      <c r="V186" s="51">
        <f t="shared" si="23"/>
        <v>0</v>
      </c>
      <c r="W186" s="2"/>
      <c r="Y186" s="74"/>
      <c r="AB186" s="74"/>
      <c r="AD186" s="74"/>
    </row>
    <row r="187" spans="1:32" s="1" customFormat="1" hidden="1" outlineLevel="1" x14ac:dyDescent="0.25">
      <c r="A187" s="2"/>
      <c r="B187" s="51"/>
      <c r="C187" s="51"/>
      <c r="D187" s="51"/>
      <c r="E187" s="51"/>
      <c r="F187" s="51"/>
      <c r="G187" s="51"/>
      <c r="H187" s="80"/>
      <c r="I187" s="51"/>
      <c r="J187" s="51"/>
      <c r="K187" s="51"/>
      <c r="L187" s="51"/>
      <c r="M187" s="51"/>
      <c r="N187" s="81"/>
      <c r="O187" s="51"/>
      <c r="P187" s="51"/>
      <c r="Q187" s="51"/>
      <c r="R187" s="51"/>
      <c r="S187" s="81"/>
      <c r="T187" s="51"/>
      <c r="U187" s="51"/>
      <c r="V187" s="51">
        <f t="shared" si="23"/>
        <v>0</v>
      </c>
      <c r="W187" s="2"/>
      <c r="Y187" s="74"/>
      <c r="AB187" s="74"/>
      <c r="AD187" s="74"/>
    </row>
    <row r="188" spans="1:32" s="1" customFormat="1" hidden="1" outlineLevel="1" x14ac:dyDescent="0.25">
      <c r="A188" s="2"/>
      <c r="B188" s="51"/>
      <c r="C188" s="51"/>
      <c r="D188" s="51"/>
      <c r="E188" s="51"/>
      <c r="F188" s="51"/>
      <c r="G188" s="51"/>
      <c r="H188" s="80"/>
      <c r="I188" s="51"/>
      <c r="J188" s="51"/>
      <c r="K188" s="51"/>
      <c r="L188" s="51"/>
      <c r="M188" s="51"/>
      <c r="N188" s="81"/>
      <c r="O188" s="51"/>
      <c r="P188" s="51"/>
      <c r="Q188" s="51"/>
      <c r="R188" s="51"/>
      <c r="S188" s="81"/>
      <c r="T188" s="51"/>
      <c r="U188" s="51"/>
      <c r="V188" s="51">
        <f t="shared" si="23"/>
        <v>0</v>
      </c>
      <c r="W188" s="2"/>
      <c r="Y188" s="74"/>
      <c r="AB188" s="74"/>
      <c r="AD188" s="74"/>
    </row>
    <row r="189" spans="1:32" s="1" customFormat="1" hidden="1" outlineLevel="1" x14ac:dyDescent="0.25">
      <c r="A189" s="2"/>
      <c r="B189" s="51"/>
      <c r="C189" s="51"/>
      <c r="D189" s="51"/>
      <c r="E189" s="51"/>
      <c r="F189" s="51"/>
      <c r="G189" s="51"/>
      <c r="H189" s="80"/>
      <c r="I189" s="51"/>
      <c r="J189" s="51"/>
      <c r="K189" s="51"/>
      <c r="L189" s="51"/>
      <c r="M189" s="51"/>
      <c r="N189" s="81"/>
      <c r="O189" s="51"/>
      <c r="P189" s="51"/>
      <c r="Q189" s="51"/>
      <c r="R189" s="51"/>
      <c r="S189" s="81"/>
      <c r="T189" s="51"/>
      <c r="U189" s="51"/>
      <c r="V189" s="51">
        <f t="shared" si="23"/>
        <v>0</v>
      </c>
      <c r="W189" s="2"/>
      <c r="Y189" s="74"/>
      <c r="AB189" s="74"/>
      <c r="AD189" s="74"/>
      <c r="AF189" s="74"/>
    </row>
    <row r="190" spans="1:32" s="1" customFormat="1" hidden="1" outlineLevel="1" x14ac:dyDescent="0.25">
      <c r="A190" s="2"/>
      <c r="B190" s="51"/>
      <c r="C190" s="51"/>
      <c r="D190" s="51"/>
      <c r="E190" s="51"/>
      <c r="F190" s="51"/>
      <c r="G190" s="51"/>
      <c r="H190" s="80"/>
      <c r="I190" s="51"/>
      <c r="J190" s="51"/>
      <c r="K190" s="51"/>
      <c r="L190" s="51"/>
      <c r="M190" s="51"/>
      <c r="N190" s="81"/>
      <c r="O190" s="51"/>
      <c r="P190" s="51"/>
      <c r="Q190" s="51"/>
      <c r="R190" s="51"/>
      <c r="S190" s="81"/>
      <c r="T190" s="51"/>
      <c r="U190" s="51"/>
      <c r="V190" s="51">
        <f t="shared" si="23"/>
        <v>0</v>
      </c>
      <c r="W190" s="2"/>
      <c r="Y190" s="74"/>
      <c r="AB190" s="74"/>
      <c r="AD190" s="74"/>
    </row>
    <row r="191" spans="1:32" s="1" customFormat="1" hidden="1" outlineLevel="1" x14ac:dyDescent="0.25">
      <c r="A191" s="2"/>
      <c r="B191" s="51"/>
      <c r="C191" s="51"/>
      <c r="D191" s="51"/>
      <c r="E191" s="51"/>
      <c r="F191" s="51"/>
      <c r="G191" s="51"/>
      <c r="H191" s="80"/>
      <c r="I191" s="51"/>
      <c r="J191" s="51"/>
      <c r="K191" s="51"/>
      <c r="L191" s="51"/>
      <c r="M191" s="51"/>
      <c r="N191" s="81"/>
      <c r="O191" s="51"/>
      <c r="P191" s="51"/>
      <c r="Q191" s="51"/>
      <c r="R191" s="51"/>
      <c r="S191" s="81"/>
      <c r="T191" s="51"/>
      <c r="U191" s="51"/>
      <c r="V191" s="51">
        <f t="shared" si="23"/>
        <v>0</v>
      </c>
      <c r="W191" s="2"/>
      <c r="Y191" s="74"/>
      <c r="AB191" s="74"/>
      <c r="AD191" s="74"/>
    </row>
    <row r="192" spans="1:32" s="1" customFormat="1" hidden="1" outlineLevel="1" x14ac:dyDescent="0.25">
      <c r="A192" s="2"/>
      <c r="B192" s="51"/>
      <c r="C192" s="51"/>
      <c r="D192" s="51"/>
      <c r="E192" s="51"/>
      <c r="F192" s="51"/>
      <c r="G192" s="51"/>
      <c r="H192" s="80"/>
      <c r="I192" s="51"/>
      <c r="J192" s="51"/>
      <c r="K192" s="51"/>
      <c r="L192" s="51"/>
      <c r="M192" s="51"/>
      <c r="N192" s="81"/>
      <c r="O192" s="51"/>
      <c r="P192" s="51"/>
      <c r="Q192" s="51"/>
      <c r="R192" s="51"/>
      <c r="S192" s="81"/>
      <c r="T192" s="51"/>
      <c r="U192" s="51"/>
      <c r="V192" s="51">
        <f t="shared" si="23"/>
        <v>0</v>
      </c>
      <c r="W192" s="2"/>
      <c r="Y192" s="74"/>
      <c r="AB192" s="74"/>
      <c r="AD192" s="74"/>
    </row>
    <row r="193" spans="1:39" s="1" customFormat="1" hidden="1" outlineLevel="1" x14ac:dyDescent="0.25">
      <c r="A193" s="2"/>
      <c r="B193" s="51"/>
      <c r="C193" s="51"/>
      <c r="D193" s="51"/>
      <c r="E193" s="51"/>
      <c r="F193" s="51"/>
      <c r="G193" s="51"/>
      <c r="H193" s="80"/>
      <c r="I193" s="51"/>
      <c r="J193" s="51"/>
      <c r="K193" s="51"/>
      <c r="L193" s="51"/>
      <c r="M193" s="51"/>
      <c r="N193" s="81"/>
      <c r="O193" s="51"/>
      <c r="P193" s="51"/>
      <c r="Q193" s="51"/>
      <c r="R193" s="51"/>
      <c r="S193" s="81"/>
      <c r="T193" s="51"/>
      <c r="U193" s="51"/>
      <c r="V193" s="51">
        <f t="shared" si="23"/>
        <v>0</v>
      </c>
      <c r="W193" s="2"/>
      <c r="Y193" s="74"/>
      <c r="AB193" s="74"/>
      <c r="AD193" s="74"/>
    </row>
    <row r="194" spans="1:39" ht="15.75" hidden="1" customHeight="1" outlineLevel="1" thickBot="1" x14ac:dyDescent="0.3">
      <c r="A194" s="2"/>
      <c r="B194" s="75"/>
      <c r="C194" s="75"/>
      <c r="D194" s="76"/>
      <c r="E194" s="76"/>
      <c r="F194" s="76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2"/>
      <c r="R194" s="77"/>
      <c r="S194" s="77"/>
      <c r="T194" s="77"/>
      <c r="U194" s="2"/>
      <c r="V194" s="77"/>
      <c r="W194" s="78"/>
      <c r="Y194" s="74"/>
      <c r="Z194" s="6"/>
      <c r="AA194" s="13"/>
      <c r="AB194" s="74"/>
      <c r="AC194" s="6"/>
      <c r="AD194" s="74"/>
      <c r="AE194" s="6"/>
      <c r="AF194" s="6"/>
      <c r="AG194" s="6"/>
      <c r="AH194" s="6"/>
      <c r="AI194" s="6"/>
      <c r="AM194" s="14"/>
    </row>
    <row r="195" spans="1:39" s="1" customFormat="1" ht="12.75" customHeight="1" x14ac:dyDescent="0.25">
      <c r="A195" s="145">
        <v>15</v>
      </c>
      <c r="B195" s="147" t="s">
        <v>214</v>
      </c>
      <c r="C195" s="147" t="s">
        <v>32</v>
      </c>
      <c r="D195" s="156"/>
      <c r="E195" s="90"/>
      <c r="F195" s="92"/>
      <c r="G195" s="72">
        <f t="shared" ref="G195:U195" si="24">SUM(G197:G206)</f>
        <v>0</v>
      </c>
      <c r="H195" s="72">
        <f t="shared" si="24"/>
        <v>0</v>
      </c>
      <c r="I195" s="72">
        <f t="shared" si="24"/>
        <v>0</v>
      </c>
      <c r="J195" s="72">
        <f t="shared" si="24"/>
        <v>0</v>
      </c>
      <c r="K195" s="72">
        <f t="shared" si="24"/>
        <v>0</v>
      </c>
      <c r="L195" s="72">
        <f t="shared" si="24"/>
        <v>0</v>
      </c>
      <c r="M195" s="72">
        <f t="shared" si="24"/>
        <v>0</v>
      </c>
      <c r="N195" s="72">
        <f t="shared" si="24"/>
        <v>0</v>
      </c>
      <c r="O195" s="72">
        <f t="shared" si="24"/>
        <v>0</v>
      </c>
      <c r="P195" s="72">
        <f t="shared" si="24"/>
        <v>0</v>
      </c>
      <c r="Q195" s="72">
        <f t="shared" si="24"/>
        <v>0</v>
      </c>
      <c r="R195" s="72">
        <f t="shared" si="24"/>
        <v>0</v>
      </c>
      <c r="S195" s="72">
        <f t="shared" si="24"/>
        <v>0</v>
      </c>
      <c r="T195" s="72">
        <f t="shared" si="24"/>
        <v>0</v>
      </c>
      <c r="U195" s="72">
        <f t="shared" si="24"/>
        <v>0</v>
      </c>
      <c r="V195" s="72">
        <f>SUM(V197:V206)</f>
        <v>0</v>
      </c>
      <c r="W195" s="168">
        <f>V195+V196</f>
        <v>0</v>
      </c>
      <c r="Y195" s="74"/>
      <c r="AB195" s="74"/>
      <c r="AD195" s="74"/>
    </row>
    <row r="196" spans="1:39" s="1" customFormat="1" ht="13.8" collapsed="1" thickBot="1" x14ac:dyDescent="0.3">
      <c r="A196" s="146"/>
      <c r="B196" s="148"/>
      <c r="C196" s="148"/>
      <c r="D196" s="157"/>
      <c r="E196" s="91"/>
      <c r="F196" s="93"/>
      <c r="G196" s="73">
        <f>SUM(G208:G225)</f>
        <v>0</v>
      </c>
      <c r="H196" s="79">
        <f>SUM(H208:H225)</f>
        <v>0</v>
      </c>
      <c r="I196" s="79">
        <f>SUM(I208:I225)</f>
        <v>0</v>
      </c>
      <c r="J196" s="73">
        <f t="shared" ref="J196:Q196" si="25">SUM(J208:J225)</f>
        <v>0</v>
      </c>
      <c r="K196" s="73">
        <f t="shared" si="25"/>
        <v>0</v>
      </c>
      <c r="L196" s="73">
        <f t="shared" si="25"/>
        <v>0</v>
      </c>
      <c r="M196" s="73">
        <f t="shared" si="25"/>
        <v>0</v>
      </c>
      <c r="N196" s="73">
        <f t="shared" si="25"/>
        <v>0</v>
      </c>
      <c r="O196" s="73">
        <f t="shared" si="25"/>
        <v>0</v>
      </c>
      <c r="P196" s="73">
        <f t="shared" si="25"/>
        <v>0</v>
      </c>
      <c r="Q196" s="73">
        <f t="shared" si="25"/>
        <v>0</v>
      </c>
      <c r="R196" s="73">
        <f>SUM(R208:R225)</f>
        <v>0</v>
      </c>
      <c r="S196" s="73">
        <f>SUM(S208:S225)</f>
        <v>0</v>
      </c>
      <c r="T196" s="73">
        <f>SUM(T208:T225)</f>
        <v>0</v>
      </c>
      <c r="U196" s="73">
        <f>SUM(U208:U225)</f>
        <v>0</v>
      </c>
      <c r="V196" s="73">
        <f>SUM(V208:V225)</f>
        <v>0</v>
      </c>
      <c r="W196" s="169"/>
      <c r="Y196" s="74"/>
      <c r="Z196" s="74"/>
      <c r="AB196" s="74"/>
      <c r="AD196" s="74"/>
    </row>
    <row r="197" spans="1:39" s="1" customFormat="1" hidden="1" outlineLevel="1" x14ac:dyDescent="0.25">
      <c r="A197" s="2"/>
      <c r="B197" s="51"/>
      <c r="C197" s="51"/>
      <c r="D197" s="51"/>
      <c r="E197" s="51"/>
      <c r="F197" s="51"/>
      <c r="G197" s="51"/>
      <c r="H197" s="51"/>
      <c r="I197" s="51"/>
      <c r="J197" s="51"/>
      <c r="K197" s="51"/>
      <c r="L197" s="51"/>
      <c r="M197" s="51"/>
      <c r="N197" s="51"/>
      <c r="O197" s="51"/>
      <c r="P197" s="51"/>
      <c r="Q197" s="51"/>
      <c r="R197" s="51"/>
      <c r="S197" s="51"/>
      <c r="T197" s="51"/>
      <c r="U197" s="51"/>
      <c r="V197" s="51">
        <f>SUM(G197:U197)</f>
        <v>0</v>
      </c>
      <c r="W197" s="2"/>
      <c r="Y197" s="74"/>
      <c r="AB197" s="74"/>
      <c r="AD197" s="74"/>
    </row>
    <row r="198" spans="1:39" s="1" customFormat="1" hidden="1" outlineLevel="1" x14ac:dyDescent="0.25">
      <c r="A198" s="2"/>
      <c r="B198" s="51"/>
      <c r="C198" s="51"/>
      <c r="D198" s="51"/>
      <c r="E198" s="51"/>
      <c r="F198" s="51"/>
      <c r="G198" s="51"/>
      <c r="H198" s="51"/>
      <c r="I198" s="51"/>
      <c r="J198" s="51"/>
      <c r="K198" s="51"/>
      <c r="L198" s="51"/>
      <c r="M198" s="51"/>
      <c r="N198" s="51"/>
      <c r="O198" s="51"/>
      <c r="P198" s="51"/>
      <c r="Q198" s="51"/>
      <c r="R198" s="51"/>
      <c r="S198" s="51"/>
      <c r="T198" s="51"/>
      <c r="U198" s="51"/>
      <c r="V198" s="51">
        <f>SUM(G198:U198)</f>
        <v>0</v>
      </c>
      <c r="W198" s="2"/>
      <c r="Y198" s="74"/>
      <c r="AB198" s="74"/>
      <c r="AD198" s="74"/>
    </row>
    <row r="199" spans="1:39" s="1" customFormat="1" hidden="1" outlineLevel="1" x14ac:dyDescent="0.25">
      <c r="A199" s="2"/>
      <c r="B199" s="51"/>
      <c r="C199" s="51"/>
      <c r="D199" s="51"/>
      <c r="E199" s="51"/>
      <c r="F199" s="51"/>
      <c r="G199" s="51"/>
      <c r="H199" s="51"/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>
        <f t="shared" ref="V199:V206" si="26">SUM(G199:U199)</f>
        <v>0</v>
      </c>
      <c r="W199" s="2"/>
      <c r="Y199" s="74"/>
      <c r="AB199" s="74"/>
      <c r="AD199" s="74"/>
    </row>
    <row r="200" spans="1:39" s="1" customFormat="1" hidden="1" outlineLevel="1" x14ac:dyDescent="0.25">
      <c r="A200" s="2"/>
      <c r="B200" s="51"/>
      <c r="C200" s="51"/>
      <c r="D200" s="51"/>
      <c r="E200" s="51"/>
      <c r="F200" s="51"/>
      <c r="G200" s="51"/>
      <c r="H200" s="51"/>
      <c r="I200" s="51"/>
      <c r="J200" s="51"/>
      <c r="K200" s="51"/>
      <c r="L200" s="51"/>
      <c r="M200" s="51"/>
      <c r="N200" s="51"/>
      <c r="O200" s="51"/>
      <c r="P200" s="51"/>
      <c r="Q200" s="51"/>
      <c r="R200" s="51"/>
      <c r="S200" s="51"/>
      <c r="T200" s="51"/>
      <c r="U200" s="51"/>
      <c r="V200" s="51">
        <f t="shared" si="26"/>
        <v>0</v>
      </c>
      <c r="W200" s="2"/>
      <c r="Y200" s="74"/>
      <c r="AB200" s="74"/>
      <c r="AD200" s="74"/>
    </row>
    <row r="201" spans="1:39" s="1" customFormat="1" hidden="1" outlineLevel="1" x14ac:dyDescent="0.25">
      <c r="A201" s="2"/>
      <c r="B201" s="51"/>
      <c r="C201" s="51"/>
      <c r="D201" s="51"/>
      <c r="E201" s="51"/>
      <c r="F201" s="51"/>
      <c r="G201" s="51"/>
      <c r="H201" s="51"/>
      <c r="I201" s="51"/>
      <c r="J201" s="51"/>
      <c r="K201" s="51"/>
      <c r="L201" s="51"/>
      <c r="M201" s="51"/>
      <c r="N201" s="51"/>
      <c r="O201" s="51"/>
      <c r="P201" s="51"/>
      <c r="Q201" s="51"/>
      <c r="R201" s="51"/>
      <c r="S201" s="51"/>
      <c r="T201" s="51"/>
      <c r="U201" s="51"/>
      <c r="V201" s="51">
        <f t="shared" si="26"/>
        <v>0</v>
      </c>
      <c r="W201" s="2"/>
      <c r="Y201" s="74"/>
      <c r="AB201" s="74"/>
      <c r="AD201" s="74"/>
    </row>
    <row r="202" spans="1:39" s="1" customFormat="1" hidden="1" outlineLevel="1" x14ac:dyDescent="0.25">
      <c r="A202" s="2"/>
      <c r="B202" s="51"/>
      <c r="C202" s="51"/>
      <c r="D202" s="51"/>
      <c r="E202" s="51"/>
      <c r="F202" s="51"/>
      <c r="G202" s="51"/>
      <c r="H202" s="51"/>
      <c r="I202" s="51"/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>
        <f t="shared" si="26"/>
        <v>0</v>
      </c>
      <c r="W202" s="2"/>
      <c r="Y202" s="74"/>
      <c r="AB202" s="74"/>
      <c r="AD202" s="74"/>
    </row>
    <row r="203" spans="1:39" s="1" customFormat="1" hidden="1" outlineLevel="1" x14ac:dyDescent="0.25">
      <c r="A203" s="2"/>
      <c r="B203" s="51"/>
      <c r="C203" s="51"/>
      <c r="D203" s="51"/>
      <c r="E203" s="51"/>
      <c r="F203" s="51"/>
      <c r="G203" s="51"/>
      <c r="H203" s="51"/>
      <c r="I203" s="51"/>
      <c r="J203" s="51"/>
      <c r="K203" s="51"/>
      <c r="L203" s="51"/>
      <c r="M203" s="51"/>
      <c r="N203" s="51"/>
      <c r="O203" s="51"/>
      <c r="P203" s="51"/>
      <c r="Q203" s="51"/>
      <c r="R203" s="51"/>
      <c r="S203" s="51"/>
      <c r="T203" s="51"/>
      <c r="U203" s="51"/>
      <c r="V203" s="51">
        <f t="shared" si="26"/>
        <v>0</v>
      </c>
      <c r="W203" s="2"/>
      <c r="Y203" s="74"/>
      <c r="AB203" s="74"/>
      <c r="AD203" s="74"/>
    </row>
    <row r="204" spans="1:39" s="1" customFormat="1" hidden="1" outlineLevel="1" x14ac:dyDescent="0.25">
      <c r="A204" s="2"/>
      <c r="B204" s="51"/>
      <c r="C204" s="51"/>
      <c r="D204" s="51"/>
      <c r="E204" s="51"/>
      <c r="F204" s="51"/>
      <c r="G204" s="51"/>
      <c r="H204" s="51"/>
      <c r="I204" s="51"/>
      <c r="J204" s="51"/>
      <c r="K204" s="51"/>
      <c r="L204" s="51"/>
      <c r="M204" s="51"/>
      <c r="N204" s="51"/>
      <c r="O204" s="51"/>
      <c r="P204" s="51"/>
      <c r="Q204" s="51"/>
      <c r="R204" s="51"/>
      <c r="S204" s="51"/>
      <c r="T204" s="51"/>
      <c r="U204" s="51"/>
      <c r="V204" s="51">
        <f t="shared" si="26"/>
        <v>0</v>
      </c>
      <c r="W204" s="2"/>
      <c r="Y204" s="74"/>
      <c r="AB204" s="74"/>
      <c r="AD204" s="74"/>
    </row>
    <row r="205" spans="1:39" s="1" customFormat="1" hidden="1" outlineLevel="1" x14ac:dyDescent="0.25">
      <c r="A205" s="2"/>
      <c r="B205" s="51"/>
      <c r="C205" s="51"/>
      <c r="D205" s="51"/>
      <c r="E205" s="51"/>
      <c r="F205" s="51"/>
      <c r="G205" s="51"/>
      <c r="H205" s="51"/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>
        <f t="shared" si="26"/>
        <v>0</v>
      </c>
      <c r="W205" s="2"/>
      <c r="Y205" s="74"/>
      <c r="AB205" s="74"/>
      <c r="AD205" s="74"/>
    </row>
    <row r="206" spans="1:39" s="1" customFormat="1" hidden="1" outlineLevel="1" x14ac:dyDescent="0.25">
      <c r="A206" s="2"/>
      <c r="B206" s="51"/>
      <c r="C206" s="51"/>
      <c r="D206" s="51"/>
      <c r="E206" s="51"/>
      <c r="F206" s="51"/>
      <c r="G206" s="51"/>
      <c r="H206" s="51"/>
      <c r="I206" s="51"/>
      <c r="J206" s="51"/>
      <c r="K206" s="51"/>
      <c r="L206" s="51"/>
      <c r="M206" s="51"/>
      <c r="N206" s="51"/>
      <c r="O206" s="51"/>
      <c r="P206" s="51"/>
      <c r="Q206" s="51"/>
      <c r="R206" s="51"/>
      <c r="S206" s="51"/>
      <c r="T206" s="51"/>
      <c r="U206" s="51"/>
      <c r="V206" s="51">
        <f t="shared" si="26"/>
        <v>0</v>
      </c>
      <c r="W206" s="2"/>
      <c r="Y206" s="74"/>
      <c r="AB206" s="74"/>
      <c r="AD206" s="74"/>
    </row>
    <row r="207" spans="1:39" s="1" customFormat="1" hidden="1" outlineLevel="1" x14ac:dyDescent="0.25">
      <c r="A207" s="2"/>
      <c r="B207" s="185" t="s">
        <v>29</v>
      </c>
      <c r="C207" s="185"/>
      <c r="D207" s="185"/>
      <c r="E207" s="185"/>
      <c r="F207" s="185"/>
      <c r="G207" s="185"/>
      <c r="H207" s="185"/>
      <c r="I207" s="185"/>
      <c r="J207" s="185"/>
      <c r="K207" s="185"/>
      <c r="L207" s="185"/>
      <c r="M207" s="185"/>
      <c r="N207" s="185"/>
      <c r="O207" s="185"/>
      <c r="P207" s="185"/>
      <c r="Q207" s="185"/>
      <c r="R207" s="185"/>
      <c r="S207" s="185"/>
      <c r="T207" s="185"/>
      <c r="U207" s="185"/>
      <c r="V207" s="104"/>
      <c r="W207" s="2"/>
      <c r="Y207" s="74"/>
      <c r="AB207" s="74"/>
      <c r="AD207" s="74"/>
    </row>
    <row r="208" spans="1:39" s="1" customFormat="1" hidden="1" outlineLevel="1" x14ac:dyDescent="0.25">
      <c r="A208" s="2"/>
      <c r="B208" s="82"/>
      <c r="C208" s="51"/>
      <c r="D208" s="51"/>
      <c r="E208" s="51"/>
      <c r="F208" s="51"/>
      <c r="G208" s="20"/>
      <c r="H208" s="21"/>
      <c r="I208" s="21"/>
      <c r="J208" s="102"/>
      <c r="K208" s="51"/>
      <c r="L208" s="32"/>
      <c r="M208" s="22"/>
      <c r="N208" s="51"/>
      <c r="O208" s="81"/>
      <c r="P208" s="22"/>
      <c r="Q208" s="51"/>
      <c r="R208" s="51"/>
      <c r="S208" s="51"/>
      <c r="T208" s="51"/>
      <c r="U208" s="51"/>
      <c r="V208" s="51">
        <f t="shared" ref="V208:V224" si="27">SUM(G208:U208)</f>
        <v>0</v>
      </c>
      <c r="W208" s="2"/>
      <c r="Y208" s="74"/>
      <c r="AB208" s="74"/>
      <c r="AD208" s="74"/>
    </row>
    <row r="209" spans="1:30" s="1" customFormat="1" hidden="1" outlineLevel="1" x14ac:dyDescent="0.25">
      <c r="A209" s="2"/>
      <c r="B209" s="82"/>
      <c r="C209" s="51"/>
      <c r="D209" s="51"/>
      <c r="E209" s="51"/>
      <c r="F209" s="51"/>
      <c r="G209" s="20"/>
      <c r="H209" s="21"/>
      <c r="I209" s="21"/>
      <c r="J209" s="102"/>
      <c r="K209" s="51"/>
      <c r="L209" s="32"/>
      <c r="M209" s="22"/>
      <c r="N209" s="51"/>
      <c r="O209" s="81"/>
      <c r="P209" s="22"/>
      <c r="Q209" s="51"/>
      <c r="R209" s="51"/>
      <c r="S209" s="51"/>
      <c r="T209" s="51"/>
      <c r="U209" s="51"/>
      <c r="V209" s="51">
        <f t="shared" si="27"/>
        <v>0</v>
      </c>
      <c r="W209" s="2"/>
      <c r="Y209" s="74"/>
      <c r="AB209" s="74"/>
      <c r="AD209" s="74"/>
    </row>
    <row r="210" spans="1:30" s="1" customFormat="1" hidden="1" outlineLevel="1" x14ac:dyDescent="0.25">
      <c r="A210" s="2"/>
      <c r="B210" s="82"/>
      <c r="C210" s="51"/>
      <c r="D210" s="51"/>
      <c r="E210" s="51"/>
      <c r="F210" s="51"/>
      <c r="G210" s="20"/>
      <c r="H210" s="21"/>
      <c r="I210" s="21"/>
      <c r="J210" s="102"/>
      <c r="K210" s="51"/>
      <c r="L210" s="32"/>
      <c r="M210" s="22"/>
      <c r="N210" s="51"/>
      <c r="O210" s="81"/>
      <c r="P210" s="22"/>
      <c r="Q210" s="51"/>
      <c r="R210" s="51"/>
      <c r="S210" s="51"/>
      <c r="T210" s="51"/>
      <c r="U210" s="51"/>
      <c r="V210" s="51">
        <f t="shared" si="27"/>
        <v>0</v>
      </c>
      <c r="W210" s="2"/>
      <c r="Y210" s="74"/>
      <c r="AB210" s="74"/>
      <c r="AD210" s="74"/>
    </row>
    <row r="211" spans="1:30" s="1" customFormat="1" hidden="1" outlineLevel="1" x14ac:dyDescent="0.25">
      <c r="A211" s="2"/>
      <c r="B211" s="82"/>
      <c r="C211" s="51"/>
      <c r="D211" s="51"/>
      <c r="E211" s="51"/>
      <c r="F211" s="51"/>
      <c r="G211" s="20"/>
      <c r="H211" s="21"/>
      <c r="I211" s="21"/>
      <c r="J211" s="102"/>
      <c r="K211" s="51"/>
      <c r="L211" s="32"/>
      <c r="M211" s="22"/>
      <c r="N211" s="51"/>
      <c r="O211" s="81"/>
      <c r="P211" s="22"/>
      <c r="Q211" s="51"/>
      <c r="R211" s="51"/>
      <c r="S211" s="51"/>
      <c r="T211" s="51"/>
      <c r="U211" s="51"/>
      <c r="V211" s="51">
        <f t="shared" si="27"/>
        <v>0</v>
      </c>
      <c r="W211" s="2"/>
      <c r="Y211" s="74"/>
      <c r="AB211" s="74"/>
      <c r="AD211" s="74"/>
    </row>
    <row r="212" spans="1:30" s="1" customFormat="1" hidden="1" outlineLevel="1" x14ac:dyDescent="0.25">
      <c r="A212" s="2"/>
      <c r="B212" s="51"/>
      <c r="C212" s="51"/>
      <c r="D212" s="51"/>
      <c r="E212" s="51"/>
      <c r="F212" s="51"/>
      <c r="G212" s="51"/>
      <c r="H212" s="80"/>
      <c r="I212" s="51"/>
      <c r="J212" s="51"/>
      <c r="K212" s="51"/>
      <c r="L212" s="51"/>
      <c r="M212" s="51"/>
      <c r="N212" s="81"/>
      <c r="O212" s="51"/>
      <c r="P212" s="51"/>
      <c r="Q212" s="51"/>
      <c r="R212" s="51"/>
      <c r="S212" s="51"/>
      <c r="T212" s="51"/>
      <c r="U212" s="51"/>
      <c r="V212" s="51">
        <f t="shared" si="27"/>
        <v>0</v>
      </c>
      <c r="W212" s="2"/>
      <c r="Y212" s="74"/>
      <c r="AB212" s="74"/>
      <c r="AD212" s="74"/>
    </row>
    <row r="213" spans="1:30" s="1" customFormat="1" hidden="1" outlineLevel="1" x14ac:dyDescent="0.25">
      <c r="A213" s="2"/>
      <c r="B213" s="51"/>
      <c r="C213" s="51"/>
      <c r="D213" s="51"/>
      <c r="E213" s="51"/>
      <c r="F213" s="51"/>
      <c r="G213" s="51"/>
      <c r="H213" s="80"/>
      <c r="I213" s="51"/>
      <c r="J213" s="51"/>
      <c r="K213" s="51"/>
      <c r="L213" s="51"/>
      <c r="M213" s="51"/>
      <c r="N213" s="81"/>
      <c r="O213" s="51"/>
      <c r="P213" s="51"/>
      <c r="Q213" s="51"/>
      <c r="R213" s="51"/>
      <c r="S213" s="51"/>
      <c r="T213" s="51"/>
      <c r="U213" s="51"/>
      <c r="V213" s="51">
        <f t="shared" si="27"/>
        <v>0</v>
      </c>
      <c r="W213" s="2"/>
      <c r="Y213" s="74"/>
      <c r="AB213" s="74"/>
      <c r="AD213" s="74"/>
    </row>
    <row r="214" spans="1:30" s="1" customFormat="1" hidden="1" outlineLevel="1" x14ac:dyDescent="0.25">
      <c r="A214" s="2"/>
      <c r="B214" s="51"/>
      <c r="C214" s="51"/>
      <c r="D214" s="51"/>
      <c r="E214" s="51"/>
      <c r="F214" s="51"/>
      <c r="G214" s="51"/>
      <c r="H214" s="80"/>
      <c r="I214" s="51"/>
      <c r="J214" s="51"/>
      <c r="K214" s="51"/>
      <c r="L214" s="51"/>
      <c r="M214" s="51"/>
      <c r="N214" s="81"/>
      <c r="O214" s="51"/>
      <c r="P214" s="51"/>
      <c r="Q214" s="51"/>
      <c r="R214" s="51"/>
      <c r="S214" s="81"/>
      <c r="T214" s="51"/>
      <c r="U214" s="51"/>
      <c r="V214" s="51">
        <f t="shared" si="27"/>
        <v>0</v>
      </c>
      <c r="W214" s="2"/>
      <c r="Y214" s="74"/>
      <c r="AB214" s="74"/>
      <c r="AD214" s="74"/>
    </row>
    <row r="215" spans="1:30" s="1" customFormat="1" hidden="1" outlineLevel="1" x14ac:dyDescent="0.25">
      <c r="A215" s="2"/>
      <c r="B215" s="51"/>
      <c r="C215" s="51"/>
      <c r="D215" s="51"/>
      <c r="E215" s="51"/>
      <c r="F215" s="51"/>
      <c r="G215" s="51"/>
      <c r="H215" s="80"/>
      <c r="I215" s="51"/>
      <c r="J215" s="51"/>
      <c r="K215" s="51"/>
      <c r="L215" s="51"/>
      <c r="M215" s="51"/>
      <c r="N215" s="81"/>
      <c r="O215" s="51"/>
      <c r="P215" s="51"/>
      <c r="Q215" s="51"/>
      <c r="R215" s="51"/>
      <c r="S215" s="81"/>
      <c r="T215" s="51"/>
      <c r="U215" s="51"/>
      <c r="V215" s="51">
        <f t="shared" si="27"/>
        <v>0</v>
      </c>
      <c r="W215" s="2"/>
      <c r="Y215" s="74"/>
      <c r="AB215" s="74"/>
      <c r="AD215" s="74"/>
    </row>
    <row r="216" spans="1:30" s="1" customFormat="1" hidden="1" outlineLevel="1" x14ac:dyDescent="0.25">
      <c r="A216" s="2"/>
      <c r="B216" s="51"/>
      <c r="C216" s="51"/>
      <c r="D216" s="51"/>
      <c r="E216" s="51"/>
      <c r="F216" s="51"/>
      <c r="G216" s="51"/>
      <c r="H216" s="80"/>
      <c r="I216" s="51"/>
      <c r="J216" s="51"/>
      <c r="K216" s="51"/>
      <c r="L216" s="51"/>
      <c r="M216" s="51"/>
      <c r="N216" s="81"/>
      <c r="O216" s="51"/>
      <c r="P216" s="51"/>
      <c r="Q216" s="51"/>
      <c r="R216" s="51"/>
      <c r="S216" s="81"/>
      <c r="T216" s="51"/>
      <c r="U216" s="51"/>
      <c r="V216" s="51">
        <f t="shared" si="27"/>
        <v>0</v>
      </c>
      <c r="W216" s="2"/>
      <c r="Y216" s="74"/>
      <c r="AB216" s="74"/>
      <c r="AD216" s="74"/>
    </row>
    <row r="217" spans="1:30" s="1" customFormat="1" hidden="1" outlineLevel="1" x14ac:dyDescent="0.25">
      <c r="A217" s="2"/>
      <c r="B217" s="51"/>
      <c r="C217" s="51"/>
      <c r="D217" s="51"/>
      <c r="E217" s="51"/>
      <c r="F217" s="51"/>
      <c r="G217" s="51"/>
      <c r="H217" s="80"/>
      <c r="I217" s="51"/>
      <c r="J217" s="51"/>
      <c r="K217" s="51"/>
      <c r="L217" s="51"/>
      <c r="M217" s="51"/>
      <c r="N217" s="81"/>
      <c r="O217" s="51"/>
      <c r="P217" s="51"/>
      <c r="Q217" s="51"/>
      <c r="R217" s="51"/>
      <c r="S217" s="81"/>
      <c r="T217" s="51"/>
      <c r="U217" s="51"/>
      <c r="V217" s="51">
        <f t="shared" si="27"/>
        <v>0</v>
      </c>
      <c r="W217" s="2"/>
      <c r="Y217" s="74"/>
      <c r="AB217" s="74"/>
      <c r="AD217" s="74"/>
    </row>
    <row r="218" spans="1:30" s="1" customFormat="1" hidden="1" outlineLevel="1" x14ac:dyDescent="0.25">
      <c r="A218" s="2"/>
      <c r="B218" s="51"/>
      <c r="C218" s="51"/>
      <c r="D218" s="51"/>
      <c r="E218" s="51"/>
      <c r="F218" s="51"/>
      <c r="G218" s="51"/>
      <c r="H218" s="80"/>
      <c r="I218" s="51"/>
      <c r="J218" s="51"/>
      <c r="K218" s="51"/>
      <c r="L218" s="51"/>
      <c r="M218" s="51"/>
      <c r="N218" s="81"/>
      <c r="O218" s="51"/>
      <c r="P218" s="51"/>
      <c r="Q218" s="51"/>
      <c r="R218" s="51"/>
      <c r="S218" s="81"/>
      <c r="T218" s="51"/>
      <c r="U218" s="51"/>
      <c r="V218" s="51">
        <f t="shared" si="27"/>
        <v>0</v>
      </c>
      <c r="W218" s="2"/>
      <c r="Y218" s="74"/>
      <c r="AB218" s="74"/>
      <c r="AD218" s="74"/>
    </row>
    <row r="219" spans="1:30" s="1" customFormat="1" hidden="1" outlineLevel="1" x14ac:dyDescent="0.25">
      <c r="A219" s="2"/>
      <c r="B219" s="51"/>
      <c r="C219" s="51"/>
      <c r="D219" s="51"/>
      <c r="E219" s="51"/>
      <c r="F219" s="51"/>
      <c r="G219" s="51"/>
      <c r="H219" s="80"/>
      <c r="I219" s="51"/>
      <c r="J219" s="51"/>
      <c r="K219" s="51"/>
      <c r="L219" s="51"/>
      <c r="M219" s="51"/>
      <c r="N219" s="81"/>
      <c r="O219" s="51"/>
      <c r="P219" s="51"/>
      <c r="Q219" s="51"/>
      <c r="R219" s="51"/>
      <c r="S219" s="81"/>
      <c r="T219" s="51"/>
      <c r="U219" s="51"/>
      <c r="V219" s="51">
        <f t="shared" si="27"/>
        <v>0</v>
      </c>
      <c r="W219" s="2"/>
      <c r="Y219" s="74"/>
      <c r="AB219" s="74"/>
      <c r="AD219" s="74"/>
    </row>
    <row r="220" spans="1:30" s="1" customFormat="1" hidden="1" outlineLevel="1" x14ac:dyDescent="0.25">
      <c r="A220" s="2"/>
      <c r="B220" s="51"/>
      <c r="C220" s="51"/>
      <c r="D220" s="51"/>
      <c r="E220" s="51"/>
      <c r="F220" s="51"/>
      <c r="G220" s="51"/>
      <c r="H220" s="80"/>
      <c r="I220" s="51"/>
      <c r="J220" s="51"/>
      <c r="K220" s="51"/>
      <c r="L220" s="51"/>
      <c r="M220" s="51"/>
      <c r="N220" s="81"/>
      <c r="O220" s="51"/>
      <c r="P220" s="51"/>
      <c r="Q220" s="51"/>
      <c r="R220" s="51"/>
      <c r="S220" s="81"/>
      <c r="T220" s="51"/>
      <c r="U220" s="51"/>
      <c r="V220" s="51">
        <f t="shared" si="27"/>
        <v>0</v>
      </c>
      <c r="W220" s="2"/>
      <c r="Y220" s="74"/>
      <c r="AB220" s="74"/>
      <c r="AD220" s="74"/>
    </row>
    <row r="221" spans="1:30" s="1" customFormat="1" hidden="1" outlineLevel="1" x14ac:dyDescent="0.25">
      <c r="A221" s="2"/>
      <c r="B221" s="51"/>
      <c r="C221" s="51"/>
      <c r="D221" s="51"/>
      <c r="E221" s="51"/>
      <c r="F221" s="51"/>
      <c r="G221" s="51"/>
      <c r="H221" s="80"/>
      <c r="I221" s="51"/>
      <c r="J221" s="51"/>
      <c r="K221" s="51"/>
      <c r="L221" s="51"/>
      <c r="M221" s="51"/>
      <c r="N221" s="81"/>
      <c r="O221" s="51"/>
      <c r="P221" s="51"/>
      <c r="Q221" s="51"/>
      <c r="R221" s="51"/>
      <c r="S221" s="81"/>
      <c r="T221" s="51"/>
      <c r="U221" s="51"/>
      <c r="V221" s="51">
        <f t="shared" si="27"/>
        <v>0</v>
      </c>
      <c r="W221" s="2"/>
      <c r="Y221" s="74"/>
      <c r="AB221" s="74"/>
      <c r="AD221" s="74"/>
    </row>
    <row r="222" spans="1:30" s="1" customFormat="1" hidden="1" outlineLevel="1" x14ac:dyDescent="0.25">
      <c r="A222" s="2"/>
      <c r="B222" s="51"/>
      <c r="C222" s="51"/>
      <c r="D222" s="51"/>
      <c r="E222" s="51"/>
      <c r="F222" s="51"/>
      <c r="G222" s="51"/>
      <c r="H222" s="80"/>
      <c r="I222" s="51"/>
      <c r="J222" s="51"/>
      <c r="K222" s="51"/>
      <c r="L222" s="51"/>
      <c r="M222" s="51"/>
      <c r="N222" s="81"/>
      <c r="O222" s="51"/>
      <c r="P222" s="51"/>
      <c r="Q222" s="51"/>
      <c r="R222" s="51"/>
      <c r="S222" s="81"/>
      <c r="T222" s="51"/>
      <c r="U222" s="51"/>
      <c r="V222" s="51">
        <f t="shared" si="27"/>
        <v>0</v>
      </c>
      <c r="W222" s="2"/>
      <c r="Y222" s="74"/>
      <c r="AB222" s="74"/>
      <c r="AD222" s="74"/>
    </row>
    <row r="223" spans="1:30" s="1" customFormat="1" hidden="1" outlineLevel="1" x14ac:dyDescent="0.25">
      <c r="A223" s="2"/>
      <c r="B223" s="51"/>
      <c r="C223" s="51"/>
      <c r="D223" s="51"/>
      <c r="E223" s="51"/>
      <c r="F223" s="51"/>
      <c r="G223" s="51"/>
      <c r="H223" s="80"/>
      <c r="I223" s="51"/>
      <c r="J223" s="51"/>
      <c r="K223" s="51"/>
      <c r="L223" s="51"/>
      <c r="M223" s="51"/>
      <c r="N223" s="81"/>
      <c r="O223" s="51"/>
      <c r="P223" s="51"/>
      <c r="Q223" s="51"/>
      <c r="R223" s="51"/>
      <c r="S223" s="81"/>
      <c r="T223" s="51"/>
      <c r="U223" s="51"/>
      <c r="V223" s="51">
        <f t="shared" si="27"/>
        <v>0</v>
      </c>
      <c r="W223" s="2"/>
      <c r="Y223" s="74"/>
      <c r="AB223" s="74"/>
      <c r="AD223" s="74"/>
    </row>
    <row r="224" spans="1:30" s="1" customFormat="1" hidden="1" outlineLevel="1" x14ac:dyDescent="0.25">
      <c r="A224" s="2"/>
      <c r="B224" s="51"/>
      <c r="C224" s="51"/>
      <c r="D224" s="51"/>
      <c r="E224" s="51"/>
      <c r="F224" s="51"/>
      <c r="G224" s="51"/>
      <c r="H224" s="80"/>
      <c r="I224" s="51"/>
      <c r="J224" s="51"/>
      <c r="K224" s="51"/>
      <c r="L224" s="51"/>
      <c r="M224" s="51"/>
      <c r="N224" s="81"/>
      <c r="O224" s="51"/>
      <c r="P224" s="51"/>
      <c r="Q224" s="51"/>
      <c r="R224" s="51"/>
      <c r="S224" s="81"/>
      <c r="T224" s="51"/>
      <c r="U224" s="51"/>
      <c r="V224" s="51">
        <f t="shared" si="27"/>
        <v>0</v>
      </c>
      <c r="W224" s="2"/>
      <c r="Y224" s="74"/>
      <c r="AB224" s="74"/>
      <c r="AD224" s="74"/>
    </row>
    <row r="225" spans="1:39" ht="15.75" hidden="1" customHeight="1" outlineLevel="1" thickBot="1" x14ac:dyDescent="0.3">
      <c r="A225" s="2"/>
      <c r="B225" s="75"/>
      <c r="C225" s="75"/>
      <c r="D225" s="76"/>
      <c r="E225" s="76"/>
      <c r="F225" s="76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2"/>
      <c r="R225" s="77"/>
      <c r="S225" s="77"/>
      <c r="T225" s="77"/>
      <c r="U225" s="2"/>
      <c r="V225" s="77"/>
      <c r="W225" s="78"/>
      <c r="Y225" s="74"/>
      <c r="Z225" s="6"/>
      <c r="AA225" s="13"/>
      <c r="AB225" s="74"/>
      <c r="AC225" s="6"/>
      <c r="AD225" s="74"/>
      <c r="AE225" s="6"/>
      <c r="AF225" s="6"/>
      <c r="AG225" s="6"/>
      <c r="AH225" s="6"/>
      <c r="AI225" s="6"/>
      <c r="AM225" s="14"/>
    </row>
    <row r="226" spans="1:39" s="1" customFormat="1" ht="12.75" customHeight="1" x14ac:dyDescent="0.25">
      <c r="A226" s="145">
        <v>17</v>
      </c>
      <c r="B226" s="147" t="s">
        <v>202</v>
      </c>
      <c r="C226" s="147" t="s">
        <v>32</v>
      </c>
      <c r="D226" s="156" t="s">
        <v>12</v>
      </c>
      <c r="E226" s="90" t="s">
        <v>15</v>
      </c>
      <c r="F226" s="92">
        <v>0.25</v>
      </c>
      <c r="G226" s="72">
        <f t="shared" ref="G226:U226" si="28">SUM(G228:G237)</f>
        <v>68</v>
      </c>
      <c r="H226" s="72">
        <f t="shared" si="28"/>
        <v>272</v>
      </c>
      <c r="I226" s="72">
        <f t="shared" si="28"/>
        <v>0</v>
      </c>
      <c r="J226" s="72">
        <f t="shared" si="28"/>
        <v>9.9</v>
      </c>
      <c r="K226" s="72">
        <f t="shared" si="28"/>
        <v>0</v>
      </c>
      <c r="L226" s="72">
        <f t="shared" si="28"/>
        <v>0</v>
      </c>
      <c r="M226" s="72">
        <f t="shared" si="28"/>
        <v>0</v>
      </c>
      <c r="N226" s="72">
        <f t="shared" si="28"/>
        <v>0</v>
      </c>
      <c r="O226" s="72">
        <f t="shared" si="28"/>
        <v>34.65</v>
      </c>
      <c r="P226" s="72">
        <f t="shared" si="28"/>
        <v>0</v>
      </c>
      <c r="Q226" s="72">
        <f t="shared" si="28"/>
        <v>0</v>
      </c>
      <c r="R226" s="72">
        <f t="shared" si="28"/>
        <v>0</v>
      </c>
      <c r="S226" s="72">
        <f t="shared" si="28"/>
        <v>0</v>
      </c>
      <c r="T226" s="72">
        <f t="shared" si="28"/>
        <v>0</v>
      </c>
      <c r="U226" s="72">
        <f t="shared" si="28"/>
        <v>0</v>
      </c>
      <c r="V226" s="72">
        <f>SUM(V228:V237)</f>
        <v>384.55</v>
      </c>
      <c r="W226" s="168">
        <f>V226+V227</f>
        <v>586.75</v>
      </c>
      <c r="Y226" s="74"/>
      <c r="AB226" s="74"/>
      <c r="AD226" s="74"/>
    </row>
    <row r="227" spans="1:39" s="1" customFormat="1" ht="13.8" collapsed="1" thickBot="1" x14ac:dyDescent="0.3">
      <c r="A227" s="146"/>
      <c r="B227" s="148"/>
      <c r="C227" s="148"/>
      <c r="D227" s="157"/>
      <c r="E227" s="91"/>
      <c r="F227" s="93"/>
      <c r="G227" s="73">
        <f>SUM(G239:G256)</f>
        <v>34</v>
      </c>
      <c r="H227" s="79">
        <f>SUM(H239:H256)</f>
        <v>136</v>
      </c>
      <c r="I227" s="79">
        <f>SUM(I239:I256)</f>
        <v>0</v>
      </c>
      <c r="J227" s="73">
        <f t="shared" ref="J227:Q227" si="29">SUM(J239:J256)</f>
        <v>4.6999999999999993</v>
      </c>
      <c r="K227" s="73">
        <f t="shared" si="29"/>
        <v>0</v>
      </c>
      <c r="L227" s="73">
        <f t="shared" si="29"/>
        <v>0</v>
      </c>
      <c r="M227" s="73">
        <f t="shared" si="29"/>
        <v>4</v>
      </c>
      <c r="N227" s="73">
        <f t="shared" si="29"/>
        <v>0</v>
      </c>
      <c r="O227" s="73">
        <f t="shared" si="29"/>
        <v>0</v>
      </c>
      <c r="P227" s="73">
        <f t="shared" si="29"/>
        <v>23.5</v>
      </c>
      <c r="Q227" s="73">
        <f t="shared" si="29"/>
        <v>0</v>
      </c>
      <c r="R227" s="73">
        <f>SUM(R239:R256)</f>
        <v>0</v>
      </c>
      <c r="S227" s="73">
        <f>SUM(S239:S256)</f>
        <v>0</v>
      </c>
      <c r="T227" s="73">
        <f>SUM(T239:T256)</f>
        <v>0</v>
      </c>
      <c r="U227" s="73">
        <f>SUM(U239:U256)</f>
        <v>0</v>
      </c>
      <c r="V227" s="73">
        <f>SUM(V239:V256)</f>
        <v>202.2</v>
      </c>
      <c r="W227" s="169"/>
      <c r="Y227" s="74"/>
      <c r="Z227" s="74"/>
      <c r="AB227" s="74"/>
      <c r="AD227" s="74"/>
    </row>
    <row r="228" spans="1:39" s="1" customFormat="1" hidden="1" outlineLevel="1" x14ac:dyDescent="0.25">
      <c r="A228" t="s">
        <v>223</v>
      </c>
      <c r="B228" t="s">
        <v>183</v>
      </c>
      <c r="C228">
        <v>3</v>
      </c>
      <c r="D228"/>
      <c r="E228"/>
      <c r="F228"/>
      <c r="G228"/>
      <c r="H228">
        <v>68</v>
      </c>
      <c r="I228"/>
      <c r="J228">
        <v>2.5</v>
      </c>
      <c r="K228"/>
      <c r="L228"/>
      <c r="M228"/>
      <c r="N228"/>
      <c r="O228">
        <v>8.75</v>
      </c>
      <c r="P228"/>
      <c r="Q228"/>
      <c r="R228"/>
      <c r="S228"/>
      <c r="T228"/>
      <c r="U228"/>
      <c r="V228" s="51">
        <f>SUM(G228:U228)</f>
        <v>79.25</v>
      </c>
      <c r="W228" s="2"/>
      <c r="Y228" s="74"/>
      <c r="AB228" s="74"/>
      <c r="AD228" s="74"/>
    </row>
    <row r="229" spans="1:39" s="1" customFormat="1" hidden="1" outlineLevel="1" x14ac:dyDescent="0.25">
      <c r="A229" s="2" t="s">
        <v>223</v>
      </c>
      <c r="B229" s="51" t="s">
        <v>178</v>
      </c>
      <c r="C229" s="51">
        <v>3</v>
      </c>
      <c r="D229" s="51"/>
      <c r="E229" s="51"/>
      <c r="F229" s="51"/>
      <c r="G229" s="51">
        <v>34</v>
      </c>
      <c r="H229" s="51">
        <v>68</v>
      </c>
      <c r="I229" s="51"/>
      <c r="J229" s="51">
        <v>2.7</v>
      </c>
      <c r="K229" s="51"/>
      <c r="L229" s="51"/>
      <c r="M229" s="51"/>
      <c r="N229" s="51"/>
      <c r="O229" s="51">
        <v>9.4499999999999993</v>
      </c>
      <c r="P229" s="51"/>
      <c r="Q229" s="51"/>
      <c r="R229" s="51"/>
      <c r="S229" s="51"/>
      <c r="T229" s="51"/>
      <c r="U229" s="51"/>
      <c r="V229" s="51">
        <f>SUM(G229:U229)</f>
        <v>114.15</v>
      </c>
      <c r="W229" s="2"/>
      <c r="Y229" s="74"/>
      <c r="AB229" s="74"/>
      <c r="AD229" s="74"/>
    </row>
    <row r="230" spans="1:39" s="1" customFormat="1" hidden="1" outlineLevel="1" x14ac:dyDescent="0.25">
      <c r="A230" s="2" t="s">
        <v>223</v>
      </c>
      <c r="B230" s="51" t="s">
        <v>176</v>
      </c>
      <c r="C230" s="51">
        <v>2</v>
      </c>
      <c r="D230" s="51"/>
      <c r="E230" s="51"/>
      <c r="F230" s="51"/>
      <c r="G230" s="51">
        <v>34</v>
      </c>
      <c r="H230" s="51">
        <v>68</v>
      </c>
      <c r="I230" s="51"/>
      <c r="J230" s="51">
        <v>2.2999999999999998</v>
      </c>
      <c r="K230" s="51"/>
      <c r="L230" s="51"/>
      <c r="M230" s="51"/>
      <c r="N230" s="51"/>
      <c r="O230" s="51">
        <v>8.0500000000000007</v>
      </c>
      <c r="P230" s="51"/>
      <c r="Q230" s="51"/>
      <c r="R230" s="51"/>
      <c r="S230" s="51"/>
      <c r="T230" s="51"/>
      <c r="U230" s="51"/>
      <c r="V230" s="51">
        <f t="shared" ref="V230:V237" si="30">SUM(G230:U230)</f>
        <v>112.35</v>
      </c>
      <c r="W230" s="2"/>
      <c r="Y230" s="74"/>
      <c r="AB230" s="74"/>
      <c r="AD230" s="74"/>
    </row>
    <row r="231" spans="1:39" s="1" customFormat="1" hidden="1" outlineLevel="1" x14ac:dyDescent="0.25">
      <c r="A231" s="2" t="s">
        <v>223</v>
      </c>
      <c r="B231" s="51" t="s">
        <v>236</v>
      </c>
      <c r="C231" s="51">
        <v>2</v>
      </c>
      <c r="D231" s="51"/>
      <c r="E231" s="51"/>
      <c r="F231" s="51"/>
      <c r="G231" s="51"/>
      <c r="H231" s="51">
        <v>68</v>
      </c>
      <c r="I231" s="51"/>
      <c r="J231" s="51">
        <v>2.4</v>
      </c>
      <c r="K231" s="51"/>
      <c r="L231" s="51"/>
      <c r="M231" s="51"/>
      <c r="N231" s="51"/>
      <c r="O231" s="51">
        <v>8.4</v>
      </c>
      <c r="P231" s="51"/>
      <c r="Q231" s="51"/>
      <c r="R231" s="51"/>
      <c r="S231" s="51"/>
      <c r="T231" s="51"/>
      <c r="U231" s="51"/>
      <c r="V231" s="51">
        <f t="shared" si="30"/>
        <v>78.800000000000011</v>
      </c>
      <c r="W231" s="2"/>
      <c r="Y231" s="74"/>
      <c r="AB231" s="74"/>
      <c r="AD231" s="74"/>
    </row>
    <row r="232" spans="1:39" s="1" customFormat="1" hidden="1" outlineLevel="1" x14ac:dyDescent="0.25">
      <c r="A232" s="2"/>
      <c r="B232" s="51"/>
      <c r="C232" s="51"/>
      <c r="D232" s="51"/>
      <c r="E232" s="51"/>
      <c r="F232" s="51"/>
      <c r="G232" s="51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>
        <f t="shared" si="30"/>
        <v>0</v>
      </c>
      <c r="W232" s="2"/>
      <c r="Y232" s="74"/>
      <c r="AB232" s="74"/>
      <c r="AD232" s="74"/>
    </row>
    <row r="233" spans="1:39" s="1" customFormat="1" hidden="1" outlineLevel="1" x14ac:dyDescent="0.25">
      <c r="A233" s="2"/>
      <c r="B233" s="51"/>
      <c r="C233" s="51"/>
      <c r="D233" s="51"/>
      <c r="E233" s="51"/>
      <c r="F233" s="51"/>
      <c r="G233" s="51"/>
      <c r="H233" s="51"/>
      <c r="I233" s="51"/>
      <c r="J233" s="51"/>
      <c r="K233" s="51"/>
      <c r="L233" s="51"/>
      <c r="M233" s="51"/>
      <c r="N233" s="51"/>
      <c r="O233" s="51"/>
      <c r="P233" s="51"/>
      <c r="Q233" s="51"/>
      <c r="R233" s="51"/>
      <c r="S233" s="51"/>
      <c r="T233" s="51"/>
      <c r="U233" s="51"/>
      <c r="V233" s="51">
        <f t="shared" si="30"/>
        <v>0</v>
      </c>
      <c r="W233" s="2"/>
      <c r="Y233" s="74"/>
      <c r="AB233" s="74"/>
      <c r="AD233" s="74"/>
    </row>
    <row r="234" spans="1:39" s="1" customFormat="1" hidden="1" outlineLevel="1" x14ac:dyDescent="0.25">
      <c r="A234" s="2"/>
      <c r="B234" s="51"/>
      <c r="C234" s="51"/>
      <c r="D234" s="51"/>
      <c r="E234" s="51"/>
      <c r="F234" s="51"/>
      <c r="G234" s="51"/>
      <c r="H234" s="51"/>
      <c r="I234" s="51"/>
      <c r="J234" s="51"/>
      <c r="K234" s="51"/>
      <c r="L234" s="51"/>
      <c r="M234" s="51"/>
      <c r="N234" s="51"/>
      <c r="O234" s="51"/>
      <c r="P234" s="51"/>
      <c r="Q234" s="51"/>
      <c r="R234" s="51"/>
      <c r="S234" s="51"/>
      <c r="T234" s="51"/>
      <c r="U234" s="51"/>
      <c r="V234" s="51">
        <f t="shared" si="30"/>
        <v>0</v>
      </c>
      <c r="W234" s="2"/>
      <c r="Y234" s="74"/>
      <c r="AB234" s="74"/>
      <c r="AD234" s="74"/>
    </row>
    <row r="235" spans="1:39" s="1" customFormat="1" hidden="1" outlineLevel="1" x14ac:dyDescent="0.25">
      <c r="A235" s="2"/>
      <c r="B235" s="51"/>
      <c r="C235" s="51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  <c r="P235" s="51"/>
      <c r="Q235" s="51"/>
      <c r="R235" s="51"/>
      <c r="S235" s="51"/>
      <c r="T235" s="51"/>
      <c r="U235" s="51"/>
      <c r="V235" s="51">
        <f t="shared" si="30"/>
        <v>0</v>
      </c>
      <c r="W235" s="2"/>
      <c r="Y235" s="74"/>
      <c r="AB235" s="74"/>
      <c r="AD235" s="74"/>
    </row>
    <row r="236" spans="1:39" s="1" customFormat="1" hidden="1" outlineLevel="1" x14ac:dyDescent="0.25">
      <c r="A236" s="2"/>
      <c r="B236" s="51"/>
      <c r="C236" s="51"/>
      <c r="D236" s="51"/>
      <c r="E236" s="51"/>
      <c r="F236" s="51"/>
      <c r="G236" s="51"/>
      <c r="H236" s="51"/>
      <c r="I236" s="51"/>
      <c r="J236" s="51"/>
      <c r="K236" s="51"/>
      <c r="L236" s="51"/>
      <c r="M236" s="51"/>
      <c r="N236" s="51"/>
      <c r="O236" s="51"/>
      <c r="P236" s="51"/>
      <c r="Q236" s="51"/>
      <c r="R236" s="51"/>
      <c r="S236" s="51"/>
      <c r="T236" s="51"/>
      <c r="U236" s="51"/>
      <c r="V236" s="51">
        <f t="shared" si="30"/>
        <v>0</v>
      </c>
      <c r="W236" s="2"/>
      <c r="Y236" s="74"/>
      <c r="AB236" s="74"/>
      <c r="AD236" s="74"/>
    </row>
    <row r="237" spans="1:39" s="1" customFormat="1" hidden="1" outlineLevel="1" x14ac:dyDescent="0.25">
      <c r="A237" s="2"/>
      <c r="B237" s="51"/>
      <c r="C237" s="51"/>
      <c r="D237" s="51"/>
      <c r="E237" s="51"/>
      <c r="F237" s="51"/>
      <c r="G237" s="51"/>
      <c r="H237" s="51"/>
      <c r="I237" s="51"/>
      <c r="J237" s="51"/>
      <c r="K237" s="51"/>
      <c r="L237" s="51"/>
      <c r="M237" s="51"/>
      <c r="N237" s="51"/>
      <c r="O237" s="51"/>
      <c r="P237" s="51"/>
      <c r="Q237" s="51"/>
      <c r="R237" s="51"/>
      <c r="S237" s="51"/>
      <c r="T237" s="51"/>
      <c r="U237" s="51"/>
      <c r="V237" s="51">
        <f t="shared" si="30"/>
        <v>0</v>
      </c>
      <c r="W237" s="2"/>
      <c r="Y237" s="74"/>
      <c r="AB237" s="74"/>
      <c r="AD237" s="74"/>
    </row>
    <row r="238" spans="1:39" s="1" customFormat="1" hidden="1" outlineLevel="1" x14ac:dyDescent="0.25">
      <c r="A238" s="2"/>
      <c r="B238" s="185" t="s">
        <v>29</v>
      </c>
      <c r="C238" s="185"/>
      <c r="D238" s="185"/>
      <c r="E238" s="185"/>
      <c r="F238" s="185"/>
      <c r="G238" s="185"/>
      <c r="H238" s="185"/>
      <c r="I238" s="185"/>
      <c r="J238" s="185"/>
      <c r="K238" s="185"/>
      <c r="L238" s="185"/>
      <c r="M238" s="185"/>
      <c r="N238" s="185"/>
      <c r="O238" s="185"/>
      <c r="P238" s="185"/>
      <c r="Q238" s="185"/>
      <c r="R238" s="185"/>
      <c r="S238" s="185"/>
      <c r="T238" s="185"/>
      <c r="U238" s="185"/>
      <c r="V238" s="104"/>
      <c r="W238" s="2"/>
      <c r="Y238" s="74"/>
      <c r="AB238" s="74"/>
      <c r="AD238" s="74"/>
    </row>
    <row r="239" spans="1:39" s="1" customFormat="1" ht="26.4" hidden="1" outlineLevel="1" x14ac:dyDescent="0.25">
      <c r="A239" s="2" t="s">
        <v>223</v>
      </c>
      <c r="B239" s="82" t="s">
        <v>192</v>
      </c>
      <c r="C239" s="51">
        <v>2</v>
      </c>
      <c r="D239" s="51"/>
      <c r="E239" s="51"/>
      <c r="F239" s="51"/>
      <c r="G239" s="20"/>
      <c r="H239" s="21">
        <v>68</v>
      </c>
      <c r="I239" s="21"/>
      <c r="J239" s="102">
        <v>2.4</v>
      </c>
      <c r="K239" s="51"/>
      <c r="L239" s="32"/>
      <c r="M239" s="22">
        <v>2</v>
      </c>
      <c r="N239" s="51"/>
      <c r="O239" s="81"/>
      <c r="P239" s="22">
        <v>12</v>
      </c>
      <c r="Q239" s="51"/>
      <c r="R239" s="51"/>
      <c r="S239" s="51"/>
      <c r="T239" s="51"/>
      <c r="U239" s="51"/>
      <c r="V239" s="51">
        <f t="shared" ref="V239:V255" si="31">SUM(G239:U239)</f>
        <v>84.4</v>
      </c>
      <c r="W239" s="2"/>
      <c r="Y239" s="74"/>
      <c r="AB239" s="74"/>
      <c r="AD239" s="74"/>
    </row>
    <row r="240" spans="1:39" s="1" customFormat="1" ht="26.4" hidden="1" outlineLevel="1" x14ac:dyDescent="0.25">
      <c r="A240" s="2" t="s">
        <v>223</v>
      </c>
      <c r="B240" s="82" t="s">
        <v>187</v>
      </c>
      <c r="C240" s="51">
        <v>2</v>
      </c>
      <c r="D240" s="51"/>
      <c r="E240" s="51"/>
      <c r="F240" s="51"/>
      <c r="G240" s="20">
        <v>34</v>
      </c>
      <c r="H240" s="21">
        <v>68</v>
      </c>
      <c r="I240" s="21"/>
      <c r="J240" s="102">
        <v>2.2999999999999998</v>
      </c>
      <c r="K240" s="51"/>
      <c r="L240" s="32"/>
      <c r="M240" s="22">
        <v>2</v>
      </c>
      <c r="N240" s="51"/>
      <c r="O240" s="81"/>
      <c r="P240" s="22">
        <v>11.5</v>
      </c>
      <c r="Q240" s="51"/>
      <c r="R240" s="51"/>
      <c r="S240" s="51"/>
      <c r="T240" s="51"/>
      <c r="U240" s="51"/>
      <c r="V240" s="51">
        <f t="shared" si="31"/>
        <v>117.8</v>
      </c>
      <c r="W240" s="2"/>
      <c r="Y240" s="74"/>
      <c r="AB240" s="74"/>
      <c r="AD240" s="74"/>
    </row>
    <row r="241" spans="1:39" s="1" customFormat="1" hidden="1" outlineLevel="1" x14ac:dyDescent="0.25">
      <c r="A241" s="2"/>
      <c r="B241" s="82"/>
      <c r="C241" s="51"/>
      <c r="D241" s="51"/>
      <c r="E241" s="51"/>
      <c r="F241" s="51"/>
      <c r="G241" s="20"/>
      <c r="H241" s="21"/>
      <c r="I241" s="21"/>
      <c r="J241" s="102"/>
      <c r="K241" s="51"/>
      <c r="L241" s="32"/>
      <c r="M241" s="22"/>
      <c r="N241" s="51"/>
      <c r="O241" s="81"/>
      <c r="P241" s="22"/>
      <c r="Q241" s="51"/>
      <c r="R241" s="51"/>
      <c r="S241" s="51"/>
      <c r="T241" s="51"/>
      <c r="U241" s="51"/>
      <c r="V241" s="51">
        <f t="shared" si="31"/>
        <v>0</v>
      </c>
      <c r="W241" s="2"/>
      <c r="Y241" s="74"/>
      <c r="AB241" s="74"/>
      <c r="AD241" s="74"/>
    </row>
    <row r="242" spans="1:39" s="1" customFormat="1" hidden="1" outlineLevel="1" x14ac:dyDescent="0.25">
      <c r="A242" s="2"/>
      <c r="B242" s="82"/>
      <c r="C242" s="51"/>
      <c r="D242" s="51"/>
      <c r="E242" s="51"/>
      <c r="F242" s="51"/>
      <c r="G242" s="20"/>
      <c r="H242" s="21"/>
      <c r="I242" s="21"/>
      <c r="J242" s="102"/>
      <c r="K242" s="51"/>
      <c r="L242" s="32"/>
      <c r="M242" s="22"/>
      <c r="N242" s="51"/>
      <c r="O242" s="81"/>
      <c r="P242" s="22"/>
      <c r="Q242" s="51"/>
      <c r="R242" s="51"/>
      <c r="S242" s="51"/>
      <c r="T242" s="51"/>
      <c r="U242" s="51"/>
      <c r="V242" s="51">
        <f t="shared" si="31"/>
        <v>0</v>
      </c>
      <c r="W242" s="2"/>
      <c r="Y242" s="74"/>
      <c r="AB242" s="74"/>
      <c r="AD242" s="74"/>
    </row>
    <row r="243" spans="1:39" s="1" customFormat="1" hidden="1" outlineLevel="1" x14ac:dyDescent="0.25">
      <c r="A243" s="2"/>
      <c r="B243" s="51"/>
      <c r="C243" s="51"/>
      <c r="D243" s="51"/>
      <c r="E243" s="51"/>
      <c r="F243" s="51"/>
      <c r="G243" s="51"/>
      <c r="H243" s="80"/>
      <c r="I243" s="51"/>
      <c r="J243" s="51"/>
      <c r="K243" s="51"/>
      <c r="L243" s="51"/>
      <c r="M243" s="51"/>
      <c r="N243" s="81"/>
      <c r="O243" s="51"/>
      <c r="P243" s="51"/>
      <c r="Q243" s="51"/>
      <c r="R243" s="51"/>
      <c r="S243" s="51"/>
      <c r="T243" s="51"/>
      <c r="U243" s="51"/>
      <c r="V243" s="51">
        <f t="shared" si="31"/>
        <v>0</v>
      </c>
      <c r="W243" s="2"/>
      <c r="Y243" s="74"/>
      <c r="AB243" s="74"/>
      <c r="AD243" s="74"/>
    </row>
    <row r="244" spans="1:39" s="1" customFormat="1" hidden="1" outlineLevel="1" x14ac:dyDescent="0.25">
      <c r="A244" s="2"/>
      <c r="B244" s="51"/>
      <c r="C244" s="51"/>
      <c r="D244" s="51"/>
      <c r="E244" s="51"/>
      <c r="F244" s="51"/>
      <c r="G244" s="51"/>
      <c r="H244" s="80"/>
      <c r="I244" s="51"/>
      <c r="J244" s="51"/>
      <c r="K244" s="51"/>
      <c r="L244" s="51"/>
      <c r="M244" s="51"/>
      <c r="N244" s="81"/>
      <c r="O244" s="51"/>
      <c r="P244" s="51"/>
      <c r="Q244" s="51"/>
      <c r="R244" s="51"/>
      <c r="S244" s="51"/>
      <c r="T244" s="51"/>
      <c r="U244" s="51"/>
      <c r="V244" s="51">
        <f t="shared" si="31"/>
        <v>0</v>
      </c>
      <c r="W244" s="2"/>
      <c r="Y244" s="74"/>
      <c r="AB244" s="74"/>
      <c r="AD244" s="74"/>
    </row>
    <row r="245" spans="1:39" s="1" customFormat="1" hidden="1" outlineLevel="1" x14ac:dyDescent="0.25">
      <c r="A245" s="2"/>
      <c r="B245" s="51"/>
      <c r="C245" s="51"/>
      <c r="D245" s="51"/>
      <c r="E245" s="51"/>
      <c r="F245" s="51"/>
      <c r="G245" s="51"/>
      <c r="H245" s="80"/>
      <c r="I245" s="51"/>
      <c r="J245" s="51"/>
      <c r="K245" s="51"/>
      <c r="L245" s="51"/>
      <c r="M245" s="51"/>
      <c r="N245" s="81"/>
      <c r="O245" s="51"/>
      <c r="P245" s="51"/>
      <c r="Q245" s="51"/>
      <c r="R245" s="51"/>
      <c r="S245" s="81"/>
      <c r="T245" s="51"/>
      <c r="U245" s="51"/>
      <c r="V245" s="51">
        <f t="shared" si="31"/>
        <v>0</v>
      </c>
      <c r="W245" s="2"/>
      <c r="Y245" s="74"/>
      <c r="AB245" s="74"/>
      <c r="AD245" s="74"/>
    </row>
    <row r="246" spans="1:39" s="1" customFormat="1" hidden="1" outlineLevel="1" x14ac:dyDescent="0.25">
      <c r="A246" s="2"/>
      <c r="B246" s="51"/>
      <c r="C246" s="51"/>
      <c r="D246" s="51"/>
      <c r="E246" s="51"/>
      <c r="F246" s="51"/>
      <c r="G246" s="51"/>
      <c r="H246" s="80"/>
      <c r="I246" s="51"/>
      <c r="J246" s="51"/>
      <c r="K246" s="51"/>
      <c r="L246" s="51"/>
      <c r="M246" s="51"/>
      <c r="N246" s="81"/>
      <c r="O246" s="51"/>
      <c r="P246" s="51"/>
      <c r="Q246" s="51"/>
      <c r="R246" s="51"/>
      <c r="S246" s="81"/>
      <c r="T246" s="51"/>
      <c r="U246" s="51"/>
      <c r="V246" s="51">
        <f t="shared" si="31"/>
        <v>0</v>
      </c>
      <c r="W246" s="2"/>
      <c r="Y246" s="74"/>
      <c r="AB246" s="74"/>
      <c r="AD246" s="74"/>
    </row>
    <row r="247" spans="1:39" s="1" customFormat="1" hidden="1" outlineLevel="1" x14ac:dyDescent="0.25">
      <c r="A247" s="2"/>
      <c r="B247" s="51"/>
      <c r="C247" s="51"/>
      <c r="D247" s="51"/>
      <c r="E247" s="51"/>
      <c r="F247" s="51"/>
      <c r="G247" s="51"/>
      <c r="H247" s="80"/>
      <c r="I247" s="51"/>
      <c r="J247" s="51"/>
      <c r="K247" s="51"/>
      <c r="L247" s="51"/>
      <c r="M247" s="51"/>
      <c r="N247" s="81"/>
      <c r="O247" s="51"/>
      <c r="P247" s="51"/>
      <c r="Q247" s="51"/>
      <c r="R247" s="51"/>
      <c r="S247" s="81"/>
      <c r="T247" s="51"/>
      <c r="U247" s="51"/>
      <c r="V247" s="51">
        <f t="shared" si="31"/>
        <v>0</v>
      </c>
      <c r="W247" s="2"/>
      <c r="Y247" s="74"/>
      <c r="AB247" s="74"/>
      <c r="AD247" s="74"/>
    </row>
    <row r="248" spans="1:39" s="1" customFormat="1" hidden="1" outlineLevel="1" x14ac:dyDescent="0.25">
      <c r="A248" s="2"/>
      <c r="B248" s="51"/>
      <c r="C248" s="51"/>
      <c r="D248" s="51"/>
      <c r="E248" s="51"/>
      <c r="F248" s="51"/>
      <c r="G248" s="51"/>
      <c r="H248" s="80"/>
      <c r="I248" s="51"/>
      <c r="J248" s="51"/>
      <c r="K248" s="51"/>
      <c r="L248" s="51"/>
      <c r="M248" s="51"/>
      <c r="N248" s="81"/>
      <c r="O248" s="51"/>
      <c r="P248" s="51"/>
      <c r="Q248" s="51"/>
      <c r="R248" s="51"/>
      <c r="S248" s="81"/>
      <c r="T248" s="51"/>
      <c r="U248" s="51"/>
      <c r="V248" s="51">
        <f t="shared" si="31"/>
        <v>0</v>
      </c>
      <c r="W248" s="2"/>
      <c r="Y248" s="74"/>
      <c r="AB248" s="74"/>
      <c r="AD248" s="74"/>
    </row>
    <row r="249" spans="1:39" s="1" customFormat="1" hidden="1" outlineLevel="1" x14ac:dyDescent="0.25">
      <c r="A249" s="2"/>
      <c r="B249" s="51"/>
      <c r="C249" s="51"/>
      <c r="D249" s="51"/>
      <c r="E249" s="51"/>
      <c r="F249" s="51"/>
      <c r="G249" s="51"/>
      <c r="H249" s="80"/>
      <c r="I249" s="51"/>
      <c r="J249" s="51"/>
      <c r="K249" s="51"/>
      <c r="L249" s="51"/>
      <c r="M249" s="51"/>
      <c r="N249" s="81"/>
      <c r="O249" s="51"/>
      <c r="P249" s="51"/>
      <c r="Q249" s="51"/>
      <c r="R249" s="51"/>
      <c r="S249" s="81"/>
      <c r="T249" s="51"/>
      <c r="U249" s="51"/>
      <c r="V249" s="51">
        <f t="shared" si="31"/>
        <v>0</v>
      </c>
      <c r="W249" s="2"/>
      <c r="Y249" s="74"/>
      <c r="AB249" s="74"/>
      <c r="AD249" s="74"/>
    </row>
    <row r="250" spans="1:39" s="1" customFormat="1" hidden="1" outlineLevel="1" x14ac:dyDescent="0.25">
      <c r="A250" s="2"/>
      <c r="B250" s="51"/>
      <c r="C250" s="51"/>
      <c r="D250" s="51"/>
      <c r="E250" s="51"/>
      <c r="F250" s="51"/>
      <c r="G250" s="51"/>
      <c r="H250" s="80"/>
      <c r="I250" s="51"/>
      <c r="J250" s="51"/>
      <c r="K250" s="51"/>
      <c r="L250" s="51"/>
      <c r="M250" s="51"/>
      <c r="N250" s="81"/>
      <c r="O250" s="51"/>
      <c r="P250" s="51"/>
      <c r="Q250" s="51"/>
      <c r="R250" s="51"/>
      <c r="S250" s="81"/>
      <c r="T250" s="51"/>
      <c r="U250" s="51"/>
      <c r="V250" s="51">
        <f t="shared" si="31"/>
        <v>0</v>
      </c>
      <c r="W250" s="2"/>
      <c r="Y250" s="74"/>
      <c r="AB250" s="74"/>
      <c r="AD250" s="74"/>
    </row>
    <row r="251" spans="1:39" s="1" customFormat="1" hidden="1" outlineLevel="1" x14ac:dyDescent="0.25">
      <c r="A251" s="2"/>
      <c r="B251" s="51"/>
      <c r="C251" s="51"/>
      <c r="D251" s="51"/>
      <c r="E251" s="51"/>
      <c r="F251" s="51"/>
      <c r="G251" s="51"/>
      <c r="H251" s="80"/>
      <c r="I251" s="51"/>
      <c r="J251" s="51"/>
      <c r="K251" s="51"/>
      <c r="L251" s="51"/>
      <c r="M251" s="51"/>
      <c r="N251" s="81"/>
      <c r="O251" s="51"/>
      <c r="P251" s="51"/>
      <c r="Q251" s="51"/>
      <c r="R251" s="51"/>
      <c r="S251" s="81"/>
      <c r="T251" s="51"/>
      <c r="U251" s="51"/>
      <c r="V251" s="51">
        <f t="shared" si="31"/>
        <v>0</v>
      </c>
      <c r="W251" s="2"/>
      <c r="Y251" s="74"/>
      <c r="AB251" s="74"/>
      <c r="AD251" s="74"/>
    </row>
    <row r="252" spans="1:39" s="1" customFormat="1" hidden="1" outlineLevel="1" x14ac:dyDescent="0.25">
      <c r="A252" s="2"/>
      <c r="B252" s="51"/>
      <c r="C252" s="51"/>
      <c r="D252" s="51"/>
      <c r="E252" s="51"/>
      <c r="F252" s="51"/>
      <c r="G252" s="51"/>
      <c r="H252" s="80"/>
      <c r="I252" s="51"/>
      <c r="J252" s="51"/>
      <c r="K252" s="51"/>
      <c r="L252" s="51"/>
      <c r="M252" s="51"/>
      <c r="N252" s="81"/>
      <c r="O252" s="51"/>
      <c r="P252" s="51"/>
      <c r="Q252" s="51"/>
      <c r="R252" s="51"/>
      <c r="S252" s="81"/>
      <c r="T252" s="51"/>
      <c r="U252" s="51"/>
      <c r="V252" s="51">
        <f t="shared" si="31"/>
        <v>0</v>
      </c>
      <c r="W252" s="2"/>
      <c r="Y252" s="74"/>
      <c r="AB252" s="74"/>
      <c r="AD252" s="74"/>
    </row>
    <row r="253" spans="1:39" s="1" customFormat="1" hidden="1" outlineLevel="1" x14ac:dyDescent="0.25">
      <c r="A253" s="2"/>
      <c r="B253" s="51"/>
      <c r="C253" s="51"/>
      <c r="D253" s="51"/>
      <c r="E253" s="51"/>
      <c r="F253" s="51"/>
      <c r="G253" s="51"/>
      <c r="H253" s="80"/>
      <c r="I253" s="51"/>
      <c r="J253" s="51"/>
      <c r="K253" s="51"/>
      <c r="L253" s="51"/>
      <c r="M253" s="51"/>
      <c r="N253" s="81"/>
      <c r="O253" s="51"/>
      <c r="P253" s="51"/>
      <c r="Q253" s="51"/>
      <c r="R253" s="51"/>
      <c r="S253" s="81"/>
      <c r="T253" s="51"/>
      <c r="U253" s="51"/>
      <c r="V253" s="51">
        <f t="shared" si="31"/>
        <v>0</v>
      </c>
      <c r="W253" s="2"/>
      <c r="Y253" s="74"/>
      <c r="AB253" s="74"/>
      <c r="AD253" s="74"/>
    </row>
    <row r="254" spans="1:39" s="1" customFormat="1" hidden="1" outlineLevel="1" x14ac:dyDescent="0.25">
      <c r="A254" s="2"/>
      <c r="B254" s="51"/>
      <c r="C254" s="51"/>
      <c r="D254" s="51"/>
      <c r="E254" s="51"/>
      <c r="F254" s="51"/>
      <c r="G254" s="51"/>
      <c r="H254" s="80"/>
      <c r="I254" s="51"/>
      <c r="J254" s="51"/>
      <c r="K254" s="51"/>
      <c r="L254" s="51"/>
      <c r="M254" s="51"/>
      <c r="N254" s="81"/>
      <c r="O254" s="51"/>
      <c r="P254" s="51"/>
      <c r="Q254" s="51"/>
      <c r="R254" s="51"/>
      <c r="S254" s="81"/>
      <c r="T254" s="51"/>
      <c r="U254" s="51"/>
      <c r="V254" s="51">
        <f t="shared" si="31"/>
        <v>0</v>
      </c>
      <c r="W254" s="2"/>
      <c r="Y254" s="74"/>
      <c r="AB254" s="74"/>
      <c r="AD254" s="74"/>
    </row>
    <row r="255" spans="1:39" s="1" customFormat="1" hidden="1" outlineLevel="1" x14ac:dyDescent="0.25">
      <c r="A255" s="2"/>
      <c r="B255" s="51"/>
      <c r="C255" s="51"/>
      <c r="D255" s="51"/>
      <c r="E255" s="51"/>
      <c r="F255" s="51"/>
      <c r="G255" s="51"/>
      <c r="H255" s="80"/>
      <c r="I255" s="51"/>
      <c r="J255" s="51"/>
      <c r="K255" s="51"/>
      <c r="L255" s="51"/>
      <c r="M255" s="51"/>
      <c r="N255" s="81"/>
      <c r="O255" s="51"/>
      <c r="P255" s="51"/>
      <c r="Q255" s="51"/>
      <c r="R255" s="51"/>
      <c r="S255" s="81"/>
      <c r="T255" s="51"/>
      <c r="U255" s="51"/>
      <c r="V255" s="51">
        <f t="shared" si="31"/>
        <v>0</v>
      </c>
      <c r="W255" s="2"/>
      <c r="Y255" s="74"/>
      <c r="AB255" s="74"/>
      <c r="AD255" s="74"/>
    </row>
    <row r="256" spans="1:39" ht="15.75" hidden="1" customHeight="1" outlineLevel="1" thickBot="1" x14ac:dyDescent="0.3">
      <c r="A256" s="2"/>
      <c r="B256" s="75"/>
      <c r="C256" s="75"/>
      <c r="D256" s="76"/>
      <c r="E256" s="76"/>
      <c r="F256" s="76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2"/>
      <c r="R256" s="77"/>
      <c r="S256" s="77"/>
      <c r="T256" s="77"/>
      <c r="U256" s="2"/>
      <c r="V256" s="77"/>
      <c r="W256" s="78"/>
      <c r="Y256" s="74"/>
      <c r="Z256" s="6"/>
      <c r="AA256" s="13"/>
      <c r="AB256" s="74"/>
      <c r="AC256" s="6"/>
      <c r="AD256" s="74"/>
      <c r="AE256" s="6"/>
      <c r="AF256" s="6"/>
      <c r="AG256" s="6"/>
      <c r="AH256" s="6"/>
      <c r="AI256" s="6"/>
      <c r="AM256" s="14"/>
    </row>
    <row r="257" spans="1:30" s="1" customFormat="1" ht="12.75" customHeight="1" x14ac:dyDescent="0.25">
      <c r="A257" s="145">
        <v>18</v>
      </c>
      <c r="B257" s="147" t="s">
        <v>203</v>
      </c>
      <c r="C257" s="147" t="s">
        <v>32</v>
      </c>
      <c r="D257" s="156" t="s">
        <v>12</v>
      </c>
      <c r="E257" s="90" t="s">
        <v>15</v>
      </c>
      <c r="F257" s="92">
        <v>0.25</v>
      </c>
      <c r="G257" s="72">
        <f t="shared" ref="G257:U257" si="32">SUM(G259:G268)</f>
        <v>0</v>
      </c>
      <c r="H257" s="72">
        <f t="shared" si="32"/>
        <v>0</v>
      </c>
      <c r="I257" s="72">
        <f t="shared" si="32"/>
        <v>0</v>
      </c>
      <c r="J257" s="72">
        <f t="shared" si="32"/>
        <v>0</v>
      </c>
      <c r="K257" s="72">
        <f t="shared" si="32"/>
        <v>0</v>
      </c>
      <c r="L257" s="72">
        <f t="shared" si="32"/>
        <v>0</v>
      </c>
      <c r="M257" s="72">
        <f t="shared" si="32"/>
        <v>0</v>
      </c>
      <c r="N257" s="72">
        <f t="shared" si="32"/>
        <v>0</v>
      </c>
      <c r="O257" s="72">
        <f t="shared" si="32"/>
        <v>0</v>
      </c>
      <c r="P257" s="72">
        <f t="shared" si="32"/>
        <v>0</v>
      </c>
      <c r="Q257" s="72">
        <f t="shared" si="32"/>
        <v>0</v>
      </c>
      <c r="R257" s="72">
        <f t="shared" si="32"/>
        <v>0</v>
      </c>
      <c r="S257" s="72">
        <f t="shared" si="32"/>
        <v>0</v>
      </c>
      <c r="T257" s="72">
        <f t="shared" si="32"/>
        <v>0</v>
      </c>
      <c r="U257" s="72">
        <f t="shared" si="32"/>
        <v>0</v>
      </c>
      <c r="V257" s="72">
        <f>SUM(V259:V268)</f>
        <v>0</v>
      </c>
      <c r="W257" s="168">
        <f>V257+V258</f>
        <v>124.2</v>
      </c>
      <c r="Y257" s="74"/>
      <c r="AB257" s="74"/>
      <c r="AD257" s="74"/>
    </row>
    <row r="258" spans="1:30" s="1" customFormat="1" ht="13.8" collapsed="1" thickBot="1" x14ac:dyDescent="0.3">
      <c r="A258" s="146"/>
      <c r="B258" s="148"/>
      <c r="C258" s="148"/>
      <c r="D258" s="157"/>
      <c r="E258" s="91"/>
      <c r="F258" s="93"/>
      <c r="G258" s="73">
        <f>SUM(G270:G287)</f>
        <v>0</v>
      </c>
      <c r="H258" s="79">
        <f>SUM(H270:H287)</f>
        <v>112</v>
      </c>
      <c r="I258" s="79">
        <f>SUM(I270:I287)</f>
        <v>0</v>
      </c>
      <c r="J258" s="73">
        <f t="shared" ref="J258:Q258" si="33">SUM(J270:J287)</f>
        <v>1.7</v>
      </c>
      <c r="K258" s="73">
        <f t="shared" si="33"/>
        <v>0</v>
      </c>
      <c r="L258" s="73">
        <f t="shared" si="33"/>
        <v>0</v>
      </c>
      <c r="M258" s="73">
        <f t="shared" si="33"/>
        <v>2</v>
      </c>
      <c r="N258" s="73">
        <f t="shared" si="33"/>
        <v>0</v>
      </c>
      <c r="O258" s="73">
        <f t="shared" si="33"/>
        <v>0</v>
      </c>
      <c r="P258" s="73">
        <f t="shared" si="33"/>
        <v>8.5</v>
      </c>
      <c r="Q258" s="73">
        <f t="shared" si="33"/>
        <v>0</v>
      </c>
      <c r="R258" s="73">
        <f>SUM(R270:R287)</f>
        <v>0</v>
      </c>
      <c r="S258" s="73">
        <f>SUM(S270:S287)</f>
        <v>0</v>
      </c>
      <c r="T258" s="73">
        <f>SUM(T270:T287)</f>
        <v>0</v>
      </c>
      <c r="U258" s="73">
        <f>SUM(U270:U287)</f>
        <v>0</v>
      </c>
      <c r="V258" s="73">
        <f>SUM(V270:V287)</f>
        <v>124.2</v>
      </c>
      <c r="W258" s="169"/>
      <c r="Y258" s="74"/>
      <c r="Z258" s="74"/>
      <c r="AB258" s="74"/>
      <c r="AD258" s="74"/>
    </row>
    <row r="259" spans="1:30" s="1" customFormat="1" hidden="1" outlineLevel="1" x14ac:dyDescent="0.25">
      <c r="A259" s="2"/>
      <c r="B259" s="51"/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  <c r="S259" s="51"/>
      <c r="T259" s="51"/>
      <c r="U259" s="51"/>
      <c r="V259" s="51">
        <f>SUM(G259:U259)</f>
        <v>0</v>
      </c>
      <c r="W259" s="2"/>
      <c r="Y259" s="74"/>
      <c r="AB259" s="74"/>
      <c r="AD259" s="74"/>
    </row>
    <row r="260" spans="1:30" s="1" customFormat="1" hidden="1" outlineLevel="1" x14ac:dyDescent="0.25">
      <c r="A260" s="2"/>
      <c r="B260" s="51"/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>
        <f>SUM(G260:U260)</f>
        <v>0</v>
      </c>
      <c r="W260" s="2"/>
      <c r="Y260" s="74"/>
      <c r="AB260" s="74"/>
      <c r="AD260" s="74"/>
    </row>
    <row r="261" spans="1:30" s="1" customFormat="1" hidden="1" outlineLevel="1" x14ac:dyDescent="0.25">
      <c r="A261" s="2"/>
      <c r="B261" s="51"/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  <c r="S261" s="51"/>
      <c r="T261" s="51"/>
      <c r="U261" s="51"/>
      <c r="V261" s="51">
        <f t="shared" ref="V261:V268" si="34">SUM(G261:U261)</f>
        <v>0</v>
      </c>
      <c r="W261" s="2"/>
      <c r="Y261" s="74"/>
      <c r="AB261" s="74"/>
      <c r="AD261" s="74"/>
    </row>
    <row r="262" spans="1:30" s="1" customFormat="1" hidden="1" outlineLevel="1" x14ac:dyDescent="0.25">
      <c r="A262" s="2"/>
      <c r="B262" s="51"/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  <c r="S262" s="51"/>
      <c r="T262" s="51"/>
      <c r="U262" s="51"/>
      <c r="V262" s="51">
        <f t="shared" si="34"/>
        <v>0</v>
      </c>
      <c r="W262" s="2"/>
      <c r="Y262" s="74"/>
      <c r="AB262" s="74"/>
      <c r="AD262" s="74"/>
    </row>
    <row r="263" spans="1:30" s="1" customFormat="1" hidden="1" outlineLevel="1" x14ac:dyDescent="0.25">
      <c r="A263" s="2"/>
      <c r="B263" s="51"/>
      <c r="C263" s="51"/>
      <c r="D263" s="51"/>
      <c r="E263" s="51"/>
      <c r="F263" s="51"/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>
        <f t="shared" si="34"/>
        <v>0</v>
      </c>
      <c r="W263" s="2"/>
      <c r="Y263" s="74"/>
      <c r="AB263" s="74"/>
      <c r="AD263" s="74"/>
    </row>
    <row r="264" spans="1:30" s="1" customFormat="1" hidden="1" outlineLevel="1" x14ac:dyDescent="0.25">
      <c r="A264" s="2"/>
      <c r="B264" s="51"/>
      <c r="C264" s="51"/>
      <c r="D264" s="51"/>
      <c r="E264" s="51"/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  <c r="S264" s="51"/>
      <c r="T264" s="51"/>
      <c r="U264" s="51"/>
      <c r="V264" s="51">
        <f t="shared" si="34"/>
        <v>0</v>
      </c>
      <c r="W264" s="2"/>
      <c r="Y264" s="74"/>
      <c r="AB264" s="74"/>
      <c r="AD264" s="74"/>
    </row>
    <row r="265" spans="1:30" s="1" customFormat="1" hidden="1" outlineLevel="1" x14ac:dyDescent="0.25">
      <c r="A265" s="2"/>
      <c r="B265" s="51"/>
      <c r="C265" s="51"/>
      <c r="D265" s="51"/>
      <c r="E265" s="51"/>
      <c r="F265" s="51"/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  <c r="S265" s="51"/>
      <c r="T265" s="51"/>
      <c r="U265" s="51"/>
      <c r="V265" s="51">
        <f t="shared" si="34"/>
        <v>0</v>
      </c>
      <c r="W265" s="2"/>
      <c r="Y265" s="74"/>
      <c r="AB265" s="74"/>
      <c r="AD265" s="74"/>
    </row>
    <row r="266" spans="1:30" s="1" customFormat="1" hidden="1" outlineLevel="1" x14ac:dyDescent="0.25">
      <c r="A266" s="2"/>
      <c r="B266" s="51"/>
      <c r="C266" s="51"/>
      <c r="D266" s="51"/>
      <c r="E266" s="51"/>
      <c r="F266" s="51"/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  <c r="S266" s="51"/>
      <c r="T266" s="51"/>
      <c r="U266" s="51"/>
      <c r="V266" s="51">
        <f t="shared" si="34"/>
        <v>0</v>
      </c>
      <c r="W266" s="2"/>
      <c r="Y266" s="74"/>
      <c r="AB266" s="74"/>
      <c r="AD266" s="74"/>
    </row>
    <row r="267" spans="1:30" s="1" customFormat="1" hidden="1" outlineLevel="1" x14ac:dyDescent="0.25">
      <c r="A267" s="2"/>
      <c r="B267" s="51"/>
      <c r="C267" s="51"/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  <c r="S267" s="51"/>
      <c r="T267" s="51"/>
      <c r="U267" s="51"/>
      <c r="V267" s="51">
        <f t="shared" si="34"/>
        <v>0</v>
      </c>
      <c r="W267" s="2"/>
      <c r="Y267" s="74"/>
      <c r="AB267" s="74"/>
      <c r="AD267" s="74"/>
    </row>
    <row r="268" spans="1:30" s="1" customFormat="1" hidden="1" outlineLevel="1" x14ac:dyDescent="0.25">
      <c r="A268" s="2"/>
      <c r="B268" s="51"/>
      <c r="C268" s="51"/>
      <c r="D268" s="51"/>
      <c r="E268" s="51"/>
      <c r="F268" s="51"/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  <c r="S268" s="51"/>
      <c r="T268" s="51"/>
      <c r="U268" s="51"/>
      <c r="V268" s="51">
        <f t="shared" si="34"/>
        <v>0</v>
      </c>
      <c r="W268" s="2"/>
      <c r="Y268" s="74"/>
      <c r="AB268" s="74"/>
      <c r="AD268" s="74"/>
    </row>
    <row r="269" spans="1:30" s="1" customFormat="1" hidden="1" outlineLevel="1" x14ac:dyDescent="0.25">
      <c r="A269" s="2"/>
      <c r="B269" s="185" t="s">
        <v>29</v>
      </c>
      <c r="C269" s="185"/>
      <c r="D269" s="185"/>
      <c r="E269" s="185"/>
      <c r="F269" s="185"/>
      <c r="G269" s="185"/>
      <c r="H269" s="185"/>
      <c r="I269" s="185"/>
      <c r="J269" s="185"/>
      <c r="K269" s="185"/>
      <c r="L269" s="185"/>
      <c r="M269" s="185"/>
      <c r="N269" s="185"/>
      <c r="O269" s="185"/>
      <c r="P269" s="185"/>
      <c r="Q269" s="185"/>
      <c r="R269" s="185"/>
      <c r="S269" s="185"/>
      <c r="T269" s="185"/>
      <c r="U269" s="185"/>
      <c r="V269" s="104"/>
      <c r="W269" s="2"/>
      <c r="Y269" s="74"/>
      <c r="AB269" s="74"/>
      <c r="AD269" s="74"/>
    </row>
    <row r="270" spans="1:30" s="1" customFormat="1" ht="26.4" hidden="1" outlineLevel="1" x14ac:dyDescent="0.25">
      <c r="A270" s="2" t="s">
        <v>223</v>
      </c>
      <c r="B270" s="82" t="s">
        <v>193</v>
      </c>
      <c r="C270" s="51">
        <v>4</v>
      </c>
      <c r="D270" s="51"/>
      <c r="E270" s="51"/>
      <c r="F270" s="51"/>
      <c r="G270" s="20"/>
      <c r="H270" s="21">
        <v>112</v>
      </c>
      <c r="I270" s="21"/>
      <c r="J270" s="102">
        <v>1.7</v>
      </c>
      <c r="K270" s="51"/>
      <c r="L270" s="32"/>
      <c r="M270" s="22">
        <v>2</v>
      </c>
      <c r="N270" s="51"/>
      <c r="O270" s="81"/>
      <c r="P270" s="22">
        <v>8.5</v>
      </c>
      <c r="Q270" s="51"/>
      <c r="R270" s="51"/>
      <c r="S270" s="51"/>
      <c r="T270" s="51"/>
      <c r="U270" s="51"/>
      <c r="V270" s="51">
        <f t="shared" ref="V270:V286" si="35">SUM(G270:U270)</f>
        <v>124.2</v>
      </c>
      <c r="W270" s="2"/>
      <c r="Y270" s="74"/>
      <c r="AB270" s="74"/>
      <c r="AD270" s="74"/>
    </row>
    <row r="271" spans="1:30" s="1" customFormat="1" hidden="1" outlineLevel="1" x14ac:dyDescent="0.25">
      <c r="A271" s="2"/>
      <c r="B271" s="82"/>
      <c r="C271" s="51"/>
      <c r="D271" s="51"/>
      <c r="E271" s="51"/>
      <c r="F271" s="51"/>
      <c r="G271" s="20"/>
      <c r="H271" s="21"/>
      <c r="I271" s="21"/>
      <c r="J271" s="102"/>
      <c r="K271" s="51"/>
      <c r="L271" s="32"/>
      <c r="M271" s="22"/>
      <c r="N271" s="51"/>
      <c r="O271" s="81"/>
      <c r="P271" s="22"/>
      <c r="Q271" s="51"/>
      <c r="R271" s="51"/>
      <c r="S271" s="51"/>
      <c r="T271" s="51"/>
      <c r="U271" s="51"/>
      <c r="V271" s="51">
        <f t="shared" si="35"/>
        <v>0</v>
      </c>
      <c r="W271" s="2"/>
      <c r="Y271" s="74"/>
      <c r="AB271" s="74"/>
      <c r="AD271" s="74"/>
    </row>
    <row r="272" spans="1:30" s="1" customFormat="1" hidden="1" outlineLevel="1" x14ac:dyDescent="0.25">
      <c r="A272" s="2"/>
      <c r="B272" s="82"/>
      <c r="C272" s="51"/>
      <c r="D272" s="51"/>
      <c r="E272" s="51"/>
      <c r="F272" s="51"/>
      <c r="G272" s="20"/>
      <c r="H272" s="21"/>
      <c r="I272" s="21"/>
      <c r="J272" s="102"/>
      <c r="K272" s="51"/>
      <c r="L272" s="32"/>
      <c r="M272" s="22"/>
      <c r="N272" s="51"/>
      <c r="O272" s="81"/>
      <c r="P272" s="22"/>
      <c r="Q272" s="51"/>
      <c r="R272" s="51"/>
      <c r="S272" s="51"/>
      <c r="T272" s="51"/>
      <c r="U272" s="51"/>
      <c r="V272" s="51">
        <f t="shared" si="35"/>
        <v>0</v>
      </c>
      <c r="W272" s="2"/>
      <c r="Y272" s="74"/>
      <c r="AB272" s="74"/>
      <c r="AD272" s="74"/>
    </row>
    <row r="273" spans="1:39" s="1" customFormat="1" hidden="1" outlineLevel="1" x14ac:dyDescent="0.25">
      <c r="A273" s="2"/>
      <c r="B273" s="82"/>
      <c r="C273" s="51"/>
      <c r="D273" s="51"/>
      <c r="E273" s="51"/>
      <c r="F273" s="51"/>
      <c r="G273" s="20"/>
      <c r="H273" s="21"/>
      <c r="I273" s="21"/>
      <c r="J273" s="102"/>
      <c r="K273" s="51"/>
      <c r="L273" s="32"/>
      <c r="M273" s="22"/>
      <c r="N273" s="51"/>
      <c r="O273" s="81"/>
      <c r="P273" s="22"/>
      <c r="Q273" s="51"/>
      <c r="R273" s="51"/>
      <c r="S273" s="51"/>
      <c r="T273" s="51"/>
      <c r="U273" s="51"/>
      <c r="V273" s="51">
        <f t="shared" si="35"/>
        <v>0</v>
      </c>
      <c r="W273" s="2"/>
      <c r="Y273" s="74"/>
      <c r="AB273" s="74"/>
      <c r="AD273" s="74"/>
    </row>
    <row r="274" spans="1:39" s="1" customFormat="1" hidden="1" outlineLevel="1" x14ac:dyDescent="0.25">
      <c r="A274" s="2"/>
      <c r="B274" s="51"/>
      <c r="C274" s="51"/>
      <c r="D274" s="51"/>
      <c r="E274" s="51"/>
      <c r="F274" s="51"/>
      <c r="G274" s="51"/>
      <c r="H274" s="80"/>
      <c r="I274" s="51"/>
      <c r="J274" s="51"/>
      <c r="K274" s="51"/>
      <c r="L274" s="51"/>
      <c r="M274" s="51"/>
      <c r="N274" s="81"/>
      <c r="O274" s="51"/>
      <c r="P274" s="51"/>
      <c r="Q274" s="51"/>
      <c r="R274" s="51"/>
      <c r="S274" s="51"/>
      <c r="T274" s="51"/>
      <c r="U274" s="51"/>
      <c r="V274" s="51">
        <f t="shared" si="35"/>
        <v>0</v>
      </c>
      <c r="W274" s="2"/>
      <c r="Y274" s="74"/>
      <c r="AB274" s="74"/>
      <c r="AD274" s="74"/>
    </row>
    <row r="275" spans="1:39" s="1" customFormat="1" hidden="1" outlineLevel="1" x14ac:dyDescent="0.25">
      <c r="A275" s="2"/>
      <c r="B275" s="51"/>
      <c r="C275" s="51"/>
      <c r="D275" s="51"/>
      <c r="E275" s="51"/>
      <c r="F275" s="51"/>
      <c r="G275" s="51"/>
      <c r="H275" s="80"/>
      <c r="I275" s="51"/>
      <c r="J275" s="51"/>
      <c r="K275" s="51"/>
      <c r="L275" s="51"/>
      <c r="M275" s="51"/>
      <c r="N275" s="81"/>
      <c r="O275" s="51"/>
      <c r="P275" s="51"/>
      <c r="Q275" s="51"/>
      <c r="R275" s="51"/>
      <c r="S275" s="51"/>
      <c r="T275" s="51"/>
      <c r="U275" s="51"/>
      <c r="V275" s="51">
        <f t="shared" si="35"/>
        <v>0</v>
      </c>
      <c r="W275" s="2"/>
      <c r="Y275" s="74"/>
      <c r="AB275" s="74"/>
      <c r="AD275" s="74"/>
    </row>
    <row r="276" spans="1:39" s="1" customFormat="1" hidden="1" outlineLevel="1" x14ac:dyDescent="0.25">
      <c r="A276" s="2"/>
      <c r="B276" s="51"/>
      <c r="C276" s="51"/>
      <c r="D276" s="51"/>
      <c r="E276" s="51"/>
      <c r="F276" s="51"/>
      <c r="G276" s="51"/>
      <c r="H276" s="80"/>
      <c r="I276" s="51"/>
      <c r="J276" s="51"/>
      <c r="K276" s="51"/>
      <c r="L276" s="51"/>
      <c r="M276" s="51"/>
      <c r="N276" s="81"/>
      <c r="O276" s="51"/>
      <c r="P276" s="51"/>
      <c r="Q276" s="51"/>
      <c r="R276" s="51"/>
      <c r="S276" s="81"/>
      <c r="T276" s="51"/>
      <c r="U276" s="51"/>
      <c r="V276" s="51">
        <f t="shared" si="35"/>
        <v>0</v>
      </c>
      <c r="W276" s="2"/>
      <c r="Y276" s="74"/>
      <c r="AB276" s="74"/>
      <c r="AD276" s="74"/>
    </row>
    <row r="277" spans="1:39" s="1" customFormat="1" hidden="1" outlineLevel="1" x14ac:dyDescent="0.25">
      <c r="A277" s="2"/>
      <c r="B277" s="51"/>
      <c r="C277" s="51"/>
      <c r="D277" s="51"/>
      <c r="E277" s="51"/>
      <c r="F277" s="51"/>
      <c r="G277" s="51"/>
      <c r="H277" s="80"/>
      <c r="I277" s="51"/>
      <c r="J277" s="51"/>
      <c r="K277" s="51"/>
      <c r="L277" s="51"/>
      <c r="M277" s="51"/>
      <c r="N277" s="81"/>
      <c r="O277" s="51"/>
      <c r="P277" s="51"/>
      <c r="Q277" s="51"/>
      <c r="R277" s="51"/>
      <c r="S277" s="81"/>
      <c r="T277" s="51"/>
      <c r="U277" s="51"/>
      <c r="V277" s="51">
        <f t="shared" si="35"/>
        <v>0</v>
      </c>
      <c r="W277" s="2"/>
      <c r="Y277" s="74"/>
      <c r="AB277" s="74"/>
      <c r="AD277" s="74"/>
    </row>
    <row r="278" spans="1:39" s="1" customFormat="1" hidden="1" outlineLevel="1" x14ac:dyDescent="0.25">
      <c r="A278" s="2"/>
      <c r="B278" s="51"/>
      <c r="C278" s="51"/>
      <c r="D278" s="51"/>
      <c r="E278" s="51"/>
      <c r="F278" s="51"/>
      <c r="G278" s="51"/>
      <c r="H278" s="80"/>
      <c r="I278" s="51"/>
      <c r="J278" s="51"/>
      <c r="K278" s="51"/>
      <c r="L278" s="51"/>
      <c r="M278" s="51"/>
      <c r="N278" s="81"/>
      <c r="O278" s="51"/>
      <c r="P278" s="51"/>
      <c r="Q278" s="51"/>
      <c r="R278" s="51"/>
      <c r="S278" s="81"/>
      <c r="T278" s="51"/>
      <c r="U278" s="51"/>
      <c r="V278" s="51">
        <f t="shared" si="35"/>
        <v>0</v>
      </c>
      <c r="W278" s="2"/>
      <c r="Y278" s="74"/>
      <c r="AB278" s="74"/>
      <c r="AD278" s="74"/>
    </row>
    <row r="279" spans="1:39" s="1" customFormat="1" hidden="1" outlineLevel="1" x14ac:dyDescent="0.25">
      <c r="A279" s="2"/>
      <c r="B279" s="51"/>
      <c r="C279" s="51"/>
      <c r="D279" s="51"/>
      <c r="E279" s="51"/>
      <c r="F279" s="51"/>
      <c r="G279" s="51"/>
      <c r="H279" s="80"/>
      <c r="I279" s="51"/>
      <c r="J279" s="51"/>
      <c r="K279" s="51"/>
      <c r="L279" s="51"/>
      <c r="M279" s="51"/>
      <c r="N279" s="81"/>
      <c r="O279" s="51"/>
      <c r="P279" s="51"/>
      <c r="Q279" s="51"/>
      <c r="R279" s="51"/>
      <c r="S279" s="81"/>
      <c r="T279" s="51"/>
      <c r="U279" s="51"/>
      <c r="V279" s="51">
        <f t="shared" si="35"/>
        <v>0</v>
      </c>
      <c r="W279" s="2"/>
      <c r="Y279" s="74"/>
      <c r="AB279" s="74"/>
      <c r="AD279" s="74"/>
    </row>
    <row r="280" spans="1:39" s="1" customFormat="1" hidden="1" outlineLevel="1" x14ac:dyDescent="0.25">
      <c r="A280" s="2"/>
      <c r="B280" s="51"/>
      <c r="C280" s="51"/>
      <c r="D280" s="51"/>
      <c r="E280" s="51"/>
      <c r="F280" s="51"/>
      <c r="G280" s="51"/>
      <c r="H280" s="80"/>
      <c r="I280" s="51"/>
      <c r="J280" s="51"/>
      <c r="K280" s="51"/>
      <c r="L280" s="51"/>
      <c r="M280" s="51"/>
      <c r="N280" s="81"/>
      <c r="O280" s="51"/>
      <c r="P280" s="51"/>
      <c r="Q280" s="51"/>
      <c r="R280" s="51"/>
      <c r="S280" s="81"/>
      <c r="T280" s="51"/>
      <c r="U280" s="51"/>
      <c r="V280" s="51">
        <f t="shared" si="35"/>
        <v>0</v>
      </c>
      <c r="W280" s="2"/>
      <c r="Y280" s="74"/>
      <c r="AB280" s="74"/>
      <c r="AD280" s="74"/>
    </row>
    <row r="281" spans="1:39" s="1" customFormat="1" hidden="1" outlineLevel="1" x14ac:dyDescent="0.25">
      <c r="A281" s="2"/>
      <c r="B281" s="51"/>
      <c r="C281" s="51"/>
      <c r="D281" s="51"/>
      <c r="E281" s="51"/>
      <c r="F281" s="51"/>
      <c r="G281" s="51"/>
      <c r="H281" s="80"/>
      <c r="I281" s="51"/>
      <c r="J281" s="51"/>
      <c r="K281" s="51"/>
      <c r="L281" s="51"/>
      <c r="M281" s="51"/>
      <c r="N281" s="81"/>
      <c r="O281" s="51"/>
      <c r="P281" s="51"/>
      <c r="Q281" s="51"/>
      <c r="R281" s="51"/>
      <c r="S281" s="81"/>
      <c r="T281" s="51"/>
      <c r="U281" s="51"/>
      <c r="V281" s="51">
        <f t="shared" si="35"/>
        <v>0</v>
      </c>
      <c r="W281" s="2"/>
      <c r="Y281" s="74"/>
      <c r="AB281" s="74"/>
      <c r="AD281" s="74"/>
    </row>
    <row r="282" spans="1:39" s="1" customFormat="1" hidden="1" outlineLevel="1" x14ac:dyDescent="0.25">
      <c r="A282" s="2"/>
      <c r="B282" s="51"/>
      <c r="C282" s="51"/>
      <c r="D282" s="51"/>
      <c r="E282" s="51"/>
      <c r="F282" s="51"/>
      <c r="G282" s="51"/>
      <c r="H282" s="80"/>
      <c r="I282" s="51"/>
      <c r="J282" s="51"/>
      <c r="K282" s="51"/>
      <c r="L282" s="51"/>
      <c r="M282" s="51"/>
      <c r="N282" s="81"/>
      <c r="O282" s="51"/>
      <c r="P282" s="51"/>
      <c r="Q282" s="51"/>
      <c r="R282" s="51"/>
      <c r="S282" s="81"/>
      <c r="T282" s="51"/>
      <c r="U282" s="51"/>
      <c r="V282" s="51">
        <f t="shared" si="35"/>
        <v>0</v>
      </c>
      <c r="W282" s="2"/>
      <c r="Y282" s="74"/>
      <c r="AB282" s="74"/>
      <c r="AD282" s="74"/>
    </row>
    <row r="283" spans="1:39" s="1" customFormat="1" hidden="1" outlineLevel="1" x14ac:dyDescent="0.25">
      <c r="A283" s="2"/>
      <c r="B283" s="51"/>
      <c r="C283" s="51"/>
      <c r="D283" s="51"/>
      <c r="E283" s="51"/>
      <c r="F283" s="51"/>
      <c r="G283" s="51"/>
      <c r="H283" s="80"/>
      <c r="I283" s="51"/>
      <c r="J283" s="51"/>
      <c r="K283" s="51"/>
      <c r="L283" s="51"/>
      <c r="M283" s="51"/>
      <c r="N283" s="81"/>
      <c r="O283" s="51"/>
      <c r="P283" s="51"/>
      <c r="Q283" s="51"/>
      <c r="R283" s="51"/>
      <c r="S283" s="81"/>
      <c r="T283" s="51"/>
      <c r="U283" s="51"/>
      <c r="V283" s="51">
        <f t="shared" si="35"/>
        <v>0</v>
      </c>
      <c r="W283" s="2"/>
      <c r="Y283" s="74"/>
      <c r="AB283" s="74"/>
      <c r="AD283" s="74"/>
    </row>
    <row r="284" spans="1:39" s="1" customFormat="1" hidden="1" outlineLevel="1" x14ac:dyDescent="0.25">
      <c r="A284" s="2"/>
      <c r="B284" s="51"/>
      <c r="C284" s="51"/>
      <c r="D284" s="51"/>
      <c r="E284" s="51"/>
      <c r="F284" s="51"/>
      <c r="G284" s="51"/>
      <c r="H284" s="80"/>
      <c r="I284" s="51"/>
      <c r="J284" s="51"/>
      <c r="K284" s="51"/>
      <c r="L284" s="51"/>
      <c r="M284" s="51"/>
      <c r="N284" s="81"/>
      <c r="O284" s="51"/>
      <c r="P284" s="51"/>
      <c r="Q284" s="51"/>
      <c r="R284" s="51"/>
      <c r="S284" s="81"/>
      <c r="T284" s="51"/>
      <c r="U284" s="51"/>
      <c r="V284" s="51">
        <f t="shared" si="35"/>
        <v>0</v>
      </c>
      <c r="W284" s="2"/>
      <c r="Y284" s="74"/>
      <c r="AB284" s="74"/>
      <c r="AD284" s="74"/>
    </row>
    <row r="285" spans="1:39" s="1" customFormat="1" hidden="1" outlineLevel="1" x14ac:dyDescent="0.25">
      <c r="A285" s="2"/>
      <c r="B285" s="51"/>
      <c r="C285" s="51"/>
      <c r="D285" s="51"/>
      <c r="E285" s="51"/>
      <c r="F285" s="51"/>
      <c r="G285" s="51"/>
      <c r="H285" s="80"/>
      <c r="I285" s="51"/>
      <c r="J285" s="51"/>
      <c r="K285" s="51"/>
      <c r="L285" s="51"/>
      <c r="M285" s="51"/>
      <c r="N285" s="81"/>
      <c r="O285" s="51"/>
      <c r="P285" s="51"/>
      <c r="Q285" s="51"/>
      <c r="R285" s="51"/>
      <c r="S285" s="81"/>
      <c r="T285" s="51"/>
      <c r="U285" s="51"/>
      <c r="V285" s="51">
        <f t="shared" si="35"/>
        <v>0</v>
      </c>
      <c r="W285" s="2"/>
      <c r="Y285" s="74"/>
      <c r="AB285" s="74"/>
      <c r="AD285" s="74"/>
    </row>
    <row r="286" spans="1:39" s="1" customFormat="1" hidden="1" outlineLevel="1" x14ac:dyDescent="0.25">
      <c r="A286" s="2"/>
      <c r="B286" s="51"/>
      <c r="C286" s="51"/>
      <c r="D286" s="51"/>
      <c r="E286" s="51"/>
      <c r="F286" s="51"/>
      <c r="G286" s="51"/>
      <c r="H286" s="80"/>
      <c r="I286" s="51"/>
      <c r="J286" s="51"/>
      <c r="K286" s="51"/>
      <c r="L286" s="51"/>
      <c r="M286" s="51"/>
      <c r="N286" s="81"/>
      <c r="O286" s="51"/>
      <c r="P286" s="51"/>
      <c r="Q286" s="51"/>
      <c r="R286" s="51"/>
      <c r="S286" s="81"/>
      <c r="T286" s="51"/>
      <c r="U286" s="51"/>
      <c r="V286" s="51">
        <f t="shared" si="35"/>
        <v>0</v>
      </c>
      <c r="W286" s="2"/>
      <c r="Y286" s="74"/>
      <c r="AB286" s="74"/>
      <c r="AD286" s="74"/>
    </row>
    <row r="287" spans="1:39" ht="15.75" hidden="1" customHeight="1" outlineLevel="1" thickBot="1" x14ac:dyDescent="0.3">
      <c r="A287" s="2"/>
      <c r="B287" s="75"/>
      <c r="C287" s="75"/>
      <c r="D287" s="76"/>
      <c r="E287" s="76"/>
      <c r="F287" s="76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2"/>
      <c r="R287" s="77"/>
      <c r="S287" s="77"/>
      <c r="T287" s="77"/>
      <c r="U287" s="2"/>
      <c r="V287" s="77"/>
      <c r="W287" s="78"/>
      <c r="Y287" s="74"/>
      <c r="Z287" s="6"/>
      <c r="AA287" s="13"/>
      <c r="AB287" s="74"/>
      <c r="AC287" s="6"/>
      <c r="AD287" s="74"/>
      <c r="AE287" s="6"/>
      <c r="AF287" s="6"/>
      <c r="AG287" s="6"/>
      <c r="AH287" s="6"/>
      <c r="AI287" s="6"/>
      <c r="AM287" s="14"/>
    </row>
    <row r="288" spans="1:39" s="1" customFormat="1" ht="12.75" customHeight="1" x14ac:dyDescent="0.25">
      <c r="A288" s="145">
        <v>19</v>
      </c>
      <c r="B288" s="147" t="s">
        <v>215</v>
      </c>
      <c r="C288" s="147" t="s">
        <v>32</v>
      </c>
      <c r="D288" s="156" t="s">
        <v>12</v>
      </c>
      <c r="E288" s="90"/>
      <c r="F288" s="92"/>
      <c r="G288" s="72">
        <f t="shared" ref="G288:U288" si="36">SUM(G290:G299)</f>
        <v>0</v>
      </c>
      <c r="H288" s="72">
        <f t="shared" si="36"/>
        <v>0</v>
      </c>
      <c r="I288" s="72">
        <f t="shared" si="36"/>
        <v>0</v>
      </c>
      <c r="J288" s="72">
        <f t="shared" si="36"/>
        <v>0</v>
      </c>
      <c r="K288" s="72">
        <f t="shared" si="36"/>
        <v>0</v>
      </c>
      <c r="L288" s="72">
        <f t="shared" si="36"/>
        <v>0</v>
      </c>
      <c r="M288" s="72">
        <f t="shared" si="36"/>
        <v>0</v>
      </c>
      <c r="N288" s="72">
        <f t="shared" si="36"/>
        <v>0</v>
      </c>
      <c r="O288" s="72">
        <f t="shared" si="36"/>
        <v>0</v>
      </c>
      <c r="P288" s="72">
        <f t="shared" si="36"/>
        <v>0</v>
      </c>
      <c r="Q288" s="72">
        <f t="shared" si="36"/>
        <v>0</v>
      </c>
      <c r="R288" s="72">
        <f t="shared" si="36"/>
        <v>0</v>
      </c>
      <c r="S288" s="72">
        <f t="shared" si="36"/>
        <v>0</v>
      </c>
      <c r="T288" s="72">
        <f t="shared" si="36"/>
        <v>0</v>
      </c>
      <c r="U288" s="72">
        <f t="shared" si="36"/>
        <v>0</v>
      </c>
      <c r="V288" s="72">
        <f>SUM(V290:V299)</f>
        <v>0</v>
      </c>
      <c r="W288" s="168">
        <f>V288+V289</f>
        <v>0</v>
      </c>
      <c r="Y288" s="74"/>
      <c r="AB288" s="74"/>
      <c r="AD288" s="74"/>
    </row>
    <row r="289" spans="1:30" s="1" customFormat="1" ht="13.8" collapsed="1" thickBot="1" x14ac:dyDescent="0.3">
      <c r="A289" s="146"/>
      <c r="B289" s="148"/>
      <c r="C289" s="148"/>
      <c r="D289" s="157"/>
      <c r="E289" s="91"/>
      <c r="F289" s="93"/>
      <c r="G289" s="73">
        <f>SUM(G301:G318)</f>
        <v>0</v>
      </c>
      <c r="H289" s="79">
        <f>SUM(H301:H318)</f>
        <v>0</v>
      </c>
      <c r="I289" s="79">
        <f>SUM(I301:I318)</f>
        <v>0</v>
      </c>
      <c r="J289" s="73">
        <f t="shared" ref="J289:Q289" si="37">SUM(J301:J318)</f>
        <v>0</v>
      </c>
      <c r="K289" s="73">
        <f t="shared" si="37"/>
        <v>0</v>
      </c>
      <c r="L289" s="73">
        <f t="shared" si="37"/>
        <v>0</v>
      </c>
      <c r="M289" s="73">
        <f t="shared" si="37"/>
        <v>0</v>
      </c>
      <c r="N289" s="73">
        <f t="shared" si="37"/>
        <v>0</v>
      </c>
      <c r="O289" s="73">
        <f t="shared" si="37"/>
        <v>0</v>
      </c>
      <c r="P289" s="73">
        <f t="shared" si="37"/>
        <v>0</v>
      </c>
      <c r="Q289" s="73">
        <f t="shared" si="37"/>
        <v>0</v>
      </c>
      <c r="R289" s="73">
        <f>SUM(R301:R318)</f>
        <v>0</v>
      </c>
      <c r="S289" s="73">
        <f>SUM(S301:S318)</f>
        <v>0</v>
      </c>
      <c r="T289" s="73">
        <f>SUM(T301:T318)</f>
        <v>0</v>
      </c>
      <c r="U289" s="73">
        <f>SUM(U301:U318)</f>
        <v>0</v>
      </c>
      <c r="V289" s="73">
        <f>SUM(V301:V318)</f>
        <v>0</v>
      </c>
      <c r="W289" s="169"/>
      <c r="Y289" s="74"/>
      <c r="Z289" s="74"/>
      <c r="AB289" s="74"/>
      <c r="AD289" s="74"/>
    </row>
    <row r="290" spans="1:30" s="1" customFormat="1" hidden="1" outlineLevel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 s="51">
        <f>SUM(G290:U290)</f>
        <v>0</v>
      </c>
      <c r="W290" s="2"/>
      <c r="Y290" s="74"/>
      <c r="AB290" s="74"/>
      <c r="AD290" s="74"/>
    </row>
    <row r="291" spans="1:30" s="1" customFormat="1" hidden="1" outlineLevel="1" x14ac:dyDescent="0.25">
      <c r="A291" s="2"/>
      <c r="B291" s="51"/>
      <c r="C291" s="51"/>
      <c r="D291" s="51"/>
      <c r="E291" s="51"/>
      <c r="F291" s="51"/>
      <c r="G291" s="51"/>
      <c r="H291" s="51"/>
      <c r="I291" s="51"/>
      <c r="J291" s="51"/>
      <c r="K291" s="51"/>
      <c r="L291" s="51"/>
      <c r="M291" s="51"/>
      <c r="N291" s="51"/>
      <c r="O291" s="51"/>
      <c r="P291" s="51"/>
      <c r="Q291" s="51"/>
      <c r="R291" s="51"/>
      <c r="S291" s="51"/>
      <c r="T291" s="51"/>
      <c r="U291" s="51"/>
      <c r="V291" s="51">
        <f>SUM(G291:U291)</f>
        <v>0</v>
      </c>
      <c r="W291" s="2"/>
      <c r="Y291" s="74"/>
      <c r="AB291" s="74"/>
      <c r="AD291" s="74"/>
    </row>
    <row r="292" spans="1:30" s="1" customFormat="1" hidden="1" outlineLevel="1" x14ac:dyDescent="0.25">
      <c r="A292" s="2"/>
      <c r="B292" s="51"/>
      <c r="C292" s="51"/>
      <c r="D292" s="51"/>
      <c r="E292" s="51"/>
      <c r="F292" s="51"/>
      <c r="G292" s="51"/>
      <c r="H292" s="51"/>
      <c r="I292" s="51"/>
      <c r="J292" s="51"/>
      <c r="K292" s="51"/>
      <c r="L292" s="51"/>
      <c r="M292" s="51"/>
      <c r="N292" s="51"/>
      <c r="O292" s="51"/>
      <c r="P292" s="51"/>
      <c r="Q292" s="51"/>
      <c r="R292" s="51"/>
      <c r="S292" s="51"/>
      <c r="T292" s="51"/>
      <c r="U292" s="51"/>
      <c r="V292" s="51">
        <f t="shared" ref="V292:V299" si="38">SUM(G292:U292)</f>
        <v>0</v>
      </c>
      <c r="W292" s="2"/>
      <c r="Y292" s="74"/>
      <c r="AB292" s="74"/>
      <c r="AD292" s="74"/>
    </row>
    <row r="293" spans="1:30" s="1" customFormat="1" hidden="1" outlineLevel="1" x14ac:dyDescent="0.25">
      <c r="A293" s="2"/>
      <c r="B293" s="51"/>
      <c r="C293" s="51"/>
      <c r="D293" s="51"/>
      <c r="E293" s="51"/>
      <c r="F293" s="51"/>
      <c r="G293" s="51"/>
      <c r="H293" s="51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>
        <f t="shared" si="38"/>
        <v>0</v>
      </c>
      <c r="W293" s="2"/>
      <c r="Y293" s="74"/>
      <c r="AB293" s="74"/>
      <c r="AD293" s="74"/>
    </row>
    <row r="294" spans="1:30" s="1" customFormat="1" hidden="1" outlineLevel="1" x14ac:dyDescent="0.25">
      <c r="A294" s="2"/>
      <c r="B294" s="51"/>
      <c r="C294" s="51"/>
      <c r="D294" s="51"/>
      <c r="E294" s="51"/>
      <c r="F294" s="51"/>
      <c r="G294" s="51"/>
      <c r="H294" s="51"/>
      <c r="I294" s="51"/>
      <c r="J294" s="51"/>
      <c r="K294" s="51"/>
      <c r="L294" s="51"/>
      <c r="M294" s="51"/>
      <c r="N294" s="51"/>
      <c r="O294" s="51"/>
      <c r="P294" s="51"/>
      <c r="Q294" s="51"/>
      <c r="R294" s="51"/>
      <c r="S294" s="51"/>
      <c r="T294" s="51"/>
      <c r="U294" s="51"/>
      <c r="V294" s="51">
        <f t="shared" si="38"/>
        <v>0</v>
      </c>
      <c r="W294" s="2"/>
      <c r="Y294" s="74"/>
      <c r="AB294" s="74"/>
      <c r="AD294" s="74"/>
    </row>
    <row r="295" spans="1:30" s="1" customFormat="1" hidden="1" outlineLevel="1" x14ac:dyDescent="0.25">
      <c r="A295" s="2"/>
      <c r="B295" s="51"/>
      <c r="C295" s="51"/>
      <c r="D295" s="51"/>
      <c r="E295" s="51"/>
      <c r="F295" s="51"/>
      <c r="G295" s="51"/>
      <c r="H295" s="51"/>
      <c r="I295" s="51"/>
      <c r="J295" s="51"/>
      <c r="K295" s="51"/>
      <c r="L295" s="51"/>
      <c r="M295" s="51"/>
      <c r="N295" s="51"/>
      <c r="O295" s="51"/>
      <c r="P295" s="51"/>
      <c r="Q295" s="51"/>
      <c r="R295" s="51"/>
      <c r="S295" s="51"/>
      <c r="T295" s="51"/>
      <c r="U295" s="51"/>
      <c r="V295" s="51">
        <f t="shared" si="38"/>
        <v>0</v>
      </c>
      <c r="W295" s="2"/>
      <c r="Y295" s="74"/>
      <c r="AB295" s="74"/>
      <c r="AD295" s="74"/>
    </row>
    <row r="296" spans="1:30" s="1" customFormat="1" hidden="1" outlineLevel="1" x14ac:dyDescent="0.25">
      <c r="A296" s="2"/>
      <c r="B296" s="51"/>
      <c r="C296" s="51"/>
      <c r="D296" s="51"/>
      <c r="E296" s="51"/>
      <c r="F296" s="51"/>
      <c r="G296" s="51"/>
      <c r="H296" s="51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>
        <f t="shared" si="38"/>
        <v>0</v>
      </c>
      <c r="W296" s="2"/>
      <c r="Y296" s="74"/>
      <c r="AB296" s="74"/>
      <c r="AD296" s="74"/>
    </row>
    <row r="297" spans="1:30" s="1" customFormat="1" hidden="1" outlineLevel="1" x14ac:dyDescent="0.25">
      <c r="A297" s="2"/>
      <c r="B297" s="51"/>
      <c r="C297" s="51"/>
      <c r="D297" s="51"/>
      <c r="E297" s="51"/>
      <c r="F297" s="51"/>
      <c r="G297" s="51"/>
      <c r="H297" s="51"/>
      <c r="I297" s="51"/>
      <c r="J297" s="51"/>
      <c r="K297" s="51"/>
      <c r="L297" s="51"/>
      <c r="M297" s="51"/>
      <c r="N297" s="51"/>
      <c r="O297" s="51"/>
      <c r="P297" s="51"/>
      <c r="Q297" s="51"/>
      <c r="R297" s="51"/>
      <c r="S297" s="51"/>
      <c r="T297" s="51"/>
      <c r="U297" s="51"/>
      <c r="V297" s="51">
        <f t="shared" si="38"/>
        <v>0</v>
      </c>
      <c r="W297" s="2"/>
      <c r="Y297" s="74"/>
      <c r="AB297" s="74"/>
      <c r="AD297" s="74"/>
    </row>
    <row r="298" spans="1:30" s="1" customFormat="1" hidden="1" outlineLevel="1" x14ac:dyDescent="0.25">
      <c r="A298" s="2"/>
      <c r="B298" s="51"/>
      <c r="C298" s="51"/>
      <c r="D298" s="51"/>
      <c r="E298" s="51"/>
      <c r="F298" s="51"/>
      <c r="G298" s="51"/>
      <c r="H298" s="51"/>
      <c r="I298" s="51"/>
      <c r="J298" s="51"/>
      <c r="K298" s="51"/>
      <c r="L298" s="51"/>
      <c r="M298" s="51"/>
      <c r="N298" s="51"/>
      <c r="O298" s="51"/>
      <c r="P298" s="51"/>
      <c r="Q298" s="51"/>
      <c r="R298" s="51"/>
      <c r="S298" s="51"/>
      <c r="T298" s="51"/>
      <c r="U298" s="51"/>
      <c r="V298" s="51">
        <f t="shared" si="38"/>
        <v>0</v>
      </c>
      <c r="W298" s="2"/>
      <c r="Y298" s="74"/>
      <c r="AB298" s="74"/>
      <c r="AD298" s="74"/>
    </row>
    <row r="299" spans="1:30" s="1" customFormat="1" hidden="1" outlineLevel="1" x14ac:dyDescent="0.25">
      <c r="A299" s="2"/>
      <c r="B299" s="51"/>
      <c r="C299" s="51"/>
      <c r="D299" s="51"/>
      <c r="E299" s="51"/>
      <c r="F299" s="51"/>
      <c r="G299" s="51"/>
      <c r="H299" s="51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>
        <f t="shared" si="38"/>
        <v>0</v>
      </c>
      <c r="W299" s="2"/>
      <c r="Y299" s="74"/>
      <c r="AB299" s="74"/>
      <c r="AD299" s="74"/>
    </row>
    <row r="300" spans="1:30" s="1" customFormat="1" hidden="1" outlineLevel="1" x14ac:dyDescent="0.25">
      <c r="A300" s="2"/>
      <c r="B300" s="185" t="s">
        <v>29</v>
      </c>
      <c r="C300" s="185"/>
      <c r="D300" s="185"/>
      <c r="E300" s="185"/>
      <c r="F300" s="185"/>
      <c r="G300" s="185"/>
      <c r="H300" s="185"/>
      <c r="I300" s="185"/>
      <c r="J300" s="185"/>
      <c r="K300" s="185"/>
      <c r="L300" s="185"/>
      <c r="M300" s="185"/>
      <c r="N300" s="185"/>
      <c r="O300" s="185"/>
      <c r="P300" s="185"/>
      <c r="Q300" s="185"/>
      <c r="R300" s="185"/>
      <c r="S300" s="185"/>
      <c r="T300" s="185"/>
      <c r="U300" s="185"/>
      <c r="V300" s="104"/>
      <c r="W300" s="2"/>
      <c r="Y300" s="74"/>
      <c r="AB300" s="74"/>
      <c r="AD300" s="74"/>
    </row>
    <row r="301" spans="1:30" s="1" customFormat="1" hidden="1" outlineLevel="1" x14ac:dyDescent="0.25">
      <c r="A301" s="34"/>
      <c r="B301" s="42"/>
      <c r="C301" s="34"/>
      <c r="D301" s="34"/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51">
        <f t="shared" ref="V301:V317" si="39">SUM(G301:U301)</f>
        <v>0</v>
      </c>
      <c r="W301" s="2"/>
      <c r="Y301" s="74"/>
      <c r="AB301" s="74"/>
      <c r="AD301" s="74"/>
    </row>
    <row r="302" spans="1:30" s="1" customFormat="1" hidden="1" outlineLevel="1" x14ac:dyDescent="0.25">
      <c r="A302" s="34"/>
      <c r="B302" s="42"/>
      <c r="C302" s="34"/>
      <c r="D302" s="34"/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51">
        <f t="shared" si="39"/>
        <v>0</v>
      </c>
      <c r="W302" s="2"/>
      <c r="Y302" s="74"/>
      <c r="AB302" s="74"/>
      <c r="AD302" s="74"/>
    </row>
    <row r="303" spans="1:30" s="1" customFormat="1" hidden="1" outlineLevel="1" x14ac:dyDescent="0.25">
      <c r="A303" s="2"/>
      <c r="B303" s="82"/>
      <c r="C303" s="51"/>
      <c r="D303" s="51"/>
      <c r="E303" s="51"/>
      <c r="F303" s="51"/>
      <c r="G303" s="20"/>
      <c r="H303" s="21"/>
      <c r="I303" s="21"/>
      <c r="J303" s="102"/>
      <c r="K303" s="51"/>
      <c r="L303" s="32"/>
      <c r="M303" s="22"/>
      <c r="N303" s="51"/>
      <c r="O303" s="81"/>
      <c r="P303" s="22"/>
      <c r="Q303" s="51"/>
      <c r="R303" s="51"/>
      <c r="S303" s="51"/>
      <c r="T303" s="51"/>
      <c r="U303" s="51"/>
      <c r="V303" s="51">
        <f t="shared" si="39"/>
        <v>0</v>
      </c>
      <c r="W303" s="2"/>
      <c r="Y303" s="74"/>
      <c r="AB303" s="74"/>
      <c r="AD303" s="74"/>
    </row>
    <row r="304" spans="1:30" s="1" customFormat="1" hidden="1" outlineLevel="1" x14ac:dyDescent="0.25">
      <c r="A304" s="2"/>
      <c r="B304" s="82"/>
      <c r="C304" s="51"/>
      <c r="D304" s="51"/>
      <c r="E304" s="51"/>
      <c r="F304" s="51"/>
      <c r="G304" s="20"/>
      <c r="H304" s="21"/>
      <c r="I304" s="21"/>
      <c r="J304" s="102"/>
      <c r="K304" s="51"/>
      <c r="L304" s="32"/>
      <c r="M304" s="22"/>
      <c r="N304" s="51"/>
      <c r="O304" s="81"/>
      <c r="P304" s="22"/>
      <c r="Q304" s="51"/>
      <c r="R304" s="51"/>
      <c r="S304" s="51"/>
      <c r="T304" s="51"/>
      <c r="U304" s="51"/>
      <c r="V304" s="51">
        <f t="shared" si="39"/>
        <v>0</v>
      </c>
      <c r="W304" s="2"/>
      <c r="Y304" s="74"/>
      <c r="AB304" s="74"/>
      <c r="AD304" s="74"/>
    </row>
    <row r="305" spans="1:39" s="1" customFormat="1" hidden="1" outlineLevel="1" x14ac:dyDescent="0.25">
      <c r="A305" s="2"/>
      <c r="B305" s="51"/>
      <c r="C305" s="51"/>
      <c r="D305" s="51"/>
      <c r="E305" s="51"/>
      <c r="F305" s="51"/>
      <c r="G305" s="51"/>
      <c r="H305" s="80"/>
      <c r="I305" s="51"/>
      <c r="J305" s="51"/>
      <c r="K305" s="51"/>
      <c r="L305" s="51"/>
      <c r="M305" s="51"/>
      <c r="N305" s="81"/>
      <c r="O305" s="51"/>
      <c r="P305" s="51"/>
      <c r="Q305" s="51"/>
      <c r="R305" s="51"/>
      <c r="S305" s="51"/>
      <c r="T305" s="51"/>
      <c r="U305" s="51"/>
      <c r="V305" s="51">
        <f t="shared" si="39"/>
        <v>0</v>
      </c>
      <c r="W305" s="2"/>
      <c r="Y305" s="74"/>
      <c r="AB305" s="74"/>
      <c r="AD305" s="74"/>
    </row>
    <row r="306" spans="1:39" s="1" customFormat="1" hidden="1" outlineLevel="1" x14ac:dyDescent="0.25">
      <c r="A306" s="2"/>
      <c r="B306" s="51"/>
      <c r="C306" s="51"/>
      <c r="D306" s="51"/>
      <c r="E306" s="51"/>
      <c r="F306" s="51"/>
      <c r="G306" s="51"/>
      <c r="H306" s="80"/>
      <c r="I306" s="51"/>
      <c r="J306" s="51"/>
      <c r="K306" s="51"/>
      <c r="L306" s="51"/>
      <c r="M306" s="51"/>
      <c r="N306" s="81"/>
      <c r="O306" s="51"/>
      <c r="P306" s="51"/>
      <c r="Q306" s="51"/>
      <c r="R306" s="51"/>
      <c r="S306" s="51"/>
      <c r="T306" s="51"/>
      <c r="U306" s="51"/>
      <c r="V306" s="51">
        <f t="shared" si="39"/>
        <v>0</v>
      </c>
      <c r="W306" s="2"/>
      <c r="Y306" s="74"/>
      <c r="AB306" s="74"/>
      <c r="AD306" s="74"/>
    </row>
    <row r="307" spans="1:39" s="1" customFormat="1" hidden="1" outlineLevel="1" x14ac:dyDescent="0.25">
      <c r="A307" s="2"/>
      <c r="B307" s="51"/>
      <c r="C307" s="51"/>
      <c r="D307" s="51"/>
      <c r="E307" s="51"/>
      <c r="F307" s="51"/>
      <c r="G307" s="51"/>
      <c r="H307" s="80"/>
      <c r="I307" s="51"/>
      <c r="J307" s="51"/>
      <c r="K307" s="51"/>
      <c r="L307" s="51"/>
      <c r="M307" s="51"/>
      <c r="N307" s="81"/>
      <c r="O307" s="51"/>
      <c r="P307" s="51"/>
      <c r="Q307" s="51"/>
      <c r="R307" s="51"/>
      <c r="S307" s="81"/>
      <c r="T307" s="51"/>
      <c r="U307" s="51"/>
      <c r="V307" s="51">
        <f t="shared" si="39"/>
        <v>0</v>
      </c>
      <c r="W307" s="2"/>
      <c r="Y307" s="74"/>
      <c r="AB307" s="74"/>
      <c r="AD307" s="74"/>
    </row>
    <row r="308" spans="1:39" s="1" customFormat="1" hidden="1" outlineLevel="1" x14ac:dyDescent="0.25">
      <c r="A308" s="2"/>
      <c r="B308" s="51"/>
      <c r="C308" s="51"/>
      <c r="D308" s="51"/>
      <c r="E308" s="51"/>
      <c r="F308" s="51"/>
      <c r="G308" s="51"/>
      <c r="H308" s="80"/>
      <c r="I308" s="51"/>
      <c r="J308" s="51"/>
      <c r="K308" s="51"/>
      <c r="L308" s="51"/>
      <c r="M308" s="51"/>
      <c r="N308" s="81"/>
      <c r="O308" s="51"/>
      <c r="P308" s="51"/>
      <c r="Q308" s="51"/>
      <c r="R308" s="51"/>
      <c r="S308" s="81"/>
      <c r="T308" s="51"/>
      <c r="U308" s="51"/>
      <c r="V308" s="51">
        <f t="shared" si="39"/>
        <v>0</v>
      </c>
      <c r="W308" s="2"/>
      <c r="Y308" s="74"/>
      <c r="AB308" s="74"/>
      <c r="AD308" s="74"/>
    </row>
    <row r="309" spans="1:39" s="1" customFormat="1" hidden="1" outlineLevel="1" x14ac:dyDescent="0.25">
      <c r="A309" s="2"/>
      <c r="B309" s="51"/>
      <c r="C309" s="51"/>
      <c r="D309" s="51"/>
      <c r="E309" s="51"/>
      <c r="F309" s="51"/>
      <c r="G309" s="51"/>
      <c r="H309" s="80"/>
      <c r="I309" s="51"/>
      <c r="J309" s="51"/>
      <c r="K309" s="51"/>
      <c r="L309" s="51"/>
      <c r="M309" s="51"/>
      <c r="N309" s="81"/>
      <c r="O309" s="51"/>
      <c r="P309" s="51"/>
      <c r="Q309" s="51"/>
      <c r="R309" s="51"/>
      <c r="S309" s="81"/>
      <c r="T309" s="51"/>
      <c r="U309" s="51"/>
      <c r="V309" s="51">
        <f t="shared" si="39"/>
        <v>0</v>
      </c>
      <c r="W309" s="2"/>
      <c r="Y309" s="74"/>
      <c r="AB309" s="74"/>
      <c r="AD309" s="74"/>
    </row>
    <row r="310" spans="1:39" s="1" customFormat="1" hidden="1" outlineLevel="1" x14ac:dyDescent="0.25">
      <c r="A310" s="2"/>
      <c r="B310" s="51"/>
      <c r="C310" s="51"/>
      <c r="D310" s="51"/>
      <c r="E310" s="51"/>
      <c r="F310" s="51"/>
      <c r="G310" s="51"/>
      <c r="H310" s="80"/>
      <c r="I310" s="51"/>
      <c r="J310" s="51"/>
      <c r="K310" s="51"/>
      <c r="L310" s="51"/>
      <c r="M310" s="51"/>
      <c r="N310" s="81"/>
      <c r="O310" s="51"/>
      <c r="P310" s="51"/>
      <c r="Q310" s="51"/>
      <c r="R310" s="51"/>
      <c r="S310" s="81"/>
      <c r="T310" s="51"/>
      <c r="U310" s="51"/>
      <c r="V310" s="51">
        <f t="shared" si="39"/>
        <v>0</v>
      </c>
      <c r="W310" s="2"/>
      <c r="Y310" s="74"/>
      <c r="AB310" s="74"/>
      <c r="AD310" s="74"/>
    </row>
    <row r="311" spans="1:39" s="1" customFormat="1" hidden="1" outlineLevel="1" x14ac:dyDescent="0.25">
      <c r="A311" s="2"/>
      <c r="B311" s="51"/>
      <c r="C311" s="51"/>
      <c r="D311" s="51"/>
      <c r="E311" s="51"/>
      <c r="F311" s="51"/>
      <c r="G311" s="51"/>
      <c r="H311" s="80"/>
      <c r="I311" s="51"/>
      <c r="J311" s="51"/>
      <c r="K311" s="51"/>
      <c r="L311" s="51"/>
      <c r="M311" s="51"/>
      <c r="N311" s="81"/>
      <c r="O311" s="51"/>
      <c r="P311" s="51"/>
      <c r="Q311" s="51"/>
      <c r="R311" s="51"/>
      <c r="S311" s="81"/>
      <c r="T311" s="51"/>
      <c r="U311" s="51"/>
      <c r="V311" s="51">
        <f t="shared" si="39"/>
        <v>0</v>
      </c>
      <c r="W311" s="2"/>
      <c r="Y311" s="74"/>
      <c r="AB311" s="74"/>
      <c r="AD311" s="74"/>
    </row>
    <row r="312" spans="1:39" s="1" customFormat="1" hidden="1" outlineLevel="1" x14ac:dyDescent="0.25">
      <c r="A312" s="2"/>
      <c r="B312" s="51"/>
      <c r="C312" s="51"/>
      <c r="D312" s="51"/>
      <c r="E312" s="51"/>
      <c r="F312" s="51"/>
      <c r="G312" s="51"/>
      <c r="H312" s="80"/>
      <c r="I312" s="51"/>
      <c r="J312" s="51"/>
      <c r="K312" s="51"/>
      <c r="L312" s="51"/>
      <c r="M312" s="51"/>
      <c r="N312" s="81"/>
      <c r="O312" s="51"/>
      <c r="P312" s="51"/>
      <c r="Q312" s="51"/>
      <c r="R312" s="51"/>
      <c r="S312" s="81"/>
      <c r="T312" s="51"/>
      <c r="U312" s="51"/>
      <c r="V312" s="51">
        <f t="shared" si="39"/>
        <v>0</v>
      </c>
      <c r="W312" s="2"/>
      <c r="Y312" s="74"/>
      <c r="AB312" s="74"/>
      <c r="AD312" s="74"/>
    </row>
    <row r="313" spans="1:39" s="1" customFormat="1" hidden="1" outlineLevel="1" x14ac:dyDescent="0.25">
      <c r="A313" s="2"/>
      <c r="B313" s="51"/>
      <c r="C313" s="51"/>
      <c r="D313" s="51"/>
      <c r="E313" s="51"/>
      <c r="F313" s="51"/>
      <c r="G313" s="51"/>
      <c r="H313" s="80"/>
      <c r="I313" s="51"/>
      <c r="J313" s="51"/>
      <c r="K313" s="51"/>
      <c r="L313" s="51"/>
      <c r="M313" s="51"/>
      <c r="N313" s="81"/>
      <c r="O313" s="51"/>
      <c r="P313" s="51"/>
      <c r="Q313" s="51"/>
      <c r="R313" s="51"/>
      <c r="S313" s="81"/>
      <c r="T313" s="51"/>
      <c r="U313" s="51"/>
      <c r="V313" s="51">
        <f t="shared" si="39"/>
        <v>0</v>
      </c>
      <c r="W313" s="2"/>
      <c r="Y313" s="74"/>
      <c r="AB313" s="74"/>
      <c r="AD313" s="74"/>
    </row>
    <row r="314" spans="1:39" s="1" customFormat="1" hidden="1" outlineLevel="1" x14ac:dyDescent="0.25">
      <c r="A314" s="2"/>
      <c r="B314" s="51"/>
      <c r="C314" s="51"/>
      <c r="D314" s="51"/>
      <c r="E314" s="51"/>
      <c r="F314" s="51"/>
      <c r="G314" s="51"/>
      <c r="H314" s="80"/>
      <c r="I314" s="51"/>
      <c r="J314" s="51"/>
      <c r="K314" s="51"/>
      <c r="L314" s="51"/>
      <c r="M314" s="51"/>
      <c r="N314" s="81"/>
      <c r="O314" s="51"/>
      <c r="P314" s="51"/>
      <c r="Q314" s="51"/>
      <c r="R314" s="51"/>
      <c r="S314" s="81"/>
      <c r="T314" s="51"/>
      <c r="U314" s="51"/>
      <c r="V314" s="51">
        <f t="shared" si="39"/>
        <v>0</v>
      </c>
      <c r="W314" s="2"/>
      <c r="Y314" s="74"/>
      <c r="AB314" s="74"/>
      <c r="AD314" s="74"/>
    </row>
    <row r="315" spans="1:39" s="1" customFormat="1" hidden="1" outlineLevel="1" x14ac:dyDescent="0.25">
      <c r="A315" s="2"/>
      <c r="B315" s="51"/>
      <c r="C315" s="51"/>
      <c r="D315" s="51"/>
      <c r="E315" s="51"/>
      <c r="F315" s="51"/>
      <c r="G315" s="51"/>
      <c r="H315" s="80"/>
      <c r="I315" s="51"/>
      <c r="J315" s="51"/>
      <c r="K315" s="51"/>
      <c r="L315" s="51"/>
      <c r="M315" s="51"/>
      <c r="N315" s="81"/>
      <c r="O315" s="51"/>
      <c r="P315" s="51"/>
      <c r="Q315" s="51"/>
      <c r="R315" s="51"/>
      <c r="S315" s="81"/>
      <c r="T315" s="51"/>
      <c r="U315" s="51"/>
      <c r="V315" s="51">
        <f t="shared" si="39"/>
        <v>0</v>
      </c>
      <c r="W315" s="2"/>
      <c r="Y315" s="74"/>
      <c r="AB315" s="74"/>
      <c r="AD315" s="74"/>
    </row>
    <row r="316" spans="1:39" s="1" customFormat="1" hidden="1" outlineLevel="1" x14ac:dyDescent="0.25">
      <c r="A316" s="2"/>
      <c r="B316" s="51"/>
      <c r="C316" s="51"/>
      <c r="D316" s="51"/>
      <c r="E316" s="51"/>
      <c r="F316" s="51"/>
      <c r="G316" s="51"/>
      <c r="H316" s="80"/>
      <c r="I316" s="51"/>
      <c r="J316" s="51"/>
      <c r="K316" s="51"/>
      <c r="L316" s="51"/>
      <c r="M316" s="51"/>
      <c r="N316" s="81"/>
      <c r="O316" s="51"/>
      <c r="P316" s="51"/>
      <c r="Q316" s="51"/>
      <c r="R316" s="51"/>
      <c r="S316" s="81"/>
      <c r="T316" s="51"/>
      <c r="U316" s="51"/>
      <c r="V316" s="51">
        <f t="shared" si="39"/>
        <v>0</v>
      </c>
      <c r="W316" s="2"/>
      <c r="Y316" s="74"/>
      <c r="AB316" s="74"/>
      <c r="AD316" s="74"/>
    </row>
    <row r="317" spans="1:39" s="1" customFormat="1" hidden="1" outlineLevel="1" x14ac:dyDescent="0.25">
      <c r="A317" s="2"/>
      <c r="B317" s="51"/>
      <c r="C317" s="51"/>
      <c r="D317" s="51"/>
      <c r="E317" s="51"/>
      <c r="F317" s="51"/>
      <c r="G317" s="51"/>
      <c r="H317" s="80"/>
      <c r="I317" s="51"/>
      <c r="J317" s="51"/>
      <c r="K317" s="51"/>
      <c r="L317" s="51"/>
      <c r="M317" s="51"/>
      <c r="N317" s="81"/>
      <c r="O317" s="51"/>
      <c r="P317" s="51"/>
      <c r="Q317" s="51"/>
      <c r="R317" s="51"/>
      <c r="S317" s="81"/>
      <c r="T317" s="51"/>
      <c r="U317" s="51"/>
      <c r="V317" s="51">
        <f t="shared" si="39"/>
        <v>0</v>
      </c>
      <c r="W317" s="2"/>
      <c r="Y317" s="74"/>
      <c r="AB317" s="74"/>
      <c r="AD317" s="74"/>
    </row>
    <row r="318" spans="1:39" ht="15.75" hidden="1" customHeight="1" outlineLevel="1" thickBot="1" x14ac:dyDescent="0.3">
      <c r="A318" s="2"/>
      <c r="B318" s="75"/>
      <c r="C318" s="75"/>
      <c r="D318" s="76"/>
      <c r="E318" s="76"/>
      <c r="F318" s="76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2"/>
      <c r="R318" s="77"/>
      <c r="S318" s="77"/>
      <c r="T318" s="77"/>
      <c r="U318" s="2"/>
      <c r="V318" s="77"/>
      <c r="W318" s="78"/>
      <c r="Y318" s="74"/>
      <c r="Z318" s="6"/>
      <c r="AA318" s="13"/>
      <c r="AB318" s="74"/>
      <c r="AC318" s="6"/>
      <c r="AD318" s="74"/>
      <c r="AE318" s="6"/>
      <c r="AF318" s="6"/>
      <c r="AG318" s="6"/>
      <c r="AH318" s="6"/>
      <c r="AI318" s="6"/>
      <c r="AM318" s="14"/>
    </row>
    <row r="319" spans="1:39" s="1" customFormat="1" ht="12.75" customHeight="1" x14ac:dyDescent="0.25">
      <c r="A319" s="145">
        <v>22</v>
      </c>
      <c r="B319" s="147" t="s">
        <v>205</v>
      </c>
      <c r="C319" s="147" t="s">
        <v>61</v>
      </c>
      <c r="D319" s="156" t="s">
        <v>12</v>
      </c>
      <c r="E319" s="90" t="s">
        <v>15</v>
      </c>
      <c r="F319" s="92">
        <v>0.25</v>
      </c>
      <c r="G319" s="72">
        <f t="shared" ref="G319:U319" si="40">SUM(G321:G330)</f>
        <v>0</v>
      </c>
      <c r="H319" s="72">
        <f t="shared" si="40"/>
        <v>200</v>
      </c>
      <c r="I319" s="72">
        <f t="shared" si="40"/>
        <v>0</v>
      </c>
      <c r="J319" s="72">
        <f t="shared" si="40"/>
        <v>0</v>
      </c>
      <c r="K319" s="72">
        <f t="shared" si="40"/>
        <v>0</v>
      </c>
      <c r="L319" s="72">
        <f t="shared" si="40"/>
        <v>0</v>
      </c>
      <c r="M319" s="72">
        <f t="shared" si="40"/>
        <v>0</v>
      </c>
      <c r="N319" s="72">
        <f t="shared" si="40"/>
        <v>0</v>
      </c>
      <c r="O319" s="72">
        <f t="shared" si="40"/>
        <v>0</v>
      </c>
      <c r="P319" s="72">
        <f t="shared" si="40"/>
        <v>0</v>
      </c>
      <c r="Q319" s="72">
        <f t="shared" si="40"/>
        <v>0</v>
      </c>
      <c r="R319" s="72">
        <f t="shared" si="40"/>
        <v>0</v>
      </c>
      <c r="S319" s="72">
        <f t="shared" si="40"/>
        <v>0</v>
      </c>
      <c r="T319" s="72">
        <f t="shared" si="40"/>
        <v>0</v>
      </c>
      <c r="U319" s="72">
        <f t="shared" si="40"/>
        <v>0</v>
      </c>
      <c r="V319" s="72">
        <f>SUM(V321:V330)</f>
        <v>200</v>
      </c>
      <c r="W319" s="168">
        <f>V319+V320</f>
        <v>200</v>
      </c>
      <c r="Y319" s="74"/>
      <c r="AB319" s="74"/>
      <c r="AD319" s="74"/>
    </row>
    <row r="320" spans="1:39" s="1" customFormat="1" ht="13.8" collapsed="1" thickBot="1" x14ac:dyDescent="0.3">
      <c r="A320" s="146"/>
      <c r="B320" s="148"/>
      <c r="C320" s="148"/>
      <c r="D320" s="157"/>
      <c r="E320" s="91"/>
      <c r="F320" s="93"/>
      <c r="G320" s="73">
        <f>SUM(G332:G349)</f>
        <v>0</v>
      </c>
      <c r="H320" s="79">
        <f>SUM(H332:H349)</f>
        <v>0</v>
      </c>
      <c r="I320" s="79">
        <f>SUM(I332:I349)</f>
        <v>0</v>
      </c>
      <c r="J320" s="73">
        <f t="shared" ref="J320:Q320" si="41">SUM(J332:J349)</f>
        <v>0</v>
      </c>
      <c r="K320" s="73">
        <f t="shared" si="41"/>
        <v>0</v>
      </c>
      <c r="L320" s="73">
        <f t="shared" si="41"/>
        <v>0</v>
      </c>
      <c r="M320" s="73">
        <f t="shared" si="41"/>
        <v>0</v>
      </c>
      <c r="N320" s="73">
        <f t="shared" si="41"/>
        <v>0</v>
      </c>
      <c r="O320" s="73">
        <f t="shared" si="41"/>
        <v>0</v>
      </c>
      <c r="P320" s="73">
        <f t="shared" si="41"/>
        <v>0</v>
      </c>
      <c r="Q320" s="73">
        <f t="shared" si="41"/>
        <v>0</v>
      </c>
      <c r="R320" s="73">
        <f>SUM(R332:R349)</f>
        <v>0</v>
      </c>
      <c r="S320" s="73">
        <f>SUM(S332:S349)</f>
        <v>0</v>
      </c>
      <c r="T320" s="73">
        <f>SUM(T332:T349)</f>
        <v>0</v>
      </c>
      <c r="U320" s="73">
        <f>SUM(U332:U349)</f>
        <v>0</v>
      </c>
      <c r="V320" s="73">
        <f>SUM(V332:V349)</f>
        <v>0</v>
      </c>
      <c r="W320" s="169"/>
      <c r="Y320" s="74"/>
      <c r="Z320" s="74"/>
      <c r="AB320" s="74"/>
      <c r="AD320" s="74"/>
    </row>
    <row r="321" spans="1:30" s="1" customFormat="1" ht="26.4" hidden="1" outlineLevel="1" x14ac:dyDescent="0.25">
      <c r="A321" s="34" t="s">
        <v>223</v>
      </c>
      <c r="B321" s="42" t="s">
        <v>177</v>
      </c>
      <c r="C321" s="34">
        <v>3</v>
      </c>
      <c r="D321" s="34"/>
      <c r="E321" s="34"/>
      <c r="F321" s="34"/>
      <c r="G321" s="34"/>
      <c r="H321" s="34">
        <v>100</v>
      </c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51">
        <f>SUM(G321:U321)</f>
        <v>100</v>
      </c>
      <c r="W321" s="2"/>
      <c r="Y321" s="74"/>
      <c r="AB321" s="74"/>
      <c r="AD321" s="74"/>
    </row>
    <row r="322" spans="1:30" s="1" customFormat="1" hidden="1" outlineLevel="1" x14ac:dyDescent="0.25">
      <c r="A322" t="s">
        <v>223</v>
      </c>
      <c r="B322" t="s">
        <v>184</v>
      </c>
      <c r="C322">
        <v>3</v>
      </c>
      <c r="D322"/>
      <c r="E322"/>
      <c r="F322"/>
      <c r="G322"/>
      <c r="H322">
        <v>100</v>
      </c>
      <c r="I322"/>
      <c r="J322"/>
      <c r="K322"/>
      <c r="L322"/>
      <c r="M322"/>
      <c r="N322"/>
      <c r="O322"/>
      <c r="P322"/>
      <c r="Q322"/>
      <c r="R322"/>
      <c r="S322"/>
      <c r="T322"/>
      <c r="U322"/>
      <c r="V322" s="51">
        <f>SUM(G322:U322)</f>
        <v>100</v>
      </c>
      <c r="W322" s="2"/>
      <c r="Y322" s="74"/>
      <c r="AB322" s="74"/>
      <c r="AD322" s="74"/>
    </row>
    <row r="323" spans="1:30" s="1" customFormat="1" hidden="1" outlineLevel="1" x14ac:dyDescent="0.25">
      <c r="A323" s="2"/>
      <c r="B323" s="51"/>
      <c r="C323" s="51"/>
      <c r="D323" s="51"/>
      <c r="E323" s="51"/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>
        <f t="shared" ref="V323:V330" si="42">SUM(G323:U323)</f>
        <v>0</v>
      </c>
      <c r="W323" s="2"/>
      <c r="Y323" s="74"/>
      <c r="AB323" s="74"/>
      <c r="AD323" s="74"/>
    </row>
    <row r="324" spans="1:30" s="1" customFormat="1" hidden="1" outlineLevel="1" x14ac:dyDescent="0.25">
      <c r="A324" s="2"/>
      <c r="B324" s="51"/>
      <c r="C324" s="51"/>
      <c r="D324" s="51"/>
      <c r="E324" s="51"/>
      <c r="F324" s="51"/>
      <c r="G324" s="51"/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  <c r="S324" s="51"/>
      <c r="T324" s="51"/>
      <c r="U324" s="51"/>
      <c r="V324" s="51">
        <f t="shared" si="42"/>
        <v>0</v>
      </c>
      <c r="W324" s="2"/>
      <c r="Y324" s="74"/>
      <c r="AB324" s="74"/>
      <c r="AD324" s="74"/>
    </row>
    <row r="325" spans="1:30" s="1" customFormat="1" hidden="1" outlineLevel="1" x14ac:dyDescent="0.25">
      <c r="A325" s="2"/>
      <c r="B325" s="51"/>
      <c r="C325" s="51"/>
      <c r="D325" s="51"/>
      <c r="E325" s="51"/>
      <c r="F325" s="51"/>
      <c r="G325" s="51"/>
      <c r="H325" s="51"/>
      <c r="I325" s="51"/>
      <c r="J325" s="51"/>
      <c r="K325" s="51"/>
      <c r="L325" s="51"/>
      <c r="M325" s="51"/>
      <c r="N325" s="51"/>
      <c r="O325" s="51"/>
      <c r="P325" s="51"/>
      <c r="Q325" s="51"/>
      <c r="R325" s="51"/>
      <c r="S325" s="51"/>
      <c r="T325" s="51"/>
      <c r="U325" s="51"/>
      <c r="V325" s="51">
        <f t="shared" si="42"/>
        <v>0</v>
      </c>
      <c r="W325" s="2"/>
      <c r="Y325" s="74"/>
      <c r="AB325" s="74"/>
      <c r="AD325" s="74"/>
    </row>
    <row r="326" spans="1:30" s="1" customFormat="1" hidden="1" outlineLevel="1" x14ac:dyDescent="0.25">
      <c r="A326" s="2"/>
      <c r="B326" s="51"/>
      <c r="C326" s="51"/>
      <c r="D326" s="51"/>
      <c r="E326" s="51"/>
      <c r="F326" s="51"/>
      <c r="G326" s="51"/>
      <c r="H326" s="51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>
        <f t="shared" si="42"/>
        <v>0</v>
      </c>
      <c r="W326" s="2"/>
      <c r="Y326" s="74"/>
      <c r="AB326" s="74"/>
      <c r="AD326" s="74"/>
    </row>
    <row r="327" spans="1:30" s="1" customFormat="1" hidden="1" outlineLevel="1" x14ac:dyDescent="0.25">
      <c r="A327" s="2"/>
      <c r="B327" s="51"/>
      <c r="C327" s="51"/>
      <c r="D327" s="51"/>
      <c r="E327" s="51"/>
      <c r="F327" s="51"/>
      <c r="G327" s="51"/>
      <c r="H327" s="51"/>
      <c r="I327" s="51"/>
      <c r="J327" s="51"/>
      <c r="K327" s="51"/>
      <c r="L327" s="51"/>
      <c r="M327" s="51"/>
      <c r="N327" s="51"/>
      <c r="O327" s="51"/>
      <c r="P327" s="51"/>
      <c r="Q327" s="51"/>
      <c r="R327" s="51"/>
      <c r="S327" s="51"/>
      <c r="T327" s="51"/>
      <c r="U327" s="51"/>
      <c r="V327" s="51">
        <f t="shared" si="42"/>
        <v>0</v>
      </c>
      <c r="W327" s="2"/>
      <c r="Y327" s="74"/>
      <c r="AB327" s="74"/>
      <c r="AD327" s="74"/>
    </row>
    <row r="328" spans="1:30" s="1" customFormat="1" hidden="1" outlineLevel="1" x14ac:dyDescent="0.25">
      <c r="A328" s="2"/>
      <c r="B328" s="51"/>
      <c r="C328" s="51"/>
      <c r="D328" s="51"/>
      <c r="E328" s="51"/>
      <c r="F328" s="51"/>
      <c r="G328" s="51"/>
      <c r="H328" s="51"/>
      <c r="I328" s="51"/>
      <c r="J328" s="51"/>
      <c r="K328" s="51"/>
      <c r="L328" s="51"/>
      <c r="M328" s="51"/>
      <c r="N328" s="51"/>
      <c r="O328" s="51"/>
      <c r="P328" s="51"/>
      <c r="Q328" s="51"/>
      <c r="R328" s="51"/>
      <c r="S328" s="51"/>
      <c r="T328" s="51"/>
      <c r="U328" s="51"/>
      <c r="V328" s="51">
        <f t="shared" si="42"/>
        <v>0</v>
      </c>
      <c r="W328" s="2"/>
      <c r="Y328" s="74"/>
      <c r="AB328" s="74"/>
      <c r="AD328" s="74"/>
    </row>
    <row r="329" spans="1:30" s="1" customFormat="1" hidden="1" outlineLevel="1" x14ac:dyDescent="0.25">
      <c r="A329" s="2"/>
      <c r="B329" s="51"/>
      <c r="C329" s="51"/>
      <c r="D329" s="51"/>
      <c r="E329" s="51"/>
      <c r="F329" s="51"/>
      <c r="G329" s="51"/>
      <c r="H329" s="51"/>
      <c r="I329" s="51"/>
      <c r="J329" s="51"/>
      <c r="K329" s="51"/>
      <c r="L329" s="51"/>
      <c r="M329" s="51"/>
      <c r="N329" s="51"/>
      <c r="O329" s="51"/>
      <c r="P329" s="51"/>
      <c r="Q329" s="51"/>
      <c r="R329" s="51"/>
      <c r="S329" s="51"/>
      <c r="T329" s="51"/>
      <c r="U329" s="51"/>
      <c r="V329" s="51">
        <f t="shared" si="42"/>
        <v>0</v>
      </c>
      <c r="W329" s="2"/>
      <c r="Y329" s="74"/>
      <c r="AB329" s="74"/>
      <c r="AD329" s="74"/>
    </row>
    <row r="330" spans="1:30" s="1" customFormat="1" hidden="1" outlineLevel="1" x14ac:dyDescent="0.25">
      <c r="A330" s="2"/>
      <c r="B330" s="51"/>
      <c r="C330" s="51"/>
      <c r="D330" s="51"/>
      <c r="E330" s="51"/>
      <c r="F330" s="51"/>
      <c r="G330" s="51"/>
      <c r="H330" s="51"/>
      <c r="I330" s="51"/>
      <c r="J330" s="51"/>
      <c r="K330" s="51"/>
      <c r="L330" s="51"/>
      <c r="M330" s="51"/>
      <c r="N330" s="51"/>
      <c r="O330" s="51"/>
      <c r="P330" s="51"/>
      <c r="Q330" s="51"/>
      <c r="R330" s="51"/>
      <c r="S330" s="51"/>
      <c r="T330" s="51"/>
      <c r="U330" s="51"/>
      <c r="V330" s="51">
        <f t="shared" si="42"/>
        <v>0</v>
      </c>
      <c r="W330" s="2"/>
      <c r="Y330" s="74"/>
      <c r="AB330" s="74"/>
      <c r="AD330" s="74"/>
    </row>
    <row r="331" spans="1:30" s="1" customFormat="1" hidden="1" outlineLevel="1" x14ac:dyDescent="0.25">
      <c r="A331" s="2"/>
      <c r="B331" s="185" t="s">
        <v>29</v>
      </c>
      <c r="C331" s="185"/>
      <c r="D331" s="185"/>
      <c r="E331" s="185"/>
      <c r="F331" s="185"/>
      <c r="G331" s="185"/>
      <c r="H331" s="185"/>
      <c r="I331" s="185"/>
      <c r="J331" s="185"/>
      <c r="K331" s="185"/>
      <c r="L331" s="185"/>
      <c r="M331" s="185"/>
      <c r="N331" s="185"/>
      <c r="O331" s="185"/>
      <c r="P331" s="185"/>
      <c r="Q331" s="185"/>
      <c r="R331" s="185"/>
      <c r="S331" s="185"/>
      <c r="T331" s="185"/>
      <c r="U331" s="185"/>
      <c r="V331" s="104"/>
      <c r="W331" s="2"/>
      <c r="Y331" s="74"/>
      <c r="AB331" s="74"/>
      <c r="AD331" s="74"/>
    </row>
    <row r="332" spans="1:30" s="1" customFormat="1" hidden="1" outlineLevel="1" x14ac:dyDescent="0.25">
      <c r="A332" s="2"/>
      <c r="B332" s="82"/>
      <c r="C332" s="51"/>
      <c r="D332" s="51"/>
      <c r="E332" s="51"/>
      <c r="F332" s="51"/>
      <c r="G332" s="20"/>
      <c r="H332" s="21"/>
      <c r="I332" s="21"/>
      <c r="J332" s="102"/>
      <c r="K332" s="51"/>
      <c r="L332" s="32"/>
      <c r="M332" s="22"/>
      <c r="N332" s="51"/>
      <c r="O332" s="81"/>
      <c r="P332" s="22"/>
      <c r="Q332" s="51"/>
      <c r="R332" s="51"/>
      <c r="S332" s="51"/>
      <c r="T332" s="51"/>
      <c r="U332" s="51"/>
      <c r="V332" s="51">
        <f t="shared" ref="V332:V348" si="43">SUM(G332:U332)</f>
        <v>0</v>
      </c>
      <c r="W332" s="2"/>
      <c r="Y332" s="74"/>
      <c r="AB332" s="74"/>
      <c r="AD332" s="74"/>
    </row>
    <row r="333" spans="1:30" s="1" customFormat="1" hidden="1" outlineLevel="1" x14ac:dyDescent="0.25">
      <c r="A333" s="2"/>
      <c r="B333" s="82"/>
      <c r="C333" s="51"/>
      <c r="D333" s="51"/>
      <c r="E333" s="51"/>
      <c r="F333" s="51"/>
      <c r="G333" s="20"/>
      <c r="H333" s="21"/>
      <c r="I333" s="21"/>
      <c r="J333" s="102"/>
      <c r="K333" s="51"/>
      <c r="L333" s="32"/>
      <c r="M333" s="22"/>
      <c r="N333" s="51"/>
      <c r="O333" s="81"/>
      <c r="P333" s="22"/>
      <c r="Q333" s="51"/>
      <c r="R333" s="51"/>
      <c r="S333" s="51"/>
      <c r="T333" s="51"/>
      <c r="U333" s="51"/>
      <c r="V333" s="51">
        <f t="shared" si="43"/>
        <v>0</v>
      </c>
      <c r="W333" s="2"/>
      <c r="Y333" s="74"/>
      <c r="AB333" s="74"/>
      <c r="AD333" s="74"/>
    </row>
    <row r="334" spans="1:30" s="1" customFormat="1" hidden="1" outlineLevel="1" x14ac:dyDescent="0.25">
      <c r="A334" s="2"/>
      <c r="B334" s="82"/>
      <c r="C334" s="51"/>
      <c r="D334" s="51"/>
      <c r="E334" s="51"/>
      <c r="F334" s="51"/>
      <c r="G334" s="20"/>
      <c r="H334" s="21"/>
      <c r="I334" s="21"/>
      <c r="J334" s="102"/>
      <c r="K334" s="51"/>
      <c r="L334" s="32"/>
      <c r="M334" s="22"/>
      <c r="N334" s="51"/>
      <c r="O334" s="81"/>
      <c r="P334" s="22"/>
      <c r="Q334" s="51"/>
      <c r="R334" s="51"/>
      <c r="S334" s="51"/>
      <c r="T334" s="51"/>
      <c r="U334" s="51"/>
      <c r="V334" s="51">
        <f t="shared" si="43"/>
        <v>0</v>
      </c>
      <c r="W334" s="2"/>
      <c r="Y334" s="74"/>
      <c r="AB334" s="74"/>
      <c r="AD334" s="74"/>
    </row>
    <row r="335" spans="1:30" s="1" customFormat="1" hidden="1" outlineLevel="1" x14ac:dyDescent="0.25">
      <c r="A335" s="2"/>
      <c r="B335" s="82"/>
      <c r="C335" s="51"/>
      <c r="D335" s="51"/>
      <c r="E335" s="51"/>
      <c r="F335" s="51"/>
      <c r="G335" s="20"/>
      <c r="H335" s="21"/>
      <c r="I335" s="21"/>
      <c r="J335" s="102"/>
      <c r="K335" s="51"/>
      <c r="L335" s="32"/>
      <c r="M335" s="22"/>
      <c r="N335" s="51"/>
      <c r="O335" s="81"/>
      <c r="P335" s="22"/>
      <c r="Q335" s="51"/>
      <c r="R335" s="51"/>
      <c r="S335" s="51"/>
      <c r="T335" s="51"/>
      <c r="U335" s="51"/>
      <c r="V335" s="51">
        <f t="shared" si="43"/>
        <v>0</v>
      </c>
      <c r="W335" s="2"/>
      <c r="Y335" s="74"/>
      <c r="AB335" s="74"/>
      <c r="AD335" s="74"/>
    </row>
    <row r="336" spans="1:30" s="1" customFormat="1" hidden="1" outlineLevel="1" x14ac:dyDescent="0.25">
      <c r="A336" s="2"/>
      <c r="B336" s="51"/>
      <c r="C336" s="51"/>
      <c r="D336" s="51"/>
      <c r="E336" s="51"/>
      <c r="F336" s="51"/>
      <c r="G336" s="51"/>
      <c r="H336" s="80"/>
      <c r="I336" s="51"/>
      <c r="J336" s="51"/>
      <c r="K336" s="51"/>
      <c r="L336" s="51"/>
      <c r="M336" s="51"/>
      <c r="N336" s="81"/>
      <c r="O336" s="51"/>
      <c r="P336" s="51"/>
      <c r="Q336" s="51"/>
      <c r="R336" s="51"/>
      <c r="S336" s="51"/>
      <c r="T336" s="51"/>
      <c r="U336" s="51"/>
      <c r="V336" s="51">
        <f t="shared" si="43"/>
        <v>0</v>
      </c>
      <c r="W336" s="2"/>
      <c r="Y336" s="74"/>
      <c r="AB336" s="74"/>
      <c r="AD336" s="74"/>
    </row>
    <row r="337" spans="1:39" s="1" customFormat="1" hidden="1" outlineLevel="1" x14ac:dyDescent="0.25">
      <c r="A337" s="2"/>
      <c r="B337" s="51"/>
      <c r="C337" s="51"/>
      <c r="D337" s="51"/>
      <c r="E337" s="51"/>
      <c r="F337" s="51"/>
      <c r="G337" s="51"/>
      <c r="H337" s="80"/>
      <c r="I337" s="51"/>
      <c r="J337" s="51"/>
      <c r="K337" s="51"/>
      <c r="L337" s="51"/>
      <c r="M337" s="51"/>
      <c r="N337" s="81"/>
      <c r="O337" s="51"/>
      <c r="P337" s="51"/>
      <c r="Q337" s="51"/>
      <c r="R337" s="51"/>
      <c r="S337" s="51"/>
      <c r="T337" s="51"/>
      <c r="U337" s="51"/>
      <c r="V337" s="51">
        <f t="shared" si="43"/>
        <v>0</v>
      </c>
      <c r="W337" s="2"/>
      <c r="Y337" s="74"/>
      <c r="AB337" s="74"/>
      <c r="AD337" s="74"/>
    </row>
    <row r="338" spans="1:39" s="1" customFormat="1" hidden="1" outlineLevel="1" x14ac:dyDescent="0.25">
      <c r="A338" s="2"/>
      <c r="B338" s="51"/>
      <c r="C338" s="51"/>
      <c r="D338" s="51"/>
      <c r="E338" s="51"/>
      <c r="F338" s="51"/>
      <c r="G338" s="51"/>
      <c r="H338" s="80"/>
      <c r="I338" s="51"/>
      <c r="J338" s="51"/>
      <c r="K338" s="51"/>
      <c r="L338" s="51"/>
      <c r="M338" s="51"/>
      <c r="N338" s="81"/>
      <c r="O338" s="51"/>
      <c r="P338" s="51"/>
      <c r="Q338" s="51"/>
      <c r="R338" s="51"/>
      <c r="S338" s="81"/>
      <c r="T338" s="51"/>
      <c r="U338" s="51"/>
      <c r="V338" s="51">
        <f t="shared" si="43"/>
        <v>0</v>
      </c>
      <c r="W338" s="2"/>
      <c r="Y338" s="74"/>
      <c r="AB338" s="74"/>
      <c r="AD338" s="74"/>
    </row>
    <row r="339" spans="1:39" s="1" customFormat="1" hidden="1" outlineLevel="1" x14ac:dyDescent="0.25">
      <c r="A339" s="2"/>
      <c r="B339" s="51"/>
      <c r="C339" s="51"/>
      <c r="D339" s="51"/>
      <c r="E339" s="51"/>
      <c r="F339" s="51"/>
      <c r="G339" s="51"/>
      <c r="H339" s="80"/>
      <c r="I339" s="51"/>
      <c r="J339" s="51"/>
      <c r="K339" s="51"/>
      <c r="L339" s="51"/>
      <c r="M339" s="51"/>
      <c r="N339" s="81"/>
      <c r="O339" s="51"/>
      <c r="P339" s="51"/>
      <c r="Q339" s="51"/>
      <c r="R339" s="51"/>
      <c r="S339" s="81"/>
      <c r="T339" s="51"/>
      <c r="U339" s="51"/>
      <c r="V339" s="51">
        <f t="shared" si="43"/>
        <v>0</v>
      </c>
      <c r="W339" s="2"/>
      <c r="Y339" s="74"/>
      <c r="AB339" s="74"/>
      <c r="AD339" s="74"/>
    </row>
    <row r="340" spans="1:39" s="1" customFormat="1" hidden="1" outlineLevel="1" x14ac:dyDescent="0.25">
      <c r="A340" s="2"/>
      <c r="B340" s="51"/>
      <c r="C340" s="51"/>
      <c r="D340" s="51"/>
      <c r="E340" s="51"/>
      <c r="F340" s="51"/>
      <c r="G340" s="51"/>
      <c r="H340" s="80"/>
      <c r="I340" s="51"/>
      <c r="J340" s="51"/>
      <c r="K340" s="51"/>
      <c r="L340" s="51"/>
      <c r="M340" s="51"/>
      <c r="N340" s="81"/>
      <c r="O340" s="51"/>
      <c r="P340" s="51"/>
      <c r="Q340" s="51"/>
      <c r="R340" s="51"/>
      <c r="S340" s="81"/>
      <c r="T340" s="51"/>
      <c r="U340" s="51"/>
      <c r="V340" s="51">
        <f t="shared" si="43"/>
        <v>0</v>
      </c>
      <c r="W340" s="2"/>
      <c r="Y340" s="74"/>
      <c r="AB340" s="74"/>
      <c r="AD340" s="74"/>
    </row>
    <row r="341" spans="1:39" s="1" customFormat="1" hidden="1" outlineLevel="1" x14ac:dyDescent="0.25">
      <c r="A341" s="2"/>
      <c r="B341" s="51"/>
      <c r="C341" s="51"/>
      <c r="D341" s="51"/>
      <c r="E341" s="51"/>
      <c r="F341" s="51"/>
      <c r="G341" s="51"/>
      <c r="H341" s="80"/>
      <c r="I341" s="51"/>
      <c r="J341" s="51"/>
      <c r="K341" s="51"/>
      <c r="L341" s="51"/>
      <c r="M341" s="51"/>
      <c r="N341" s="81"/>
      <c r="O341" s="51"/>
      <c r="P341" s="51"/>
      <c r="Q341" s="51"/>
      <c r="R341" s="51"/>
      <c r="S341" s="81"/>
      <c r="T341" s="51"/>
      <c r="U341" s="51"/>
      <c r="V341" s="51">
        <f t="shared" si="43"/>
        <v>0</v>
      </c>
      <c r="W341" s="2"/>
      <c r="Y341" s="74"/>
      <c r="AB341" s="74"/>
      <c r="AD341" s="74"/>
    </row>
    <row r="342" spans="1:39" s="1" customFormat="1" hidden="1" outlineLevel="1" x14ac:dyDescent="0.25">
      <c r="A342" s="2"/>
      <c r="B342" s="51"/>
      <c r="C342" s="51"/>
      <c r="D342" s="51"/>
      <c r="E342" s="51"/>
      <c r="F342" s="51"/>
      <c r="G342" s="51"/>
      <c r="H342" s="80"/>
      <c r="I342" s="51"/>
      <c r="J342" s="51"/>
      <c r="K342" s="51"/>
      <c r="L342" s="51"/>
      <c r="M342" s="51"/>
      <c r="N342" s="81"/>
      <c r="O342" s="51"/>
      <c r="P342" s="51"/>
      <c r="Q342" s="51"/>
      <c r="R342" s="51"/>
      <c r="S342" s="81"/>
      <c r="T342" s="51"/>
      <c r="U342" s="51"/>
      <c r="V342" s="51">
        <f t="shared" si="43"/>
        <v>0</v>
      </c>
      <c r="W342" s="2"/>
      <c r="Y342" s="74"/>
      <c r="AB342" s="74"/>
      <c r="AD342" s="74"/>
    </row>
    <row r="343" spans="1:39" s="1" customFormat="1" hidden="1" outlineLevel="1" x14ac:dyDescent="0.25">
      <c r="A343" s="2"/>
      <c r="B343" s="51"/>
      <c r="C343" s="51"/>
      <c r="D343" s="51"/>
      <c r="E343" s="51"/>
      <c r="F343" s="51"/>
      <c r="G343" s="51"/>
      <c r="H343" s="80"/>
      <c r="I343" s="51"/>
      <c r="J343" s="51"/>
      <c r="K343" s="51"/>
      <c r="L343" s="51"/>
      <c r="M343" s="51"/>
      <c r="N343" s="81"/>
      <c r="O343" s="51"/>
      <c r="P343" s="51"/>
      <c r="Q343" s="51"/>
      <c r="R343" s="51"/>
      <c r="S343" s="81"/>
      <c r="T343" s="51"/>
      <c r="U343" s="51"/>
      <c r="V343" s="51">
        <f t="shared" si="43"/>
        <v>0</v>
      </c>
      <c r="W343" s="2"/>
      <c r="Y343" s="74"/>
      <c r="AB343" s="74"/>
      <c r="AD343" s="74"/>
    </row>
    <row r="344" spans="1:39" s="1" customFormat="1" hidden="1" outlineLevel="1" x14ac:dyDescent="0.25">
      <c r="A344" s="2"/>
      <c r="B344" s="51"/>
      <c r="C344" s="51"/>
      <c r="D344" s="51"/>
      <c r="E344" s="51"/>
      <c r="F344" s="51"/>
      <c r="G344" s="51"/>
      <c r="H344" s="80"/>
      <c r="I344" s="51"/>
      <c r="J344" s="51"/>
      <c r="K344" s="51"/>
      <c r="L344" s="51"/>
      <c r="M344" s="51"/>
      <c r="N344" s="81"/>
      <c r="O344" s="51"/>
      <c r="P344" s="51"/>
      <c r="Q344" s="51"/>
      <c r="R344" s="51"/>
      <c r="S344" s="81"/>
      <c r="T344" s="51"/>
      <c r="U344" s="51"/>
      <c r="V344" s="51">
        <f t="shared" si="43"/>
        <v>0</v>
      </c>
      <c r="W344" s="2"/>
      <c r="Y344" s="74"/>
      <c r="AB344" s="74"/>
      <c r="AD344" s="74"/>
    </row>
    <row r="345" spans="1:39" s="1" customFormat="1" hidden="1" outlineLevel="1" x14ac:dyDescent="0.25">
      <c r="A345" s="2"/>
      <c r="B345" s="51"/>
      <c r="C345" s="51"/>
      <c r="D345" s="51"/>
      <c r="E345" s="51"/>
      <c r="F345" s="51"/>
      <c r="G345" s="51"/>
      <c r="H345" s="80"/>
      <c r="I345" s="51"/>
      <c r="J345" s="51"/>
      <c r="K345" s="51"/>
      <c r="L345" s="51"/>
      <c r="M345" s="51"/>
      <c r="N345" s="81"/>
      <c r="O345" s="51"/>
      <c r="P345" s="51"/>
      <c r="Q345" s="51"/>
      <c r="R345" s="51"/>
      <c r="S345" s="81"/>
      <c r="T345" s="51"/>
      <c r="U345" s="51"/>
      <c r="V345" s="51">
        <f t="shared" si="43"/>
        <v>0</v>
      </c>
      <c r="W345" s="2"/>
      <c r="Y345" s="74"/>
      <c r="AB345" s="74"/>
      <c r="AD345" s="74"/>
    </row>
    <row r="346" spans="1:39" s="1" customFormat="1" hidden="1" outlineLevel="1" x14ac:dyDescent="0.25">
      <c r="A346" s="2"/>
      <c r="B346" s="51"/>
      <c r="C346" s="51"/>
      <c r="D346" s="51"/>
      <c r="E346" s="51"/>
      <c r="F346" s="51"/>
      <c r="G346" s="51"/>
      <c r="H346" s="80"/>
      <c r="I346" s="51"/>
      <c r="J346" s="51"/>
      <c r="K346" s="51"/>
      <c r="L346" s="51"/>
      <c r="M346" s="51"/>
      <c r="N346" s="81"/>
      <c r="O346" s="51"/>
      <c r="P346" s="51"/>
      <c r="Q346" s="51"/>
      <c r="R346" s="51"/>
      <c r="S346" s="81"/>
      <c r="T346" s="51"/>
      <c r="U346" s="51"/>
      <c r="V346" s="51">
        <f t="shared" si="43"/>
        <v>0</v>
      </c>
      <c r="W346" s="2"/>
      <c r="Y346" s="74"/>
      <c r="AB346" s="74"/>
      <c r="AD346" s="74"/>
    </row>
    <row r="347" spans="1:39" s="1" customFormat="1" hidden="1" outlineLevel="1" x14ac:dyDescent="0.25">
      <c r="A347" s="2"/>
      <c r="B347" s="51"/>
      <c r="C347" s="51"/>
      <c r="D347" s="51"/>
      <c r="E347" s="51"/>
      <c r="F347" s="51"/>
      <c r="G347" s="51"/>
      <c r="H347" s="80"/>
      <c r="I347" s="51"/>
      <c r="J347" s="51"/>
      <c r="K347" s="51"/>
      <c r="L347" s="51"/>
      <c r="M347" s="51"/>
      <c r="N347" s="81"/>
      <c r="O347" s="51"/>
      <c r="P347" s="51"/>
      <c r="Q347" s="51"/>
      <c r="R347" s="51"/>
      <c r="S347" s="81"/>
      <c r="T347" s="51"/>
      <c r="U347" s="51"/>
      <c r="V347" s="51">
        <f t="shared" si="43"/>
        <v>0</v>
      </c>
      <c r="W347" s="2"/>
      <c r="Y347" s="74"/>
      <c r="AB347" s="74"/>
      <c r="AD347" s="74"/>
    </row>
    <row r="348" spans="1:39" s="1" customFormat="1" hidden="1" outlineLevel="1" x14ac:dyDescent="0.25">
      <c r="A348" s="2"/>
      <c r="B348" s="51"/>
      <c r="C348" s="51"/>
      <c r="D348" s="51"/>
      <c r="E348" s="51"/>
      <c r="F348" s="51"/>
      <c r="G348" s="51"/>
      <c r="H348" s="80"/>
      <c r="I348" s="51"/>
      <c r="J348" s="51"/>
      <c r="K348" s="51"/>
      <c r="L348" s="51"/>
      <c r="M348" s="51"/>
      <c r="N348" s="81"/>
      <c r="O348" s="51"/>
      <c r="P348" s="51"/>
      <c r="Q348" s="51"/>
      <c r="R348" s="51"/>
      <c r="S348" s="81"/>
      <c r="T348" s="51"/>
      <c r="U348" s="51"/>
      <c r="V348" s="51">
        <f t="shared" si="43"/>
        <v>0</v>
      </c>
      <c r="W348" s="2"/>
      <c r="Y348" s="74"/>
      <c r="AB348" s="74"/>
      <c r="AD348" s="74"/>
    </row>
    <row r="349" spans="1:39" ht="15.75" hidden="1" customHeight="1" outlineLevel="1" thickBot="1" x14ac:dyDescent="0.3">
      <c r="A349" s="2"/>
      <c r="B349" s="75"/>
      <c r="C349" s="75"/>
      <c r="D349" s="76"/>
      <c r="E349" s="76"/>
      <c r="F349" s="76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2"/>
      <c r="R349" s="77"/>
      <c r="S349" s="77"/>
      <c r="T349" s="77"/>
      <c r="U349" s="2"/>
      <c r="V349" s="77"/>
      <c r="W349" s="78"/>
      <c r="Y349" s="74"/>
      <c r="Z349" s="6"/>
      <c r="AA349" s="13"/>
      <c r="AB349" s="74"/>
      <c r="AC349" s="6"/>
      <c r="AD349" s="74"/>
      <c r="AE349" s="6"/>
      <c r="AF349" s="6"/>
      <c r="AG349" s="6"/>
      <c r="AH349" s="6"/>
      <c r="AI349" s="6"/>
      <c r="AM349" s="14"/>
    </row>
    <row r="350" spans="1:39" s="1" customFormat="1" ht="12.75" customHeight="1" x14ac:dyDescent="0.25">
      <c r="A350" s="145">
        <v>26</v>
      </c>
      <c r="B350" s="147" t="s">
        <v>216</v>
      </c>
      <c r="C350" s="147" t="s">
        <v>32</v>
      </c>
      <c r="D350" s="156" t="s">
        <v>12</v>
      </c>
      <c r="E350" s="90" t="s">
        <v>15</v>
      </c>
      <c r="F350" s="92"/>
      <c r="G350" s="72">
        <f t="shared" ref="G350:U350" si="44">SUM(G352:G361)</f>
        <v>0</v>
      </c>
      <c r="H350" s="72">
        <f t="shared" si="44"/>
        <v>0</v>
      </c>
      <c r="I350" s="72">
        <f t="shared" si="44"/>
        <v>0</v>
      </c>
      <c r="J350" s="72">
        <f t="shared" si="44"/>
        <v>0</v>
      </c>
      <c r="K350" s="72">
        <f t="shared" si="44"/>
        <v>0</v>
      </c>
      <c r="L350" s="72">
        <f t="shared" si="44"/>
        <v>0</v>
      </c>
      <c r="M350" s="72">
        <f t="shared" si="44"/>
        <v>0</v>
      </c>
      <c r="N350" s="72">
        <f t="shared" si="44"/>
        <v>0</v>
      </c>
      <c r="O350" s="72">
        <f t="shared" si="44"/>
        <v>0</v>
      </c>
      <c r="P350" s="72">
        <f t="shared" si="44"/>
        <v>0</v>
      </c>
      <c r="Q350" s="72">
        <f t="shared" si="44"/>
        <v>0</v>
      </c>
      <c r="R350" s="72">
        <f t="shared" si="44"/>
        <v>0</v>
      </c>
      <c r="S350" s="72">
        <f t="shared" si="44"/>
        <v>0</v>
      </c>
      <c r="T350" s="72">
        <f t="shared" si="44"/>
        <v>0</v>
      </c>
      <c r="U350" s="72">
        <f t="shared" si="44"/>
        <v>0</v>
      </c>
      <c r="V350" s="72">
        <f>SUM(V352:V361)</f>
        <v>0</v>
      </c>
      <c r="W350" s="168">
        <f>V350+V351</f>
        <v>0</v>
      </c>
      <c r="Y350" s="74"/>
      <c r="AB350" s="74"/>
      <c r="AD350" s="74"/>
    </row>
    <row r="351" spans="1:39" s="1" customFormat="1" ht="13.8" collapsed="1" thickBot="1" x14ac:dyDescent="0.3">
      <c r="A351" s="146"/>
      <c r="B351" s="148"/>
      <c r="C351" s="148"/>
      <c r="D351" s="157"/>
      <c r="E351" s="91"/>
      <c r="F351" s="93"/>
      <c r="G351" s="73">
        <f>SUM(G363:G380)</f>
        <v>0</v>
      </c>
      <c r="H351" s="79">
        <f>SUM(H363:H380)</f>
        <v>0</v>
      </c>
      <c r="I351" s="79">
        <f>SUM(I363:I380)</f>
        <v>0</v>
      </c>
      <c r="J351" s="73">
        <f t="shared" ref="J351:Q351" si="45">SUM(J363:J380)</f>
        <v>0</v>
      </c>
      <c r="K351" s="73">
        <f t="shared" si="45"/>
        <v>0</v>
      </c>
      <c r="L351" s="73">
        <f t="shared" si="45"/>
        <v>0</v>
      </c>
      <c r="M351" s="73">
        <f t="shared" si="45"/>
        <v>0</v>
      </c>
      <c r="N351" s="73">
        <f t="shared" si="45"/>
        <v>0</v>
      </c>
      <c r="O351" s="73">
        <f t="shared" si="45"/>
        <v>0</v>
      </c>
      <c r="P351" s="73">
        <f t="shared" si="45"/>
        <v>0</v>
      </c>
      <c r="Q351" s="73">
        <f t="shared" si="45"/>
        <v>0</v>
      </c>
      <c r="R351" s="73">
        <f>SUM(R363:R380)</f>
        <v>0</v>
      </c>
      <c r="S351" s="73">
        <f>SUM(S363:S380)</f>
        <v>0</v>
      </c>
      <c r="T351" s="73">
        <f>SUM(T363:T380)</f>
        <v>0</v>
      </c>
      <c r="U351" s="73">
        <f>SUM(U363:U380)</f>
        <v>0</v>
      </c>
      <c r="V351" s="73">
        <f>SUM(V363:V380)</f>
        <v>0</v>
      </c>
      <c r="W351" s="169"/>
      <c r="Y351" s="74"/>
      <c r="Z351" s="74"/>
      <c r="AB351" s="74"/>
      <c r="AD351" s="74"/>
    </row>
    <row r="352" spans="1:39" s="1" customFormat="1" hidden="1" outlineLevel="1" x14ac:dyDescent="0.25">
      <c r="A352" s="34"/>
      <c r="B352" s="42"/>
      <c r="C352" s="34"/>
      <c r="D352" s="34"/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51">
        <f>SUM(G352:U352)</f>
        <v>0</v>
      </c>
      <c r="W352" s="2"/>
      <c r="Y352" s="74"/>
      <c r="AB352" s="74"/>
      <c r="AD352" s="74"/>
    </row>
    <row r="353" spans="1:30" s="1" customFormat="1" hidden="1" outlineLevel="1" x14ac:dyDescent="0.25">
      <c r="A353" s="34"/>
      <c r="B353" s="42"/>
      <c r="C353" s="34"/>
      <c r="D353" s="34"/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51">
        <f>SUM(G353:U353)</f>
        <v>0</v>
      </c>
      <c r="W353" s="2"/>
      <c r="Y353" s="74"/>
      <c r="AB353" s="74"/>
      <c r="AD353" s="74"/>
    </row>
    <row r="354" spans="1:30" s="1" customFormat="1" hidden="1" outlineLevel="1" x14ac:dyDescent="0.25">
      <c r="A354" s="2"/>
      <c r="B354" s="51"/>
      <c r="C354" s="51"/>
      <c r="D354" s="51"/>
      <c r="E354" s="51"/>
      <c r="F354" s="51"/>
      <c r="G354" s="51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  <c r="S354" s="51"/>
      <c r="T354" s="51"/>
      <c r="U354" s="51"/>
      <c r="V354" s="51">
        <f t="shared" ref="V354:V361" si="46">SUM(G354:U354)</f>
        <v>0</v>
      </c>
      <c r="W354" s="2"/>
      <c r="Y354" s="74"/>
      <c r="AB354" s="74"/>
      <c r="AD354" s="74"/>
    </row>
    <row r="355" spans="1:30" s="1" customFormat="1" hidden="1" outlineLevel="1" x14ac:dyDescent="0.25">
      <c r="A355" s="2"/>
      <c r="B355" s="51"/>
      <c r="C355" s="51"/>
      <c r="D355" s="51"/>
      <c r="E355" s="51"/>
      <c r="F355" s="51"/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  <c r="S355" s="51"/>
      <c r="T355" s="51"/>
      <c r="U355" s="51"/>
      <c r="V355" s="51">
        <f t="shared" si="46"/>
        <v>0</v>
      </c>
      <c r="W355" s="2"/>
      <c r="Y355" s="74"/>
      <c r="AB355" s="74"/>
      <c r="AD355" s="74"/>
    </row>
    <row r="356" spans="1:30" s="1" customFormat="1" hidden="1" outlineLevel="1" x14ac:dyDescent="0.25">
      <c r="A356" s="2"/>
      <c r="B356" s="51"/>
      <c r="C356" s="51"/>
      <c r="D356" s="51"/>
      <c r="E356" s="51"/>
      <c r="F356" s="51"/>
      <c r="G356" s="51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  <c r="S356" s="51"/>
      <c r="T356" s="51"/>
      <c r="U356" s="51"/>
      <c r="V356" s="51">
        <f t="shared" si="46"/>
        <v>0</v>
      </c>
      <c r="W356" s="2"/>
      <c r="Y356" s="74"/>
      <c r="AB356" s="74"/>
      <c r="AD356" s="74"/>
    </row>
    <row r="357" spans="1:30" s="1" customFormat="1" hidden="1" outlineLevel="1" x14ac:dyDescent="0.25">
      <c r="A357" s="2"/>
      <c r="B357" s="51"/>
      <c r="C357" s="51"/>
      <c r="D357" s="51"/>
      <c r="E357" s="51"/>
      <c r="F357" s="51"/>
      <c r="G357" s="51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>
        <f t="shared" si="46"/>
        <v>0</v>
      </c>
      <c r="W357" s="2"/>
      <c r="Y357" s="74"/>
      <c r="AB357" s="74"/>
      <c r="AD357" s="74"/>
    </row>
    <row r="358" spans="1:30" s="1" customFormat="1" hidden="1" outlineLevel="1" x14ac:dyDescent="0.25">
      <c r="A358" s="2"/>
      <c r="B358" s="51"/>
      <c r="C358" s="51"/>
      <c r="D358" s="51"/>
      <c r="E358" s="51"/>
      <c r="F358" s="51"/>
      <c r="G358" s="51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  <c r="S358" s="51"/>
      <c r="T358" s="51"/>
      <c r="U358" s="51"/>
      <c r="V358" s="51">
        <f t="shared" si="46"/>
        <v>0</v>
      </c>
      <c r="W358" s="2"/>
      <c r="Y358" s="74"/>
      <c r="AB358" s="74"/>
      <c r="AD358" s="74"/>
    </row>
    <row r="359" spans="1:30" s="1" customFormat="1" hidden="1" outlineLevel="1" x14ac:dyDescent="0.25">
      <c r="A359" s="2"/>
      <c r="B359" s="51"/>
      <c r="C359" s="51"/>
      <c r="D359" s="51"/>
      <c r="E359" s="51"/>
      <c r="F359" s="51"/>
      <c r="G359" s="51"/>
      <c r="H359" s="51"/>
      <c r="I359" s="51"/>
      <c r="J359" s="51"/>
      <c r="K359" s="51"/>
      <c r="L359" s="51"/>
      <c r="M359" s="51"/>
      <c r="N359" s="51"/>
      <c r="O359" s="51"/>
      <c r="P359" s="51"/>
      <c r="Q359" s="51"/>
      <c r="R359" s="51"/>
      <c r="S359" s="51"/>
      <c r="T359" s="51"/>
      <c r="U359" s="51"/>
      <c r="V359" s="51">
        <f t="shared" si="46"/>
        <v>0</v>
      </c>
      <c r="W359" s="2"/>
      <c r="Y359" s="74"/>
      <c r="AB359" s="74"/>
      <c r="AD359" s="74"/>
    </row>
    <row r="360" spans="1:30" s="1" customFormat="1" hidden="1" outlineLevel="1" x14ac:dyDescent="0.25">
      <c r="A360" s="2"/>
      <c r="B360" s="51"/>
      <c r="C360" s="51"/>
      <c r="D360" s="51"/>
      <c r="E360" s="51"/>
      <c r="F360" s="51"/>
      <c r="G360" s="51"/>
      <c r="H360" s="51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>
        <f t="shared" si="46"/>
        <v>0</v>
      </c>
      <c r="W360" s="2"/>
      <c r="Y360" s="74"/>
      <c r="AB360" s="74"/>
      <c r="AD360" s="74"/>
    </row>
    <row r="361" spans="1:30" s="1" customFormat="1" hidden="1" outlineLevel="1" x14ac:dyDescent="0.25">
      <c r="A361" s="2"/>
      <c r="B361" s="51"/>
      <c r="C361" s="51"/>
      <c r="D361" s="51"/>
      <c r="E361" s="51"/>
      <c r="F361" s="51"/>
      <c r="G361" s="51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  <c r="S361" s="51"/>
      <c r="T361" s="51"/>
      <c r="U361" s="51"/>
      <c r="V361" s="51">
        <f t="shared" si="46"/>
        <v>0</v>
      </c>
      <c r="W361" s="2"/>
      <c r="Y361" s="74"/>
      <c r="AB361" s="74"/>
      <c r="AD361" s="74"/>
    </row>
    <row r="362" spans="1:30" s="1" customFormat="1" hidden="1" outlineLevel="1" x14ac:dyDescent="0.25">
      <c r="A362" s="2"/>
      <c r="B362" s="185" t="s">
        <v>29</v>
      </c>
      <c r="C362" s="185"/>
      <c r="D362" s="185"/>
      <c r="E362" s="185"/>
      <c r="F362" s="185"/>
      <c r="G362" s="185"/>
      <c r="H362" s="185"/>
      <c r="I362" s="185"/>
      <c r="J362" s="185"/>
      <c r="K362" s="185"/>
      <c r="L362" s="185"/>
      <c r="M362" s="185"/>
      <c r="N362" s="185"/>
      <c r="O362" s="185"/>
      <c r="P362" s="185"/>
      <c r="Q362" s="185"/>
      <c r="R362" s="185"/>
      <c r="S362" s="185"/>
      <c r="T362" s="185"/>
      <c r="U362" s="185"/>
      <c r="V362" s="104"/>
      <c r="W362" s="2"/>
      <c r="Y362" s="74"/>
      <c r="AB362" s="74"/>
      <c r="AD362" s="74"/>
    </row>
    <row r="363" spans="1:30" s="1" customFormat="1" hidden="1" outlineLevel="1" x14ac:dyDescent="0.25">
      <c r="A363" s="2"/>
      <c r="B363" s="82"/>
      <c r="C363" s="51"/>
      <c r="D363" s="51"/>
      <c r="E363" s="51"/>
      <c r="F363" s="51"/>
      <c r="G363" s="20"/>
      <c r="H363" s="21"/>
      <c r="I363" s="21"/>
      <c r="J363" s="102"/>
      <c r="K363" s="51"/>
      <c r="L363" s="32"/>
      <c r="M363" s="22"/>
      <c r="N363" s="51"/>
      <c r="O363" s="81"/>
      <c r="P363" s="22"/>
      <c r="Q363" s="51"/>
      <c r="R363" s="51"/>
      <c r="S363" s="51"/>
      <c r="T363" s="51"/>
      <c r="U363" s="51"/>
      <c r="V363" s="51">
        <f t="shared" ref="V363:V379" si="47">SUM(G363:U363)</f>
        <v>0</v>
      </c>
      <c r="W363" s="2"/>
      <c r="Y363" s="74"/>
      <c r="AB363" s="74"/>
      <c r="AD363" s="74"/>
    </row>
    <row r="364" spans="1:30" s="1" customFormat="1" hidden="1" outlineLevel="1" x14ac:dyDescent="0.25">
      <c r="A364" s="2"/>
      <c r="B364" s="82"/>
      <c r="C364" s="51"/>
      <c r="D364" s="51"/>
      <c r="E364" s="51"/>
      <c r="F364" s="51"/>
      <c r="G364" s="20"/>
      <c r="H364" s="21"/>
      <c r="I364" s="21"/>
      <c r="J364" s="102"/>
      <c r="K364" s="51"/>
      <c r="L364" s="32"/>
      <c r="M364" s="22"/>
      <c r="N364" s="51"/>
      <c r="O364" s="81"/>
      <c r="P364" s="22"/>
      <c r="Q364" s="51"/>
      <c r="R364" s="51"/>
      <c r="S364" s="51"/>
      <c r="T364" s="51"/>
      <c r="U364" s="51"/>
      <c r="V364" s="51">
        <f t="shared" si="47"/>
        <v>0</v>
      </c>
      <c r="W364" s="2"/>
      <c r="Y364" s="74"/>
      <c r="AB364" s="74"/>
      <c r="AD364" s="74"/>
    </row>
    <row r="365" spans="1:30" s="1" customFormat="1" hidden="1" outlineLevel="1" x14ac:dyDescent="0.25">
      <c r="A365" s="2"/>
      <c r="B365" s="82"/>
      <c r="C365" s="51"/>
      <c r="D365" s="51"/>
      <c r="E365" s="51"/>
      <c r="F365" s="51"/>
      <c r="G365" s="20"/>
      <c r="H365" s="21"/>
      <c r="I365" s="21"/>
      <c r="J365" s="102"/>
      <c r="K365" s="51"/>
      <c r="L365" s="32"/>
      <c r="M365" s="22"/>
      <c r="N365" s="51"/>
      <c r="O365" s="81"/>
      <c r="P365" s="22"/>
      <c r="Q365" s="51"/>
      <c r="R365" s="51"/>
      <c r="S365" s="51"/>
      <c r="T365" s="51"/>
      <c r="U365" s="51"/>
      <c r="V365" s="51">
        <f t="shared" si="47"/>
        <v>0</v>
      </c>
      <c r="W365" s="2"/>
      <c r="Y365" s="74"/>
      <c r="AB365" s="74"/>
      <c r="AD365" s="74"/>
    </row>
    <row r="366" spans="1:30" s="1" customFormat="1" hidden="1" outlineLevel="1" x14ac:dyDescent="0.25">
      <c r="A366" s="2"/>
      <c r="B366" s="82"/>
      <c r="C366" s="51"/>
      <c r="D366" s="51"/>
      <c r="E366" s="51"/>
      <c r="F366" s="51"/>
      <c r="G366" s="20"/>
      <c r="H366" s="21"/>
      <c r="I366" s="21"/>
      <c r="J366" s="102"/>
      <c r="K366" s="51"/>
      <c r="L366" s="32"/>
      <c r="M366" s="22"/>
      <c r="N366" s="51"/>
      <c r="O366" s="81"/>
      <c r="P366" s="22"/>
      <c r="Q366" s="51"/>
      <c r="R366" s="51"/>
      <c r="S366" s="51"/>
      <c r="T366" s="51"/>
      <c r="U366" s="51"/>
      <c r="V366" s="51">
        <f t="shared" si="47"/>
        <v>0</v>
      </c>
      <c r="W366" s="2"/>
      <c r="Y366" s="74"/>
      <c r="AB366" s="74"/>
      <c r="AD366" s="74"/>
    </row>
    <row r="367" spans="1:30" s="1" customFormat="1" hidden="1" outlineLevel="1" x14ac:dyDescent="0.25">
      <c r="A367" s="2"/>
      <c r="B367" s="51"/>
      <c r="C367" s="51"/>
      <c r="D367" s="51"/>
      <c r="E367" s="51"/>
      <c r="F367" s="51"/>
      <c r="G367" s="51"/>
      <c r="H367" s="80"/>
      <c r="I367" s="51"/>
      <c r="J367" s="51"/>
      <c r="K367" s="51"/>
      <c r="L367" s="51"/>
      <c r="M367" s="51"/>
      <c r="N367" s="81"/>
      <c r="O367" s="51"/>
      <c r="P367" s="51"/>
      <c r="Q367" s="51"/>
      <c r="R367" s="51"/>
      <c r="S367" s="51"/>
      <c r="T367" s="51"/>
      <c r="U367" s="51"/>
      <c r="V367" s="51">
        <f t="shared" si="47"/>
        <v>0</v>
      </c>
      <c r="W367" s="2"/>
      <c r="Y367" s="74"/>
      <c r="AB367" s="74"/>
      <c r="AD367" s="74"/>
    </row>
    <row r="368" spans="1:30" s="1" customFormat="1" hidden="1" outlineLevel="1" x14ac:dyDescent="0.25">
      <c r="A368" s="2"/>
      <c r="B368" s="51"/>
      <c r="C368" s="51"/>
      <c r="D368" s="51"/>
      <c r="E368" s="51"/>
      <c r="F368" s="51"/>
      <c r="G368" s="51"/>
      <c r="H368" s="80"/>
      <c r="I368" s="51"/>
      <c r="J368" s="51"/>
      <c r="K368" s="51"/>
      <c r="L368" s="51"/>
      <c r="M368" s="51"/>
      <c r="N368" s="81"/>
      <c r="O368" s="51"/>
      <c r="P368" s="51"/>
      <c r="Q368" s="51"/>
      <c r="R368" s="51"/>
      <c r="S368" s="51"/>
      <c r="T368" s="51"/>
      <c r="U368" s="51"/>
      <c r="V368" s="51">
        <f t="shared" si="47"/>
        <v>0</v>
      </c>
      <c r="W368" s="2"/>
      <c r="Y368" s="74"/>
      <c r="AB368" s="74"/>
      <c r="AD368" s="74"/>
    </row>
    <row r="369" spans="1:39" s="1" customFormat="1" hidden="1" outlineLevel="1" x14ac:dyDescent="0.25">
      <c r="A369" s="2"/>
      <c r="B369" s="51"/>
      <c r="C369" s="51"/>
      <c r="D369" s="51"/>
      <c r="E369" s="51"/>
      <c r="F369" s="51"/>
      <c r="G369" s="51"/>
      <c r="H369" s="80"/>
      <c r="I369" s="51"/>
      <c r="J369" s="51"/>
      <c r="K369" s="51"/>
      <c r="L369" s="51"/>
      <c r="M369" s="51"/>
      <c r="N369" s="81"/>
      <c r="O369" s="51"/>
      <c r="P369" s="51"/>
      <c r="Q369" s="51"/>
      <c r="R369" s="51"/>
      <c r="S369" s="81"/>
      <c r="T369" s="51"/>
      <c r="U369" s="51"/>
      <c r="V369" s="51">
        <f t="shared" si="47"/>
        <v>0</v>
      </c>
      <c r="W369" s="2"/>
      <c r="Y369" s="74"/>
      <c r="AB369" s="74"/>
      <c r="AD369" s="74"/>
    </row>
    <row r="370" spans="1:39" s="1" customFormat="1" hidden="1" outlineLevel="1" x14ac:dyDescent="0.25">
      <c r="A370" s="2"/>
      <c r="B370" s="51"/>
      <c r="C370" s="51"/>
      <c r="D370" s="51"/>
      <c r="E370" s="51"/>
      <c r="F370" s="51"/>
      <c r="G370" s="51"/>
      <c r="H370" s="80"/>
      <c r="I370" s="51"/>
      <c r="J370" s="51"/>
      <c r="K370" s="51"/>
      <c r="L370" s="51"/>
      <c r="M370" s="51"/>
      <c r="N370" s="81"/>
      <c r="O370" s="51"/>
      <c r="P370" s="51"/>
      <c r="Q370" s="51"/>
      <c r="R370" s="51"/>
      <c r="S370" s="81"/>
      <c r="T370" s="51"/>
      <c r="U370" s="51"/>
      <c r="V370" s="51">
        <f t="shared" si="47"/>
        <v>0</v>
      </c>
      <c r="W370" s="2"/>
      <c r="Y370" s="74"/>
      <c r="AB370" s="74"/>
      <c r="AD370" s="74"/>
    </row>
    <row r="371" spans="1:39" s="1" customFormat="1" hidden="1" outlineLevel="1" x14ac:dyDescent="0.25">
      <c r="A371" s="2"/>
      <c r="B371" s="51"/>
      <c r="C371" s="51"/>
      <c r="D371" s="51"/>
      <c r="E371" s="51"/>
      <c r="F371" s="51"/>
      <c r="G371" s="51"/>
      <c r="H371" s="80"/>
      <c r="I371" s="51"/>
      <c r="J371" s="51"/>
      <c r="K371" s="51"/>
      <c r="L371" s="51"/>
      <c r="M371" s="51"/>
      <c r="N371" s="81"/>
      <c r="O371" s="51"/>
      <c r="P371" s="51"/>
      <c r="Q371" s="51"/>
      <c r="R371" s="51"/>
      <c r="S371" s="81"/>
      <c r="T371" s="51"/>
      <c r="U371" s="51"/>
      <c r="V371" s="51">
        <f t="shared" si="47"/>
        <v>0</v>
      </c>
      <c r="W371" s="2"/>
      <c r="Y371" s="74"/>
      <c r="AB371" s="74"/>
      <c r="AD371" s="74"/>
    </row>
    <row r="372" spans="1:39" s="1" customFormat="1" hidden="1" outlineLevel="1" x14ac:dyDescent="0.25">
      <c r="A372" s="2"/>
      <c r="B372" s="51"/>
      <c r="C372" s="51"/>
      <c r="D372" s="51"/>
      <c r="E372" s="51"/>
      <c r="F372" s="51"/>
      <c r="G372" s="51"/>
      <c r="H372" s="80"/>
      <c r="I372" s="51"/>
      <c r="J372" s="51"/>
      <c r="K372" s="51"/>
      <c r="L372" s="51"/>
      <c r="M372" s="51"/>
      <c r="N372" s="81"/>
      <c r="O372" s="51"/>
      <c r="P372" s="51"/>
      <c r="Q372" s="51"/>
      <c r="R372" s="51"/>
      <c r="S372" s="81"/>
      <c r="T372" s="51"/>
      <c r="U372" s="51"/>
      <c r="V372" s="51">
        <f t="shared" si="47"/>
        <v>0</v>
      </c>
      <c r="W372" s="2"/>
      <c r="Y372" s="74"/>
      <c r="AB372" s="74"/>
      <c r="AD372" s="74"/>
    </row>
    <row r="373" spans="1:39" s="1" customFormat="1" hidden="1" outlineLevel="1" x14ac:dyDescent="0.25">
      <c r="A373" s="2"/>
      <c r="B373" s="51"/>
      <c r="C373" s="51"/>
      <c r="D373" s="51"/>
      <c r="E373" s="51"/>
      <c r="F373" s="51"/>
      <c r="G373" s="51"/>
      <c r="H373" s="80"/>
      <c r="I373" s="51"/>
      <c r="J373" s="51"/>
      <c r="K373" s="51"/>
      <c r="L373" s="51"/>
      <c r="M373" s="51"/>
      <c r="N373" s="81"/>
      <c r="O373" s="51"/>
      <c r="P373" s="51"/>
      <c r="Q373" s="51"/>
      <c r="R373" s="51"/>
      <c r="S373" s="81"/>
      <c r="T373" s="51"/>
      <c r="U373" s="51"/>
      <c r="V373" s="51">
        <f t="shared" si="47"/>
        <v>0</v>
      </c>
      <c r="W373" s="2"/>
      <c r="Y373" s="74"/>
      <c r="AB373" s="74"/>
      <c r="AD373" s="74"/>
    </row>
    <row r="374" spans="1:39" s="1" customFormat="1" hidden="1" outlineLevel="1" x14ac:dyDescent="0.25">
      <c r="A374" s="2"/>
      <c r="B374" s="51"/>
      <c r="C374" s="51"/>
      <c r="D374" s="51"/>
      <c r="E374" s="51"/>
      <c r="F374" s="51"/>
      <c r="G374" s="51"/>
      <c r="H374" s="80"/>
      <c r="I374" s="51"/>
      <c r="J374" s="51"/>
      <c r="K374" s="51"/>
      <c r="L374" s="51"/>
      <c r="M374" s="51"/>
      <c r="N374" s="81"/>
      <c r="O374" s="51"/>
      <c r="P374" s="51"/>
      <c r="Q374" s="51"/>
      <c r="R374" s="51"/>
      <c r="S374" s="81"/>
      <c r="T374" s="51"/>
      <c r="U374" s="51"/>
      <c r="V374" s="51">
        <f t="shared" si="47"/>
        <v>0</v>
      </c>
      <c r="W374" s="2"/>
      <c r="Y374" s="74"/>
      <c r="AB374" s="74"/>
      <c r="AD374" s="74"/>
    </row>
    <row r="375" spans="1:39" s="1" customFormat="1" hidden="1" outlineLevel="1" x14ac:dyDescent="0.25">
      <c r="A375" s="2"/>
      <c r="B375" s="51"/>
      <c r="C375" s="51"/>
      <c r="D375" s="51"/>
      <c r="E375" s="51"/>
      <c r="F375" s="51"/>
      <c r="G375" s="51"/>
      <c r="H375" s="80"/>
      <c r="I375" s="51"/>
      <c r="J375" s="51"/>
      <c r="K375" s="51"/>
      <c r="L375" s="51"/>
      <c r="M375" s="51"/>
      <c r="N375" s="81"/>
      <c r="O375" s="51"/>
      <c r="P375" s="51"/>
      <c r="Q375" s="51"/>
      <c r="R375" s="51"/>
      <c r="S375" s="81"/>
      <c r="T375" s="51"/>
      <c r="U375" s="51"/>
      <c r="V375" s="51">
        <f t="shared" si="47"/>
        <v>0</v>
      </c>
      <c r="W375" s="2"/>
      <c r="Y375" s="74"/>
      <c r="AB375" s="74"/>
      <c r="AD375" s="74"/>
    </row>
    <row r="376" spans="1:39" s="1" customFormat="1" hidden="1" outlineLevel="1" x14ac:dyDescent="0.25">
      <c r="A376" s="2"/>
      <c r="B376" s="51"/>
      <c r="C376" s="51"/>
      <c r="D376" s="51"/>
      <c r="E376" s="51"/>
      <c r="F376" s="51"/>
      <c r="G376" s="51"/>
      <c r="H376" s="80"/>
      <c r="I376" s="51"/>
      <c r="J376" s="51"/>
      <c r="K376" s="51"/>
      <c r="L376" s="51"/>
      <c r="M376" s="51"/>
      <c r="N376" s="81"/>
      <c r="O376" s="51"/>
      <c r="P376" s="51"/>
      <c r="Q376" s="51"/>
      <c r="R376" s="51"/>
      <c r="S376" s="81"/>
      <c r="T376" s="51"/>
      <c r="U376" s="51"/>
      <c r="V376" s="51">
        <f t="shared" si="47"/>
        <v>0</v>
      </c>
      <c r="W376" s="2"/>
      <c r="Y376" s="74"/>
      <c r="AB376" s="74"/>
      <c r="AD376" s="74"/>
    </row>
    <row r="377" spans="1:39" s="1" customFormat="1" hidden="1" outlineLevel="1" x14ac:dyDescent="0.25">
      <c r="A377" s="2"/>
      <c r="B377" s="51"/>
      <c r="C377" s="51"/>
      <c r="D377" s="51"/>
      <c r="E377" s="51"/>
      <c r="F377" s="51"/>
      <c r="G377" s="51"/>
      <c r="H377" s="80"/>
      <c r="I377" s="51"/>
      <c r="J377" s="51"/>
      <c r="K377" s="51"/>
      <c r="L377" s="51"/>
      <c r="M377" s="51"/>
      <c r="N377" s="81"/>
      <c r="O377" s="51"/>
      <c r="P377" s="51"/>
      <c r="Q377" s="51"/>
      <c r="R377" s="51"/>
      <c r="S377" s="81"/>
      <c r="T377" s="51"/>
      <c r="U377" s="51"/>
      <c r="V377" s="51">
        <f t="shared" si="47"/>
        <v>0</v>
      </c>
      <c r="W377" s="2"/>
      <c r="Y377" s="74"/>
      <c r="AB377" s="74"/>
      <c r="AD377" s="74"/>
    </row>
    <row r="378" spans="1:39" s="1" customFormat="1" hidden="1" outlineLevel="1" x14ac:dyDescent="0.25">
      <c r="A378" s="2"/>
      <c r="B378" s="51"/>
      <c r="C378" s="51"/>
      <c r="D378" s="51"/>
      <c r="E378" s="51"/>
      <c r="F378" s="51"/>
      <c r="G378" s="51"/>
      <c r="H378" s="80"/>
      <c r="I378" s="51"/>
      <c r="J378" s="51"/>
      <c r="K378" s="51"/>
      <c r="L378" s="51"/>
      <c r="M378" s="51"/>
      <c r="N378" s="81"/>
      <c r="O378" s="51"/>
      <c r="P378" s="51"/>
      <c r="Q378" s="51"/>
      <c r="R378" s="51"/>
      <c r="S378" s="81"/>
      <c r="T378" s="51"/>
      <c r="U378" s="51"/>
      <c r="V378" s="51">
        <f t="shared" si="47"/>
        <v>0</v>
      </c>
      <c r="W378" s="2"/>
      <c r="Y378" s="74"/>
      <c r="AB378" s="74"/>
      <c r="AD378" s="74"/>
    </row>
    <row r="379" spans="1:39" s="1" customFormat="1" hidden="1" outlineLevel="1" x14ac:dyDescent="0.25">
      <c r="A379" s="2"/>
      <c r="B379" s="51"/>
      <c r="C379" s="51"/>
      <c r="D379" s="51"/>
      <c r="E379" s="51"/>
      <c r="F379" s="51"/>
      <c r="G379" s="51"/>
      <c r="H379" s="80"/>
      <c r="I379" s="51"/>
      <c r="J379" s="51"/>
      <c r="K379" s="51"/>
      <c r="L379" s="51"/>
      <c r="M379" s="51"/>
      <c r="N379" s="81"/>
      <c r="O379" s="51"/>
      <c r="P379" s="51"/>
      <c r="Q379" s="51"/>
      <c r="R379" s="51"/>
      <c r="S379" s="81"/>
      <c r="T379" s="51"/>
      <c r="U379" s="51"/>
      <c r="V379" s="51">
        <f t="shared" si="47"/>
        <v>0</v>
      </c>
      <c r="W379" s="2"/>
      <c r="Y379" s="74"/>
      <c r="AB379" s="74"/>
      <c r="AD379" s="74"/>
    </row>
    <row r="380" spans="1:39" ht="15.75" hidden="1" customHeight="1" outlineLevel="1" thickBot="1" x14ac:dyDescent="0.3">
      <c r="A380" s="2"/>
      <c r="B380" s="75"/>
      <c r="C380" s="75"/>
      <c r="D380" s="76"/>
      <c r="E380" s="76"/>
      <c r="F380" s="76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2"/>
      <c r="R380" s="77"/>
      <c r="S380" s="77"/>
      <c r="T380" s="77"/>
      <c r="U380" s="2"/>
      <c r="V380" s="77"/>
      <c r="W380" s="78"/>
      <c r="Y380" s="74"/>
      <c r="Z380" s="6"/>
      <c r="AA380" s="13"/>
      <c r="AB380" s="74"/>
      <c r="AC380" s="6"/>
      <c r="AD380" s="74"/>
      <c r="AE380" s="6"/>
      <c r="AF380" s="6"/>
      <c r="AG380" s="6"/>
      <c r="AH380" s="6"/>
      <c r="AI380" s="6"/>
      <c r="AM380" s="14"/>
    </row>
    <row r="381" spans="1:39" s="1" customFormat="1" ht="12.75" customHeight="1" x14ac:dyDescent="0.25">
      <c r="A381" s="145">
        <v>27</v>
      </c>
      <c r="B381" s="147" t="s">
        <v>217</v>
      </c>
      <c r="C381" s="147" t="s">
        <v>9</v>
      </c>
      <c r="D381" s="156" t="s">
        <v>34</v>
      </c>
      <c r="E381" s="90"/>
      <c r="F381" s="92"/>
      <c r="G381" s="72">
        <f t="shared" ref="G381:U381" si="48">SUM(G383:G392)</f>
        <v>0</v>
      </c>
      <c r="H381" s="72">
        <f t="shared" si="48"/>
        <v>0</v>
      </c>
      <c r="I381" s="72">
        <f t="shared" si="48"/>
        <v>0</v>
      </c>
      <c r="J381" s="72">
        <f t="shared" si="48"/>
        <v>0</v>
      </c>
      <c r="K381" s="72">
        <f t="shared" si="48"/>
        <v>0</v>
      </c>
      <c r="L381" s="72">
        <f t="shared" si="48"/>
        <v>0</v>
      </c>
      <c r="M381" s="72">
        <f t="shared" si="48"/>
        <v>0</v>
      </c>
      <c r="N381" s="72">
        <f t="shared" si="48"/>
        <v>0</v>
      </c>
      <c r="O381" s="72">
        <f t="shared" si="48"/>
        <v>0</v>
      </c>
      <c r="P381" s="72">
        <f t="shared" si="48"/>
        <v>0</v>
      </c>
      <c r="Q381" s="72">
        <f t="shared" si="48"/>
        <v>0</v>
      </c>
      <c r="R381" s="72">
        <f t="shared" si="48"/>
        <v>0</v>
      </c>
      <c r="S381" s="72">
        <f t="shared" si="48"/>
        <v>0</v>
      </c>
      <c r="T381" s="72">
        <f t="shared" si="48"/>
        <v>0</v>
      </c>
      <c r="U381" s="72">
        <f t="shared" si="48"/>
        <v>0</v>
      </c>
      <c r="V381" s="72">
        <f>SUM(V383:V392)</f>
        <v>0</v>
      </c>
      <c r="W381" s="168">
        <f>V381+V382</f>
        <v>0</v>
      </c>
      <c r="Y381" s="74"/>
      <c r="AB381" s="74"/>
      <c r="AD381" s="74"/>
    </row>
    <row r="382" spans="1:39" s="1" customFormat="1" ht="13.8" collapsed="1" thickBot="1" x14ac:dyDescent="0.3">
      <c r="A382" s="146"/>
      <c r="B382" s="148"/>
      <c r="C382" s="148"/>
      <c r="D382" s="157"/>
      <c r="E382" s="91"/>
      <c r="F382" s="93"/>
      <c r="G382" s="73">
        <f>SUM(G394:G411)</f>
        <v>0</v>
      </c>
      <c r="H382" s="79">
        <f>SUM(H394:H411)</f>
        <v>0</v>
      </c>
      <c r="I382" s="79">
        <f>SUM(I394:I411)</f>
        <v>0</v>
      </c>
      <c r="J382" s="73">
        <f t="shared" ref="J382:Q382" si="49">SUM(J394:J411)</f>
        <v>0</v>
      </c>
      <c r="K382" s="73">
        <f t="shared" si="49"/>
        <v>0</v>
      </c>
      <c r="L382" s="73">
        <f t="shared" si="49"/>
        <v>0</v>
      </c>
      <c r="M382" s="73">
        <f t="shared" si="49"/>
        <v>0</v>
      </c>
      <c r="N382" s="73">
        <f t="shared" si="49"/>
        <v>0</v>
      </c>
      <c r="O382" s="73">
        <f t="shared" si="49"/>
        <v>0</v>
      </c>
      <c r="P382" s="73">
        <f t="shared" si="49"/>
        <v>0</v>
      </c>
      <c r="Q382" s="73">
        <f t="shared" si="49"/>
        <v>0</v>
      </c>
      <c r="R382" s="73">
        <f>SUM(R394:R411)</f>
        <v>0</v>
      </c>
      <c r="S382" s="73">
        <f>SUM(S394:S411)</f>
        <v>0</v>
      </c>
      <c r="T382" s="73">
        <f>SUM(T394:T411)</f>
        <v>0</v>
      </c>
      <c r="U382" s="73">
        <f>SUM(U394:U411)</f>
        <v>0</v>
      </c>
      <c r="V382" s="73">
        <f>SUM(V394:V411)</f>
        <v>0</v>
      </c>
      <c r="W382" s="169"/>
      <c r="Y382" s="74"/>
      <c r="Z382" s="74"/>
      <c r="AB382" s="74"/>
      <c r="AD382" s="74"/>
    </row>
    <row r="383" spans="1:39" s="1" customFormat="1" hidden="1" outlineLevel="1" x14ac:dyDescent="0.25">
      <c r="A383" s="2"/>
      <c r="B383" s="51"/>
      <c r="C383" s="51"/>
      <c r="D383" s="51"/>
      <c r="E383" s="51"/>
      <c r="F383" s="51"/>
      <c r="G383" s="51"/>
      <c r="H383" s="51"/>
      <c r="I383" s="51"/>
      <c r="J383" s="51"/>
      <c r="K383" s="51"/>
      <c r="L383" s="51"/>
      <c r="M383" s="51"/>
      <c r="N383" s="51"/>
      <c r="O383" s="51"/>
      <c r="P383" s="51"/>
      <c r="Q383" s="51"/>
      <c r="R383" s="51"/>
      <c r="S383" s="51"/>
      <c r="T383" s="51"/>
      <c r="U383" s="51"/>
      <c r="V383" s="51">
        <f>SUM(G383:U383)</f>
        <v>0</v>
      </c>
      <c r="W383" s="2"/>
      <c r="Y383" s="74"/>
      <c r="AB383" s="74"/>
      <c r="AD383" s="74"/>
    </row>
    <row r="384" spans="1:39" s="1" customFormat="1" hidden="1" outlineLevel="1" x14ac:dyDescent="0.25">
      <c r="A384" s="2"/>
      <c r="B384" s="51"/>
      <c r="C384" s="51"/>
      <c r="D384" s="51"/>
      <c r="E384" s="51"/>
      <c r="F384" s="51"/>
      <c r="G384" s="51"/>
      <c r="H384" s="51"/>
      <c r="I384" s="51"/>
      <c r="J384" s="51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>
        <f>SUM(G384:U384)</f>
        <v>0</v>
      </c>
      <c r="W384" s="2"/>
      <c r="Y384" s="74"/>
      <c r="AB384" s="74"/>
      <c r="AD384" s="74"/>
    </row>
    <row r="385" spans="1:30" s="1" customFormat="1" hidden="1" outlineLevel="1" x14ac:dyDescent="0.25">
      <c r="A385" s="2"/>
      <c r="B385" s="51"/>
      <c r="C385" s="51"/>
      <c r="D385" s="51"/>
      <c r="E385" s="51"/>
      <c r="F385" s="51"/>
      <c r="G385" s="51"/>
      <c r="H385" s="51"/>
      <c r="I385" s="51"/>
      <c r="J385" s="51"/>
      <c r="K385" s="51"/>
      <c r="L385" s="51"/>
      <c r="M385" s="51"/>
      <c r="N385" s="51"/>
      <c r="O385" s="51"/>
      <c r="P385" s="51"/>
      <c r="Q385" s="51"/>
      <c r="R385" s="51"/>
      <c r="S385" s="51"/>
      <c r="T385" s="51"/>
      <c r="U385" s="51"/>
      <c r="V385" s="51">
        <f t="shared" ref="V385:V392" si="50">SUM(G385:U385)</f>
        <v>0</v>
      </c>
      <c r="W385" s="2"/>
      <c r="Y385" s="74"/>
      <c r="AB385" s="74"/>
      <c r="AD385" s="74"/>
    </row>
    <row r="386" spans="1:30" s="1" customFormat="1" hidden="1" outlineLevel="1" x14ac:dyDescent="0.25">
      <c r="A386" s="2"/>
      <c r="B386" s="51"/>
      <c r="C386" s="51"/>
      <c r="D386" s="51"/>
      <c r="E386" s="51"/>
      <c r="F386" s="51"/>
      <c r="G386" s="51"/>
      <c r="H386" s="51"/>
      <c r="I386" s="51"/>
      <c r="J386" s="51"/>
      <c r="K386" s="51"/>
      <c r="L386" s="51"/>
      <c r="M386" s="51"/>
      <c r="N386" s="51"/>
      <c r="O386" s="51"/>
      <c r="P386" s="51"/>
      <c r="Q386" s="51"/>
      <c r="R386" s="51"/>
      <c r="S386" s="51"/>
      <c r="T386" s="51"/>
      <c r="U386" s="51"/>
      <c r="V386" s="51">
        <f t="shared" si="50"/>
        <v>0</v>
      </c>
      <c r="W386" s="2"/>
      <c r="Y386" s="74"/>
      <c r="AB386" s="74"/>
      <c r="AD386" s="74"/>
    </row>
    <row r="387" spans="1:30" s="1" customFormat="1" hidden="1" outlineLevel="1" x14ac:dyDescent="0.25">
      <c r="A387" s="2"/>
      <c r="B387" s="51"/>
      <c r="C387" s="51"/>
      <c r="D387" s="51"/>
      <c r="E387" s="51"/>
      <c r="F387" s="51"/>
      <c r="G387" s="51"/>
      <c r="H387" s="51"/>
      <c r="I387" s="51"/>
      <c r="J387" s="51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>
        <f t="shared" si="50"/>
        <v>0</v>
      </c>
      <c r="W387" s="2"/>
      <c r="Y387" s="74"/>
      <c r="AB387" s="74"/>
      <c r="AD387" s="74"/>
    </row>
    <row r="388" spans="1:30" s="1" customFormat="1" hidden="1" outlineLevel="1" x14ac:dyDescent="0.25">
      <c r="A388" s="2"/>
      <c r="B388" s="51"/>
      <c r="C388" s="51"/>
      <c r="D388" s="51"/>
      <c r="E388" s="51"/>
      <c r="F388" s="51"/>
      <c r="G388" s="51"/>
      <c r="H388" s="51"/>
      <c r="I388" s="51"/>
      <c r="J388" s="51"/>
      <c r="K388" s="51"/>
      <c r="L388" s="51"/>
      <c r="M388" s="51"/>
      <c r="N388" s="51"/>
      <c r="O388" s="51"/>
      <c r="P388" s="51"/>
      <c r="Q388" s="51"/>
      <c r="R388" s="51"/>
      <c r="S388" s="51"/>
      <c r="T388" s="51"/>
      <c r="U388" s="51"/>
      <c r="V388" s="51">
        <f t="shared" si="50"/>
        <v>0</v>
      </c>
      <c r="W388" s="2"/>
      <c r="Y388" s="74"/>
      <c r="AB388" s="74"/>
      <c r="AD388" s="74"/>
    </row>
    <row r="389" spans="1:30" s="1" customFormat="1" hidden="1" outlineLevel="1" x14ac:dyDescent="0.25">
      <c r="A389" s="2"/>
      <c r="B389" s="51"/>
      <c r="C389" s="51"/>
      <c r="D389" s="51"/>
      <c r="E389" s="51"/>
      <c r="F389" s="51"/>
      <c r="G389" s="51"/>
      <c r="H389" s="51"/>
      <c r="I389" s="51"/>
      <c r="J389" s="51"/>
      <c r="K389" s="51"/>
      <c r="L389" s="51"/>
      <c r="M389" s="51"/>
      <c r="N389" s="51"/>
      <c r="O389" s="51"/>
      <c r="P389" s="51"/>
      <c r="Q389" s="51"/>
      <c r="R389" s="51"/>
      <c r="S389" s="51"/>
      <c r="T389" s="51"/>
      <c r="U389" s="51"/>
      <c r="V389" s="51">
        <f t="shared" si="50"/>
        <v>0</v>
      </c>
      <c r="W389" s="2"/>
      <c r="Y389" s="74"/>
      <c r="AB389" s="74"/>
      <c r="AD389" s="74"/>
    </row>
    <row r="390" spans="1:30" s="1" customFormat="1" hidden="1" outlineLevel="1" x14ac:dyDescent="0.25">
      <c r="A390" s="2"/>
      <c r="B390" s="51"/>
      <c r="C390" s="51"/>
      <c r="D390" s="51"/>
      <c r="E390" s="51"/>
      <c r="F390" s="51"/>
      <c r="G390" s="51"/>
      <c r="H390" s="51"/>
      <c r="I390" s="51"/>
      <c r="J390" s="51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>
        <f t="shared" si="50"/>
        <v>0</v>
      </c>
      <c r="W390" s="2"/>
      <c r="Y390" s="74"/>
      <c r="AB390" s="74"/>
      <c r="AD390" s="74"/>
    </row>
    <row r="391" spans="1:30" s="1" customFormat="1" hidden="1" outlineLevel="1" x14ac:dyDescent="0.25">
      <c r="A391" s="2"/>
      <c r="B391" s="51"/>
      <c r="C391" s="51"/>
      <c r="D391" s="51"/>
      <c r="E391" s="51"/>
      <c r="F391" s="51"/>
      <c r="G391" s="51"/>
      <c r="H391" s="51"/>
      <c r="I391" s="51"/>
      <c r="J391" s="51"/>
      <c r="K391" s="51"/>
      <c r="L391" s="51"/>
      <c r="M391" s="51"/>
      <c r="N391" s="51"/>
      <c r="O391" s="51"/>
      <c r="P391" s="51"/>
      <c r="Q391" s="51"/>
      <c r="R391" s="51"/>
      <c r="S391" s="51"/>
      <c r="T391" s="51"/>
      <c r="U391" s="51"/>
      <c r="V391" s="51">
        <f t="shared" si="50"/>
        <v>0</v>
      </c>
      <c r="W391" s="2"/>
      <c r="Y391" s="74"/>
      <c r="AB391" s="74"/>
      <c r="AD391" s="74"/>
    </row>
    <row r="392" spans="1:30" s="1" customFormat="1" hidden="1" outlineLevel="1" x14ac:dyDescent="0.25">
      <c r="A392" s="2"/>
      <c r="B392" s="51"/>
      <c r="C392" s="51"/>
      <c r="D392" s="51"/>
      <c r="E392" s="51"/>
      <c r="F392" s="51"/>
      <c r="G392" s="51"/>
      <c r="H392" s="51"/>
      <c r="I392" s="51"/>
      <c r="J392" s="51"/>
      <c r="K392" s="51"/>
      <c r="L392" s="51"/>
      <c r="M392" s="51"/>
      <c r="N392" s="51"/>
      <c r="O392" s="51"/>
      <c r="P392" s="51"/>
      <c r="Q392" s="51"/>
      <c r="R392" s="51"/>
      <c r="S392" s="51"/>
      <c r="T392" s="51"/>
      <c r="U392" s="51"/>
      <c r="V392" s="51">
        <f t="shared" si="50"/>
        <v>0</v>
      </c>
      <c r="W392" s="2"/>
      <c r="Y392" s="74"/>
      <c r="AB392" s="74"/>
      <c r="AD392" s="74"/>
    </row>
    <row r="393" spans="1:30" s="1" customFormat="1" hidden="1" outlineLevel="1" x14ac:dyDescent="0.25">
      <c r="A393" s="2"/>
      <c r="B393" s="185" t="s">
        <v>29</v>
      </c>
      <c r="C393" s="185"/>
      <c r="D393" s="185"/>
      <c r="E393" s="185"/>
      <c r="F393" s="185"/>
      <c r="G393" s="185"/>
      <c r="H393" s="185"/>
      <c r="I393" s="185"/>
      <c r="J393" s="185"/>
      <c r="K393" s="185"/>
      <c r="L393" s="185"/>
      <c r="M393" s="185"/>
      <c r="N393" s="185"/>
      <c r="O393" s="185"/>
      <c r="P393" s="185"/>
      <c r="Q393" s="185"/>
      <c r="R393" s="185"/>
      <c r="S393" s="185"/>
      <c r="T393" s="185"/>
      <c r="U393" s="185"/>
      <c r="V393" s="104"/>
      <c r="W393" s="2"/>
      <c r="Y393" s="74"/>
      <c r="AB393" s="74"/>
      <c r="AD393" s="74"/>
    </row>
    <row r="394" spans="1:30" s="1" customFormat="1" hidden="1" outlineLevel="1" x14ac:dyDescent="0.25">
      <c r="A394" s="2"/>
      <c r="B394" s="82"/>
      <c r="C394" s="51"/>
      <c r="D394" s="51"/>
      <c r="E394" s="51"/>
      <c r="F394" s="51"/>
      <c r="G394" s="20"/>
      <c r="H394" s="21"/>
      <c r="I394" s="21"/>
      <c r="J394" s="102"/>
      <c r="K394" s="51"/>
      <c r="L394" s="32"/>
      <c r="M394" s="22"/>
      <c r="N394" s="51"/>
      <c r="O394" s="81"/>
      <c r="P394" s="22"/>
      <c r="Q394" s="51"/>
      <c r="R394" s="51"/>
      <c r="S394" s="51"/>
      <c r="T394" s="51"/>
      <c r="U394" s="51"/>
      <c r="V394" s="51">
        <f t="shared" ref="V394:V410" si="51">SUM(G394:U394)</f>
        <v>0</v>
      </c>
      <c r="W394" s="2"/>
      <c r="Y394" s="74"/>
      <c r="AB394" s="74"/>
      <c r="AD394" s="74"/>
    </row>
    <row r="395" spans="1:30" s="1" customFormat="1" hidden="1" outlineLevel="1" x14ac:dyDescent="0.25">
      <c r="A395" s="2"/>
      <c r="B395" s="82"/>
      <c r="C395" s="51"/>
      <c r="D395" s="51"/>
      <c r="E395" s="51"/>
      <c r="F395" s="51"/>
      <c r="G395" s="20"/>
      <c r="H395" s="21"/>
      <c r="I395" s="21"/>
      <c r="J395" s="102"/>
      <c r="K395" s="51"/>
      <c r="L395" s="32"/>
      <c r="M395" s="22"/>
      <c r="N395" s="51"/>
      <c r="O395" s="81"/>
      <c r="P395" s="22"/>
      <c r="Q395" s="51"/>
      <c r="R395" s="51"/>
      <c r="S395" s="51"/>
      <c r="T395" s="51"/>
      <c r="U395" s="51"/>
      <c r="V395" s="51">
        <f t="shared" si="51"/>
        <v>0</v>
      </c>
      <c r="W395" s="2"/>
      <c r="Y395" s="74"/>
      <c r="AB395" s="74"/>
      <c r="AD395" s="74"/>
    </row>
    <row r="396" spans="1:30" s="1" customFormat="1" hidden="1" outlineLevel="1" x14ac:dyDescent="0.25">
      <c r="A396" s="2"/>
      <c r="B396" s="82"/>
      <c r="C396" s="51"/>
      <c r="D396" s="51"/>
      <c r="E396" s="51"/>
      <c r="F396" s="51"/>
      <c r="G396" s="20"/>
      <c r="H396" s="21"/>
      <c r="I396" s="21"/>
      <c r="J396" s="102"/>
      <c r="K396" s="51"/>
      <c r="L396" s="32"/>
      <c r="M396" s="22"/>
      <c r="N396" s="51"/>
      <c r="O396" s="81"/>
      <c r="P396" s="22"/>
      <c r="Q396" s="51"/>
      <c r="R396" s="51"/>
      <c r="S396" s="51"/>
      <c r="T396" s="51"/>
      <c r="U396" s="51"/>
      <c r="V396" s="51">
        <f t="shared" si="51"/>
        <v>0</v>
      </c>
      <c r="W396" s="2"/>
      <c r="Y396" s="74"/>
      <c r="AB396" s="74"/>
      <c r="AD396" s="74"/>
    </row>
    <row r="397" spans="1:30" s="1" customFormat="1" hidden="1" outlineLevel="1" x14ac:dyDescent="0.25">
      <c r="A397" s="2"/>
      <c r="B397" s="82"/>
      <c r="C397" s="51"/>
      <c r="D397" s="51"/>
      <c r="E397" s="51"/>
      <c r="F397" s="51"/>
      <c r="G397" s="20"/>
      <c r="H397" s="21"/>
      <c r="I397" s="21"/>
      <c r="J397" s="102"/>
      <c r="K397" s="51"/>
      <c r="L397" s="32"/>
      <c r="M397" s="22"/>
      <c r="N397" s="51"/>
      <c r="O397" s="81"/>
      <c r="P397" s="22"/>
      <c r="Q397" s="51"/>
      <c r="R397" s="51"/>
      <c r="S397" s="51"/>
      <c r="T397" s="51"/>
      <c r="U397" s="51"/>
      <c r="V397" s="51">
        <f t="shared" si="51"/>
        <v>0</v>
      </c>
      <c r="W397" s="2"/>
      <c r="Y397" s="74"/>
      <c r="AB397" s="74"/>
      <c r="AD397" s="74"/>
    </row>
    <row r="398" spans="1:30" s="1" customFormat="1" hidden="1" outlineLevel="1" x14ac:dyDescent="0.25">
      <c r="A398" s="2"/>
      <c r="B398" s="51"/>
      <c r="C398" s="51"/>
      <c r="D398" s="51"/>
      <c r="E398" s="51"/>
      <c r="F398" s="51"/>
      <c r="G398" s="51"/>
      <c r="H398" s="80"/>
      <c r="I398" s="51"/>
      <c r="J398" s="51"/>
      <c r="K398" s="51"/>
      <c r="L398" s="51"/>
      <c r="M398" s="51"/>
      <c r="N398" s="81"/>
      <c r="O398" s="51"/>
      <c r="P398" s="51"/>
      <c r="Q398" s="51"/>
      <c r="R398" s="51"/>
      <c r="S398" s="51"/>
      <c r="T398" s="51"/>
      <c r="U398" s="51"/>
      <c r="V398" s="51">
        <f t="shared" si="51"/>
        <v>0</v>
      </c>
      <c r="W398" s="2"/>
      <c r="Y398" s="74"/>
      <c r="AB398" s="74"/>
      <c r="AD398" s="74"/>
    </row>
    <row r="399" spans="1:30" s="1" customFormat="1" hidden="1" outlineLevel="1" x14ac:dyDescent="0.25">
      <c r="A399" s="2"/>
      <c r="B399" s="51"/>
      <c r="C399" s="51"/>
      <c r="D399" s="51"/>
      <c r="E399" s="51"/>
      <c r="F399" s="51"/>
      <c r="G399" s="51"/>
      <c r="H399" s="80"/>
      <c r="I399" s="51"/>
      <c r="J399" s="51"/>
      <c r="K399" s="51"/>
      <c r="L399" s="51"/>
      <c r="M399" s="51"/>
      <c r="N399" s="81"/>
      <c r="O399" s="51"/>
      <c r="P399" s="51"/>
      <c r="Q399" s="51"/>
      <c r="R399" s="51"/>
      <c r="S399" s="51"/>
      <c r="T399" s="51"/>
      <c r="U399" s="51"/>
      <c r="V399" s="51">
        <f t="shared" si="51"/>
        <v>0</v>
      </c>
      <c r="W399" s="2"/>
      <c r="Y399" s="74"/>
      <c r="AB399" s="74"/>
      <c r="AD399" s="74"/>
    </row>
    <row r="400" spans="1:30" s="1" customFormat="1" hidden="1" outlineLevel="1" x14ac:dyDescent="0.25">
      <c r="A400" s="2"/>
      <c r="B400" s="51"/>
      <c r="C400" s="51"/>
      <c r="D400" s="51"/>
      <c r="E400" s="51"/>
      <c r="F400" s="51"/>
      <c r="G400" s="51"/>
      <c r="H400" s="80"/>
      <c r="I400" s="51"/>
      <c r="J400" s="51"/>
      <c r="K400" s="51"/>
      <c r="L400" s="51"/>
      <c r="M400" s="51"/>
      <c r="N400" s="81"/>
      <c r="O400" s="51"/>
      <c r="P400" s="51"/>
      <c r="Q400" s="51"/>
      <c r="R400" s="51"/>
      <c r="S400" s="81"/>
      <c r="T400" s="51"/>
      <c r="U400" s="51"/>
      <c r="V400" s="51">
        <f t="shared" si="51"/>
        <v>0</v>
      </c>
      <c r="W400" s="2"/>
      <c r="Y400" s="74"/>
      <c r="AB400" s="74"/>
      <c r="AD400" s="74"/>
    </row>
    <row r="401" spans="1:39" s="1" customFormat="1" hidden="1" outlineLevel="1" x14ac:dyDescent="0.25">
      <c r="A401" s="2"/>
      <c r="B401" s="51"/>
      <c r="C401" s="51"/>
      <c r="D401" s="51"/>
      <c r="E401" s="51"/>
      <c r="F401" s="51"/>
      <c r="G401" s="51"/>
      <c r="H401" s="80"/>
      <c r="I401" s="51"/>
      <c r="J401" s="51"/>
      <c r="K401" s="51"/>
      <c r="L401" s="51"/>
      <c r="M401" s="51"/>
      <c r="N401" s="81"/>
      <c r="O401" s="51"/>
      <c r="P401" s="51"/>
      <c r="Q401" s="51"/>
      <c r="R401" s="51"/>
      <c r="S401" s="81"/>
      <c r="T401" s="51"/>
      <c r="U401" s="51"/>
      <c r="V401" s="51">
        <f t="shared" si="51"/>
        <v>0</v>
      </c>
      <c r="W401" s="2"/>
      <c r="Y401" s="74"/>
      <c r="AB401" s="74"/>
      <c r="AD401" s="74"/>
    </row>
    <row r="402" spans="1:39" s="1" customFormat="1" hidden="1" outlineLevel="1" x14ac:dyDescent="0.25">
      <c r="A402" s="2"/>
      <c r="B402" s="51"/>
      <c r="C402" s="51"/>
      <c r="D402" s="51"/>
      <c r="E402" s="51"/>
      <c r="F402" s="51"/>
      <c r="G402" s="51"/>
      <c r="H402" s="80"/>
      <c r="I402" s="51"/>
      <c r="J402" s="51"/>
      <c r="K402" s="51"/>
      <c r="L402" s="51"/>
      <c r="M402" s="51"/>
      <c r="N402" s="81"/>
      <c r="O402" s="51"/>
      <c r="P402" s="51"/>
      <c r="Q402" s="51"/>
      <c r="R402" s="51"/>
      <c r="S402" s="81"/>
      <c r="T402" s="51"/>
      <c r="U402" s="51"/>
      <c r="V402" s="51">
        <f t="shared" si="51"/>
        <v>0</v>
      </c>
      <c r="W402" s="2"/>
      <c r="Y402" s="74"/>
      <c r="AB402" s="74"/>
      <c r="AD402" s="74"/>
    </row>
    <row r="403" spans="1:39" s="1" customFormat="1" hidden="1" outlineLevel="1" x14ac:dyDescent="0.25">
      <c r="A403" s="2"/>
      <c r="B403" s="51"/>
      <c r="C403" s="51"/>
      <c r="D403" s="51"/>
      <c r="E403" s="51"/>
      <c r="F403" s="51"/>
      <c r="G403" s="51"/>
      <c r="H403" s="80"/>
      <c r="I403" s="51"/>
      <c r="J403" s="51"/>
      <c r="K403" s="51"/>
      <c r="L403" s="51"/>
      <c r="M403" s="51"/>
      <c r="N403" s="81"/>
      <c r="O403" s="51"/>
      <c r="P403" s="51"/>
      <c r="Q403" s="51"/>
      <c r="R403" s="51"/>
      <c r="S403" s="81"/>
      <c r="T403" s="51"/>
      <c r="U403" s="51"/>
      <c r="V403" s="51">
        <f t="shared" si="51"/>
        <v>0</v>
      </c>
      <c r="W403" s="2"/>
      <c r="Y403" s="74"/>
      <c r="AB403" s="74"/>
      <c r="AD403" s="74"/>
    </row>
    <row r="404" spans="1:39" s="1" customFormat="1" hidden="1" outlineLevel="1" x14ac:dyDescent="0.25">
      <c r="A404" s="2"/>
      <c r="B404" s="51"/>
      <c r="C404" s="51"/>
      <c r="D404" s="51"/>
      <c r="E404" s="51"/>
      <c r="F404" s="51"/>
      <c r="G404" s="51"/>
      <c r="H404" s="80"/>
      <c r="I404" s="51"/>
      <c r="J404" s="51"/>
      <c r="K404" s="51"/>
      <c r="L404" s="51"/>
      <c r="M404" s="51"/>
      <c r="N404" s="81"/>
      <c r="O404" s="51"/>
      <c r="P404" s="51"/>
      <c r="Q404" s="51"/>
      <c r="R404" s="51"/>
      <c r="S404" s="81"/>
      <c r="T404" s="51"/>
      <c r="U404" s="51"/>
      <c r="V404" s="51">
        <f t="shared" si="51"/>
        <v>0</v>
      </c>
      <c r="W404" s="2"/>
      <c r="Y404" s="74"/>
      <c r="AB404" s="74"/>
      <c r="AD404" s="74"/>
    </row>
    <row r="405" spans="1:39" s="1" customFormat="1" hidden="1" outlineLevel="1" x14ac:dyDescent="0.25">
      <c r="A405" s="2"/>
      <c r="B405" s="51"/>
      <c r="C405" s="51"/>
      <c r="D405" s="51"/>
      <c r="E405" s="51"/>
      <c r="F405" s="51"/>
      <c r="G405" s="51"/>
      <c r="H405" s="80"/>
      <c r="I405" s="51"/>
      <c r="J405" s="51"/>
      <c r="K405" s="51"/>
      <c r="L405" s="51"/>
      <c r="M405" s="51"/>
      <c r="N405" s="81"/>
      <c r="O405" s="51"/>
      <c r="P405" s="51"/>
      <c r="Q405" s="51"/>
      <c r="R405" s="51"/>
      <c r="S405" s="81"/>
      <c r="T405" s="51"/>
      <c r="U405" s="51"/>
      <c r="V405" s="51">
        <f t="shared" si="51"/>
        <v>0</v>
      </c>
      <c r="W405" s="2"/>
      <c r="Y405" s="74"/>
      <c r="AB405" s="74"/>
      <c r="AD405" s="74"/>
    </row>
    <row r="406" spans="1:39" s="1" customFormat="1" hidden="1" outlineLevel="1" x14ac:dyDescent="0.25">
      <c r="A406" s="2"/>
      <c r="B406" s="51"/>
      <c r="C406" s="51"/>
      <c r="D406" s="51"/>
      <c r="E406" s="51"/>
      <c r="F406" s="51"/>
      <c r="G406" s="51"/>
      <c r="H406" s="80"/>
      <c r="I406" s="51"/>
      <c r="J406" s="51"/>
      <c r="K406" s="51"/>
      <c r="L406" s="51"/>
      <c r="M406" s="51"/>
      <c r="N406" s="81"/>
      <c r="O406" s="51"/>
      <c r="P406" s="51"/>
      <c r="Q406" s="51"/>
      <c r="R406" s="51"/>
      <c r="S406" s="81"/>
      <c r="T406" s="51"/>
      <c r="U406" s="51"/>
      <c r="V406" s="51">
        <f t="shared" si="51"/>
        <v>0</v>
      </c>
      <c r="W406" s="2"/>
      <c r="Y406" s="74"/>
      <c r="AB406" s="74"/>
      <c r="AD406" s="74"/>
    </row>
    <row r="407" spans="1:39" s="1" customFormat="1" hidden="1" outlineLevel="1" x14ac:dyDescent="0.25">
      <c r="A407" s="2"/>
      <c r="B407" s="51"/>
      <c r="C407" s="51"/>
      <c r="D407" s="51"/>
      <c r="E407" s="51"/>
      <c r="F407" s="51"/>
      <c r="G407" s="51"/>
      <c r="H407" s="80"/>
      <c r="I407" s="51"/>
      <c r="J407" s="51"/>
      <c r="K407" s="51"/>
      <c r="L407" s="51"/>
      <c r="M407" s="51"/>
      <c r="N407" s="81"/>
      <c r="O407" s="51"/>
      <c r="P407" s="51"/>
      <c r="Q407" s="51"/>
      <c r="R407" s="51"/>
      <c r="S407" s="81"/>
      <c r="T407" s="51"/>
      <c r="U407" s="51"/>
      <c r="V407" s="51">
        <f t="shared" si="51"/>
        <v>0</v>
      </c>
      <c r="W407" s="2"/>
      <c r="Y407" s="74"/>
      <c r="AB407" s="74"/>
      <c r="AD407" s="74"/>
    </row>
    <row r="408" spans="1:39" s="1" customFormat="1" hidden="1" outlineLevel="1" x14ac:dyDescent="0.25">
      <c r="A408" s="2"/>
      <c r="B408" s="51"/>
      <c r="C408" s="51"/>
      <c r="D408" s="51"/>
      <c r="E408" s="51"/>
      <c r="F408" s="51"/>
      <c r="G408" s="51"/>
      <c r="H408" s="80"/>
      <c r="I408" s="51"/>
      <c r="J408" s="51"/>
      <c r="K408" s="51"/>
      <c r="L408" s="51"/>
      <c r="M408" s="51"/>
      <c r="N408" s="81"/>
      <c r="O408" s="51"/>
      <c r="P408" s="51"/>
      <c r="Q408" s="51"/>
      <c r="R408" s="51"/>
      <c r="S408" s="81"/>
      <c r="T408" s="51"/>
      <c r="U408" s="51"/>
      <c r="V408" s="51">
        <f t="shared" si="51"/>
        <v>0</v>
      </c>
      <c r="W408" s="2"/>
      <c r="Y408" s="74"/>
      <c r="AB408" s="74"/>
      <c r="AD408" s="74"/>
    </row>
    <row r="409" spans="1:39" s="1" customFormat="1" hidden="1" outlineLevel="1" x14ac:dyDescent="0.25">
      <c r="A409" s="2"/>
      <c r="B409" s="51"/>
      <c r="C409" s="51"/>
      <c r="D409" s="51"/>
      <c r="E409" s="51"/>
      <c r="F409" s="51"/>
      <c r="G409" s="51"/>
      <c r="H409" s="80"/>
      <c r="I409" s="51"/>
      <c r="J409" s="51"/>
      <c r="K409" s="51"/>
      <c r="L409" s="51"/>
      <c r="M409" s="51"/>
      <c r="N409" s="81"/>
      <c r="O409" s="51"/>
      <c r="P409" s="51"/>
      <c r="Q409" s="51"/>
      <c r="R409" s="51"/>
      <c r="S409" s="81"/>
      <c r="T409" s="51"/>
      <c r="U409" s="51"/>
      <c r="V409" s="51">
        <f t="shared" si="51"/>
        <v>0</v>
      </c>
      <c r="W409" s="2"/>
      <c r="Y409" s="74"/>
      <c r="AB409" s="74"/>
      <c r="AD409" s="74"/>
    </row>
    <row r="410" spans="1:39" s="1" customFormat="1" hidden="1" outlineLevel="1" x14ac:dyDescent="0.25">
      <c r="A410" s="2"/>
      <c r="B410" s="51"/>
      <c r="C410" s="51"/>
      <c r="D410" s="51"/>
      <c r="E410" s="51"/>
      <c r="F410" s="51"/>
      <c r="G410" s="51"/>
      <c r="H410" s="80"/>
      <c r="I410" s="51"/>
      <c r="J410" s="51"/>
      <c r="K410" s="51"/>
      <c r="L410" s="51"/>
      <c r="M410" s="51"/>
      <c r="N410" s="81"/>
      <c r="O410" s="51"/>
      <c r="P410" s="51"/>
      <c r="Q410" s="51"/>
      <c r="R410" s="51"/>
      <c r="S410" s="81"/>
      <c r="T410" s="51"/>
      <c r="U410" s="51"/>
      <c r="V410" s="51">
        <f t="shared" si="51"/>
        <v>0</v>
      </c>
      <c r="W410" s="2"/>
      <c r="Y410" s="74"/>
      <c r="AB410" s="74"/>
      <c r="AD410" s="74"/>
    </row>
    <row r="411" spans="1:39" ht="15.75" hidden="1" customHeight="1" outlineLevel="1" thickBot="1" x14ac:dyDescent="0.3">
      <c r="A411" s="2"/>
      <c r="B411" s="75"/>
      <c r="C411" s="75"/>
      <c r="D411" s="76"/>
      <c r="E411" s="76"/>
      <c r="F411" s="76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2"/>
      <c r="R411" s="77"/>
      <c r="S411" s="77"/>
      <c r="T411" s="77"/>
      <c r="U411" s="2"/>
      <c r="V411" s="77"/>
      <c r="W411" s="78"/>
      <c r="Y411" s="74"/>
      <c r="Z411" s="6"/>
      <c r="AA411" s="13"/>
      <c r="AB411" s="74"/>
      <c r="AC411" s="6"/>
      <c r="AD411" s="74"/>
      <c r="AE411" s="6"/>
      <c r="AF411" s="6"/>
      <c r="AG411" s="6"/>
      <c r="AH411" s="6"/>
      <c r="AI411" s="6"/>
      <c r="AM411" s="14"/>
    </row>
    <row r="412" spans="1:39" s="1" customFormat="1" ht="12.75" customHeight="1" x14ac:dyDescent="0.25">
      <c r="A412" s="145">
        <v>28</v>
      </c>
      <c r="B412" s="147" t="s">
        <v>218</v>
      </c>
      <c r="C412" s="147" t="s">
        <v>9</v>
      </c>
      <c r="D412" s="156"/>
      <c r="E412" s="90"/>
      <c r="F412" s="92"/>
      <c r="G412" s="72">
        <f t="shared" ref="G412:U412" si="52">SUM(G414:G423)</f>
        <v>0</v>
      </c>
      <c r="H412" s="72">
        <f t="shared" si="52"/>
        <v>0</v>
      </c>
      <c r="I412" s="72">
        <f t="shared" si="52"/>
        <v>0</v>
      </c>
      <c r="J412" s="72">
        <f t="shared" si="52"/>
        <v>0</v>
      </c>
      <c r="K412" s="72">
        <f t="shared" si="52"/>
        <v>0</v>
      </c>
      <c r="L412" s="72">
        <f t="shared" si="52"/>
        <v>0</v>
      </c>
      <c r="M412" s="72">
        <f t="shared" si="52"/>
        <v>0</v>
      </c>
      <c r="N412" s="72">
        <f t="shared" si="52"/>
        <v>0</v>
      </c>
      <c r="O412" s="72">
        <f t="shared" si="52"/>
        <v>0</v>
      </c>
      <c r="P412" s="72">
        <f t="shared" si="52"/>
        <v>0</v>
      </c>
      <c r="Q412" s="72">
        <f t="shared" si="52"/>
        <v>0</v>
      </c>
      <c r="R412" s="72">
        <f t="shared" si="52"/>
        <v>0</v>
      </c>
      <c r="S412" s="72">
        <f t="shared" si="52"/>
        <v>0</v>
      </c>
      <c r="T412" s="72">
        <f t="shared" si="52"/>
        <v>0</v>
      </c>
      <c r="U412" s="72">
        <f t="shared" si="52"/>
        <v>0</v>
      </c>
      <c r="V412" s="72">
        <f>SUM(V414:V423)</f>
        <v>0</v>
      </c>
      <c r="W412" s="168">
        <f>V412+V413</f>
        <v>0</v>
      </c>
      <c r="Y412" s="74"/>
      <c r="AB412" s="74"/>
      <c r="AD412" s="74"/>
    </row>
    <row r="413" spans="1:39" s="1" customFormat="1" ht="13.8" collapsed="1" thickBot="1" x14ac:dyDescent="0.3">
      <c r="A413" s="146"/>
      <c r="B413" s="148"/>
      <c r="C413" s="148"/>
      <c r="D413" s="157"/>
      <c r="E413" s="91"/>
      <c r="F413" s="93"/>
      <c r="G413" s="73">
        <f>SUM(G425:G442)</f>
        <v>0</v>
      </c>
      <c r="H413" s="79">
        <f>SUM(H425:H442)</f>
        <v>0</v>
      </c>
      <c r="I413" s="79">
        <f>SUM(I425:I442)</f>
        <v>0</v>
      </c>
      <c r="J413" s="73">
        <f t="shared" ref="J413:Q413" si="53">SUM(J425:J442)</f>
        <v>0</v>
      </c>
      <c r="K413" s="73">
        <f t="shared" si="53"/>
        <v>0</v>
      </c>
      <c r="L413" s="73">
        <f t="shared" si="53"/>
        <v>0</v>
      </c>
      <c r="M413" s="73">
        <f t="shared" si="53"/>
        <v>0</v>
      </c>
      <c r="N413" s="73">
        <f t="shared" si="53"/>
        <v>0</v>
      </c>
      <c r="O413" s="73">
        <f t="shared" si="53"/>
        <v>0</v>
      </c>
      <c r="P413" s="73">
        <f t="shared" si="53"/>
        <v>0</v>
      </c>
      <c r="Q413" s="73">
        <f t="shared" si="53"/>
        <v>0</v>
      </c>
      <c r="R413" s="73">
        <f>SUM(R425:R442)</f>
        <v>0</v>
      </c>
      <c r="S413" s="73">
        <f>SUM(S425:S442)</f>
        <v>0</v>
      </c>
      <c r="T413" s="73">
        <f>SUM(T425:T442)</f>
        <v>0</v>
      </c>
      <c r="U413" s="73">
        <f>SUM(U425:U442)</f>
        <v>0</v>
      </c>
      <c r="V413" s="73">
        <f>SUM(V425:V442)</f>
        <v>0</v>
      </c>
      <c r="W413" s="169"/>
      <c r="Y413" s="74"/>
      <c r="Z413" s="74"/>
      <c r="AB413" s="74"/>
      <c r="AD413" s="74"/>
    </row>
    <row r="414" spans="1:39" s="1" customFormat="1" hidden="1" outlineLevel="1" x14ac:dyDescent="0.25">
      <c r="A414" s="2"/>
      <c r="B414" s="51"/>
      <c r="C414" s="51"/>
      <c r="D414" s="51"/>
      <c r="E414" s="51"/>
      <c r="F414" s="51"/>
      <c r="G414" s="51"/>
      <c r="H414" s="51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>
        <f>SUM(G414:U414)</f>
        <v>0</v>
      </c>
      <c r="W414" s="2"/>
      <c r="Y414" s="74"/>
      <c r="AB414" s="74"/>
      <c r="AD414" s="74"/>
    </row>
    <row r="415" spans="1:39" s="1" customFormat="1" hidden="1" outlineLevel="1" x14ac:dyDescent="0.25">
      <c r="A415" s="2"/>
      <c r="B415" s="51"/>
      <c r="C415" s="51"/>
      <c r="D415" s="51"/>
      <c r="E415" s="51"/>
      <c r="F415" s="51"/>
      <c r="G415" s="51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  <c r="S415" s="51"/>
      <c r="T415" s="51"/>
      <c r="U415" s="51"/>
      <c r="V415" s="51">
        <f>SUM(G415:U415)</f>
        <v>0</v>
      </c>
      <c r="W415" s="2"/>
      <c r="Y415" s="74"/>
      <c r="AB415" s="74"/>
      <c r="AD415" s="74"/>
    </row>
    <row r="416" spans="1:39" s="1" customFormat="1" hidden="1" outlineLevel="1" x14ac:dyDescent="0.25">
      <c r="A416" s="2"/>
      <c r="B416" s="51"/>
      <c r="C416" s="51"/>
      <c r="D416" s="51"/>
      <c r="E416" s="51"/>
      <c r="F416" s="51"/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  <c r="S416" s="51"/>
      <c r="T416" s="51"/>
      <c r="U416" s="51"/>
      <c r="V416" s="51">
        <f t="shared" ref="V416:V423" si="54">SUM(G416:U416)</f>
        <v>0</v>
      </c>
      <c r="W416" s="2"/>
      <c r="Y416" s="74"/>
      <c r="AB416" s="74"/>
      <c r="AD416" s="74"/>
    </row>
    <row r="417" spans="1:30" s="1" customFormat="1" hidden="1" outlineLevel="1" x14ac:dyDescent="0.25">
      <c r="A417" s="2"/>
      <c r="B417" s="51"/>
      <c r="C417" s="51"/>
      <c r="D417" s="51"/>
      <c r="E417" s="51"/>
      <c r="F417" s="51"/>
      <c r="G417" s="51"/>
      <c r="H417" s="51"/>
      <c r="I417" s="51"/>
      <c r="J417" s="51"/>
      <c r="K417" s="51"/>
      <c r="L417" s="51"/>
      <c r="M417" s="51"/>
      <c r="N417" s="51"/>
      <c r="O417" s="51"/>
      <c r="P417" s="51"/>
      <c r="Q417" s="51"/>
      <c r="R417" s="51"/>
      <c r="S417" s="51"/>
      <c r="T417" s="51"/>
      <c r="U417" s="51"/>
      <c r="V417" s="51">
        <f t="shared" si="54"/>
        <v>0</v>
      </c>
      <c r="W417" s="2"/>
      <c r="Y417" s="74"/>
      <c r="AB417" s="74"/>
      <c r="AD417" s="74"/>
    </row>
    <row r="418" spans="1:30" s="1" customFormat="1" hidden="1" outlineLevel="1" x14ac:dyDescent="0.25">
      <c r="A418" s="2"/>
      <c r="B418" s="51"/>
      <c r="C418" s="51"/>
      <c r="D418" s="51"/>
      <c r="E418" s="51"/>
      <c r="F418" s="51"/>
      <c r="G418" s="51"/>
      <c r="H418" s="51"/>
      <c r="I418" s="51"/>
      <c r="J418" s="51"/>
      <c r="K418" s="51"/>
      <c r="L418" s="51"/>
      <c r="M418" s="51"/>
      <c r="N418" s="51"/>
      <c r="O418" s="51"/>
      <c r="P418" s="51"/>
      <c r="Q418" s="51"/>
      <c r="R418" s="51"/>
      <c r="S418" s="51"/>
      <c r="T418" s="51"/>
      <c r="U418" s="51"/>
      <c r="V418" s="51">
        <f t="shared" si="54"/>
        <v>0</v>
      </c>
      <c r="W418" s="2"/>
      <c r="Y418" s="74"/>
      <c r="AB418" s="74"/>
      <c r="AD418" s="74"/>
    </row>
    <row r="419" spans="1:30" s="1" customFormat="1" hidden="1" outlineLevel="1" x14ac:dyDescent="0.25">
      <c r="A419" s="2"/>
      <c r="B419" s="51"/>
      <c r="C419" s="51"/>
      <c r="D419" s="51"/>
      <c r="E419" s="51"/>
      <c r="F419" s="51"/>
      <c r="G419" s="51"/>
      <c r="H419" s="51"/>
      <c r="I419" s="51"/>
      <c r="J419" s="51"/>
      <c r="K419" s="51"/>
      <c r="L419" s="51"/>
      <c r="M419" s="51"/>
      <c r="N419" s="51"/>
      <c r="O419" s="51"/>
      <c r="P419" s="51"/>
      <c r="Q419" s="51"/>
      <c r="R419" s="51"/>
      <c r="S419" s="51"/>
      <c r="T419" s="51"/>
      <c r="U419" s="51"/>
      <c r="V419" s="51">
        <f t="shared" si="54"/>
        <v>0</v>
      </c>
      <c r="W419" s="2"/>
      <c r="Y419" s="74"/>
      <c r="AB419" s="74"/>
      <c r="AD419" s="74"/>
    </row>
    <row r="420" spans="1:30" s="1" customFormat="1" hidden="1" outlineLevel="1" x14ac:dyDescent="0.25">
      <c r="A420" s="2"/>
      <c r="B420" s="51"/>
      <c r="C420" s="51"/>
      <c r="D420" s="51"/>
      <c r="E420" s="51"/>
      <c r="F420" s="51"/>
      <c r="G420" s="51"/>
      <c r="H420" s="51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>
        <f t="shared" si="54"/>
        <v>0</v>
      </c>
      <c r="W420" s="2"/>
      <c r="Y420" s="74"/>
      <c r="AB420" s="74"/>
      <c r="AD420" s="74"/>
    </row>
    <row r="421" spans="1:30" s="1" customFormat="1" hidden="1" outlineLevel="1" x14ac:dyDescent="0.25">
      <c r="A421" s="2"/>
      <c r="B421" s="51"/>
      <c r="C421" s="51"/>
      <c r="D421" s="51"/>
      <c r="E421" s="51"/>
      <c r="F421" s="51"/>
      <c r="G421" s="51"/>
      <c r="H421" s="51"/>
      <c r="I421" s="51"/>
      <c r="J421" s="51"/>
      <c r="K421" s="51"/>
      <c r="L421" s="51"/>
      <c r="M421" s="51"/>
      <c r="N421" s="51"/>
      <c r="O421" s="51"/>
      <c r="P421" s="51"/>
      <c r="Q421" s="51"/>
      <c r="R421" s="51"/>
      <c r="S421" s="51"/>
      <c r="T421" s="51"/>
      <c r="U421" s="51"/>
      <c r="V421" s="51">
        <f t="shared" si="54"/>
        <v>0</v>
      </c>
      <c r="W421" s="2"/>
      <c r="Y421" s="74"/>
      <c r="AB421" s="74"/>
      <c r="AD421" s="74"/>
    </row>
    <row r="422" spans="1:30" s="1" customFormat="1" hidden="1" outlineLevel="1" x14ac:dyDescent="0.25">
      <c r="A422" s="2"/>
      <c r="B422" s="51"/>
      <c r="C422" s="51"/>
      <c r="D422" s="51"/>
      <c r="E422" s="51"/>
      <c r="F422" s="51"/>
      <c r="G422" s="51"/>
      <c r="H422" s="51"/>
      <c r="I422" s="51"/>
      <c r="J422" s="51"/>
      <c r="K422" s="51"/>
      <c r="L422" s="51"/>
      <c r="M422" s="51"/>
      <c r="N422" s="51"/>
      <c r="O422" s="51"/>
      <c r="P422" s="51"/>
      <c r="Q422" s="51"/>
      <c r="R422" s="51"/>
      <c r="S422" s="51"/>
      <c r="T422" s="51"/>
      <c r="U422" s="51"/>
      <c r="V422" s="51">
        <f t="shared" si="54"/>
        <v>0</v>
      </c>
      <c r="W422" s="2"/>
      <c r="Y422" s="74"/>
      <c r="AB422" s="74"/>
      <c r="AD422" s="74"/>
    </row>
    <row r="423" spans="1:30" s="1" customFormat="1" hidden="1" outlineLevel="1" x14ac:dyDescent="0.25">
      <c r="A423" s="2"/>
      <c r="B423" s="51"/>
      <c r="C423" s="51"/>
      <c r="D423" s="51"/>
      <c r="E423" s="51"/>
      <c r="F423" s="51"/>
      <c r="G423" s="51"/>
      <c r="H423" s="51"/>
      <c r="I423" s="51"/>
      <c r="J423" s="51"/>
      <c r="K423" s="51"/>
      <c r="L423" s="51"/>
      <c r="M423" s="51"/>
      <c r="N423" s="51"/>
      <c r="O423" s="51"/>
      <c r="P423" s="51"/>
      <c r="Q423" s="51"/>
      <c r="R423" s="51"/>
      <c r="S423" s="51"/>
      <c r="T423" s="51"/>
      <c r="U423" s="51"/>
      <c r="V423" s="51">
        <f t="shared" si="54"/>
        <v>0</v>
      </c>
      <c r="W423" s="2"/>
      <c r="Y423" s="74"/>
      <c r="AB423" s="74"/>
      <c r="AD423" s="74"/>
    </row>
    <row r="424" spans="1:30" s="1" customFormat="1" hidden="1" outlineLevel="1" x14ac:dyDescent="0.25">
      <c r="A424" s="2"/>
      <c r="B424" s="185" t="s">
        <v>29</v>
      </c>
      <c r="C424" s="185"/>
      <c r="D424" s="185"/>
      <c r="E424" s="185"/>
      <c r="F424" s="185"/>
      <c r="G424" s="185"/>
      <c r="H424" s="185"/>
      <c r="I424" s="185"/>
      <c r="J424" s="185"/>
      <c r="K424" s="185"/>
      <c r="L424" s="185"/>
      <c r="M424" s="185"/>
      <c r="N424" s="185"/>
      <c r="O424" s="185"/>
      <c r="P424" s="185"/>
      <c r="Q424" s="185"/>
      <c r="R424" s="185"/>
      <c r="S424" s="185"/>
      <c r="T424" s="185"/>
      <c r="U424" s="185"/>
      <c r="V424" s="104"/>
      <c r="W424" s="2"/>
      <c r="Y424" s="74"/>
      <c r="AB424" s="74"/>
      <c r="AD424" s="74"/>
    </row>
    <row r="425" spans="1:30" s="1" customFormat="1" hidden="1" outlineLevel="1" x14ac:dyDescent="0.25">
      <c r="A425" s="2"/>
      <c r="B425" s="82"/>
      <c r="C425" s="51"/>
      <c r="D425" s="51"/>
      <c r="E425" s="51"/>
      <c r="F425" s="51"/>
      <c r="G425" s="20"/>
      <c r="H425" s="21"/>
      <c r="I425" s="21"/>
      <c r="J425" s="102"/>
      <c r="K425" s="51"/>
      <c r="L425" s="32"/>
      <c r="M425" s="22"/>
      <c r="N425" s="51"/>
      <c r="O425" s="81"/>
      <c r="P425" s="22"/>
      <c r="Q425" s="51"/>
      <c r="R425" s="51"/>
      <c r="S425" s="51"/>
      <c r="T425" s="51"/>
      <c r="U425" s="51"/>
      <c r="V425" s="51">
        <f t="shared" ref="V425:V441" si="55">SUM(G425:U425)</f>
        <v>0</v>
      </c>
      <c r="W425" s="2"/>
      <c r="Y425" s="74"/>
      <c r="AB425" s="74"/>
      <c r="AD425" s="74"/>
    </row>
    <row r="426" spans="1:30" s="1" customFormat="1" hidden="1" outlineLevel="1" x14ac:dyDescent="0.25">
      <c r="A426" s="2"/>
      <c r="B426" s="82"/>
      <c r="C426" s="51"/>
      <c r="D426" s="51"/>
      <c r="E426" s="51"/>
      <c r="F426" s="51"/>
      <c r="G426" s="20"/>
      <c r="H426" s="21"/>
      <c r="I426" s="21"/>
      <c r="J426" s="102"/>
      <c r="K426" s="51"/>
      <c r="L426" s="32"/>
      <c r="M426" s="22"/>
      <c r="N426" s="51"/>
      <c r="O426" s="81"/>
      <c r="P426" s="22"/>
      <c r="Q426" s="51"/>
      <c r="R426" s="51"/>
      <c r="S426" s="51"/>
      <c r="T426" s="51"/>
      <c r="U426" s="51"/>
      <c r="V426" s="51">
        <f t="shared" si="55"/>
        <v>0</v>
      </c>
      <c r="W426" s="2"/>
      <c r="Y426" s="74"/>
      <c r="AB426" s="74"/>
      <c r="AD426" s="74"/>
    </row>
    <row r="427" spans="1:30" s="1" customFormat="1" hidden="1" outlineLevel="1" x14ac:dyDescent="0.25">
      <c r="A427" s="2"/>
      <c r="B427" s="82"/>
      <c r="C427" s="51"/>
      <c r="D427" s="51"/>
      <c r="E427" s="51"/>
      <c r="F427" s="51"/>
      <c r="G427" s="20"/>
      <c r="H427" s="21"/>
      <c r="I427" s="21"/>
      <c r="J427" s="102"/>
      <c r="K427" s="51"/>
      <c r="L427" s="32"/>
      <c r="M427" s="22"/>
      <c r="N427" s="51"/>
      <c r="O427" s="81"/>
      <c r="P427" s="22"/>
      <c r="Q427" s="51"/>
      <c r="R427" s="51"/>
      <c r="S427" s="51"/>
      <c r="T427" s="51"/>
      <c r="U427" s="51"/>
      <c r="V427" s="51">
        <f t="shared" si="55"/>
        <v>0</v>
      </c>
      <c r="W427" s="2"/>
      <c r="Y427" s="74"/>
      <c r="AB427" s="74"/>
      <c r="AD427" s="74"/>
    </row>
    <row r="428" spans="1:30" s="1" customFormat="1" hidden="1" outlineLevel="1" x14ac:dyDescent="0.25">
      <c r="A428" s="2"/>
      <c r="B428" s="82"/>
      <c r="C428" s="51"/>
      <c r="D428" s="51"/>
      <c r="E428" s="51"/>
      <c r="F428" s="51"/>
      <c r="G428" s="20"/>
      <c r="H428" s="21"/>
      <c r="I428" s="21"/>
      <c r="J428" s="102"/>
      <c r="K428" s="51"/>
      <c r="L428" s="32"/>
      <c r="M428" s="22"/>
      <c r="N428" s="51"/>
      <c r="O428" s="81"/>
      <c r="P428" s="22"/>
      <c r="Q428" s="51"/>
      <c r="R428" s="51"/>
      <c r="S428" s="51"/>
      <c r="T428" s="51"/>
      <c r="U428" s="51"/>
      <c r="V428" s="51">
        <f t="shared" si="55"/>
        <v>0</v>
      </c>
      <c r="W428" s="2"/>
      <c r="Y428" s="74"/>
      <c r="AB428" s="74"/>
      <c r="AD428" s="74"/>
    </row>
    <row r="429" spans="1:30" s="1" customFormat="1" hidden="1" outlineLevel="1" x14ac:dyDescent="0.25">
      <c r="A429" s="2"/>
      <c r="B429" s="51"/>
      <c r="C429" s="51"/>
      <c r="D429" s="51"/>
      <c r="E429" s="51"/>
      <c r="F429" s="51"/>
      <c r="G429" s="51"/>
      <c r="H429" s="80"/>
      <c r="I429" s="51"/>
      <c r="J429" s="51"/>
      <c r="K429" s="51"/>
      <c r="L429" s="51"/>
      <c r="M429" s="51"/>
      <c r="N429" s="81"/>
      <c r="O429" s="51"/>
      <c r="P429" s="51"/>
      <c r="Q429" s="51"/>
      <c r="R429" s="51"/>
      <c r="S429" s="51"/>
      <c r="T429" s="51"/>
      <c r="U429" s="51"/>
      <c r="V429" s="51">
        <f t="shared" si="55"/>
        <v>0</v>
      </c>
      <c r="W429" s="2"/>
      <c r="Y429" s="74"/>
      <c r="AB429" s="74"/>
      <c r="AD429" s="74"/>
    </row>
    <row r="430" spans="1:30" s="1" customFormat="1" hidden="1" outlineLevel="1" x14ac:dyDescent="0.25">
      <c r="A430" s="2"/>
      <c r="B430" s="51"/>
      <c r="C430" s="51"/>
      <c r="D430" s="51"/>
      <c r="E430" s="51"/>
      <c r="F430" s="51"/>
      <c r="G430" s="51"/>
      <c r="H430" s="80"/>
      <c r="I430" s="51"/>
      <c r="J430" s="51"/>
      <c r="K430" s="51"/>
      <c r="L430" s="51"/>
      <c r="M430" s="51"/>
      <c r="N430" s="81"/>
      <c r="O430" s="51"/>
      <c r="P430" s="51"/>
      <c r="Q430" s="51"/>
      <c r="R430" s="51"/>
      <c r="S430" s="51"/>
      <c r="T430" s="51"/>
      <c r="U430" s="51"/>
      <c r="V430" s="51">
        <f t="shared" si="55"/>
        <v>0</v>
      </c>
      <c r="W430" s="2"/>
      <c r="Y430" s="74"/>
      <c r="AB430" s="74"/>
      <c r="AD430" s="74"/>
    </row>
    <row r="431" spans="1:30" s="1" customFormat="1" hidden="1" outlineLevel="1" x14ac:dyDescent="0.25">
      <c r="A431" s="2"/>
      <c r="B431" s="51"/>
      <c r="C431" s="51"/>
      <c r="D431" s="51"/>
      <c r="E431" s="51"/>
      <c r="F431" s="51"/>
      <c r="G431" s="51"/>
      <c r="H431" s="80"/>
      <c r="I431" s="51"/>
      <c r="J431" s="51"/>
      <c r="K431" s="51"/>
      <c r="L431" s="51"/>
      <c r="M431" s="51"/>
      <c r="N431" s="81"/>
      <c r="O431" s="51"/>
      <c r="P431" s="51"/>
      <c r="Q431" s="51"/>
      <c r="R431" s="51"/>
      <c r="S431" s="81"/>
      <c r="T431" s="51"/>
      <c r="U431" s="51"/>
      <c r="V431" s="51">
        <f t="shared" si="55"/>
        <v>0</v>
      </c>
      <c r="W431" s="2"/>
      <c r="Y431" s="74"/>
      <c r="AB431" s="74"/>
      <c r="AD431" s="74"/>
    </row>
    <row r="432" spans="1:30" s="1" customFormat="1" hidden="1" outlineLevel="1" x14ac:dyDescent="0.25">
      <c r="A432" s="2"/>
      <c r="B432" s="51"/>
      <c r="C432" s="51"/>
      <c r="D432" s="51"/>
      <c r="E432" s="51"/>
      <c r="F432" s="51"/>
      <c r="G432" s="51"/>
      <c r="H432" s="80"/>
      <c r="I432" s="51"/>
      <c r="J432" s="51"/>
      <c r="K432" s="51"/>
      <c r="L432" s="51"/>
      <c r="M432" s="51"/>
      <c r="N432" s="81"/>
      <c r="O432" s="51"/>
      <c r="P432" s="51"/>
      <c r="Q432" s="51"/>
      <c r="R432" s="51"/>
      <c r="S432" s="81"/>
      <c r="T432" s="51"/>
      <c r="U432" s="51"/>
      <c r="V432" s="51">
        <f t="shared" si="55"/>
        <v>0</v>
      </c>
      <c r="W432" s="2"/>
      <c r="Y432" s="74"/>
      <c r="AB432" s="74"/>
      <c r="AD432" s="74"/>
    </row>
    <row r="433" spans="1:39" s="1" customFormat="1" hidden="1" outlineLevel="1" x14ac:dyDescent="0.25">
      <c r="A433" s="2"/>
      <c r="B433" s="51"/>
      <c r="C433" s="51"/>
      <c r="D433" s="51"/>
      <c r="E433" s="51"/>
      <c r="F433" s="51"/>
      <c r="G433" s="51"/>
      <c r="H433" s="80"/>
      <c r="I433" s="51"/>
      <c r="J433" s="51"/>
      <c r="K433" s="51"/>
      <c r="L433" s="51"/>
      <c r="M433" s="51"/>
      <c r="N433" s="81"/>
      <c r="O433" s="51"/>
      <c r="P433" s="51"/>
      <c r="Q433" s="51"/>
      <c r="R433" s="51"/>
      <c r="S433" s="81"/>
      <c r="T433" s="51"/>
      <c r="U433" s="51"/>
      <c r="V433" s="51">
        <f t="shared" si="55"/>
        <v>0</v>
      </c>
      <c r="W433" s="2"/>
      <c r="Y433" s="74"/>
      <c r="AB433" s="74"/>
      <c r="AD433" s="74"/>
    </row>
    <row r="434" spans="1:39" s="1" customFormat="1" hidden="1" outlineLevel="1" x14ac:dyDescent="0.25">
      <c r="A434" s="2"/>
      <c r="B434" s="51"/>
      <c r="C434" s="51"/>
      <c r="D434" s="51"/>
      <c r="E434" s="51"/>
      <c r="F434" s="51"/>
      <c r="G434" s="51"/>
      <c r="H434" s="80"/>
      <c r="I434" s="51"/>
      <c r="J434" s="51"/>
      <c r="K434" s="51"/>
      <c r="L434" s="51"/>
      <c r="M434" s="51"/>
      <c r="N434" s="81"/>
      <c r="O434" s="51"/>
      <c r="P434" s="51"/>
      <c r="Q434" s="51"/>
      <c r="R434" s="51"/>
      <c r="S434" s="81"/>
      <c r="T434" s="51"/>
      <c r="U434" s="51"/>
      <c r="V434" s="51">
        <f t="shared" si="55"/>
        <v>0</v>
      </c>
      <c r="W434" s="2"/>
      <c r="Y434" s="74"/>
      <c r="AB434" s="74"/>
      <c r="AD434" s="74"/>
    </row>
    <row r="435" spans="1:39" s="1" customFormat="1" hidden="1" outlineLevel="1" x14ac:dyDescent="0.25">
      <c r="A435" s="2"/>
      <c r="B435" s="51"/>
      <c r="C435" s="51"/>
      <c r="D435" s="51"/>
      <c r="E435" s="51"/>
      <c r="F435" s="51"/>
      <c r="G435" s="51"/>
      <c r="H435" s="80"/>
      <c r="I435" s="51"/>
      <c r="J435" s="51"/>
      <c r="K435" s="51"/>
      <c r="L435" s="51"/>
      <c r="M435" s="51"/>
      <c r="N435" s="81"/>
      <c r="O435" s="51"/>
      <c r="P435" s="51"/>
      <c r="Q435" s="51"/>
      <c r="R435" s="51"/>
      <c r="S435" s="81"/>
      <c r="T435" s="51"/>
      <c r="U435" s="51"/>
      <c r="V435" s="51">
        <f t="shared" si="55"/>
        <v>0</v>
      </c>
      <c r="W435" s="2"/>
      <c r="Y435" s="74"/>
      <c r="AB435" s="74"/>
      <c r="AD435" s="74"/>
    </row>
    <row r="436" spans="1:39" s="1" customFormat="1" hidden="1" outlineLevel="1" x14ac:dyDescent="0.25">
      <c r="A436" s="2"/>
      <c r="B436" s="51"/>
      <c r="C436" s="51"/>
      <c r="D436" s="51"/>
      <c r="E436" s="51"/>
      <c r="F436" s="51"/>
      <c r="G436" s="51"/>
      <c r="H436" s="80"/>
      <c r="I436" s="51"/>
      <c r="J436" s="51"/>
      <c r="K436" s="51"/>
      <c r="L436" s="51"/>
      <c r="M436" s="51"/>
      <c r="N436" s="81"/>
      <c r="O436" s="51"/>
      <c r="P436" s="51"/>
      <c r="Q436" s="51"/>
      <c r="R436" s="51"/>
      <c r="S436" s="81"/>
      <c r="T436" s="51"/>
      <c r="U436" s="51"/>
      <c r="V436" s="51">
        <f t="shared" si="55"/>
        <v>0</v>
      </c>
      <c r="W436" s="2"/>
      <c r="Y436" s="74"/>
      <c r="AB436" s="74"/>
      <c r="AD436" s="74"/>
    </row>
    <row r="437" spans="1:39" s="1" customFormat="1" hidden="1" outlineLevel="1" x14ac:dyDescent="0.25">
      <c r="A437" s="2"/>
      <c r="B437" s="51"/>
      <c r="C437" s="51"/>
      <c r="D437" s="51"/>
      <c r="E437" s="51"/>
      <c r="F437" s="51"/>
      <c r="G437" s="51"/>
      <c r="H437" s="80"/>
      <c r="I437" s="51"/>
      <c r="J437" s="51"/>
      <c r="K437" s="51"/>
      <c r="L437" s="51"/>
      <c r="M437" s="51"/>
      <c r="N437" s="81"/>
      <c r="O437" s="51"/>
      <c r="P437" s="51"/>
      <c r="Q437" s="51"/>
      <c r="R437" s="51"/>
      <c r="S437" s="81"/>
      <c r="T437" s="51"/>
      <c r="U437" s="51"/>
      <c r="V437" s="51">
        <f t="shared" si="55"/>
        <v>0</v>
      </c>
      <c r="W437" s="2"/>
      <c r="Y437" s="74"/>
      <c r="AB437" s="74"/>
      <c r="AD437" s="74"/>
    </row>
    <row r="438" spans="1:39" s="1" customFormat="1" hidden="1" outlineLevel="1" x14ac:dyDescent="0.25">
      <c r="A438" s="2"/>
      <c r="B438" s="51"/>
      <c r="C438" s="51"/>
      <c r="D438" s="51"/>
      <c r="E438" s="51"/>
      <c r="F438" s="51"/>
      <c r="G438" s="51"/>
      <c r="H438" s="80"/>
      <c r="I438" s="51"/>
      <c r="J438" s="51"/>
      <c r="K438" s="51"/>
      <c r="L438" s="51"/>
      <c r="M438" s="51"/>
      <c r="N438" s="81"/>
      <c r="O438" s="51"/>
      <c r="P438" s="51"/>
      <c r="Q438" s="51"/>
      <c r="R438" s="51"/>
      <c r="S438" s="81"/>
      <c r="T438" s="51"/>
      <c r="U438" s="51"/>
      <c r="V438" s="51">
        <f t="shared" si="55"/>
        <v>0</v>
      </c>
      <c r="W438" s="2"/>
      <c r="Y438" s="74"/>
      <c r="AB438" s="74"/>
      <c r="AD438" s="74"/>
    </row>
    <row r="439" spans="1:39" s="1" customFormat="1" hidden="1" outlineLevel="1" x14ac:dyDescent="0.25">
      <c r="A439" s="2"/>
      <c r="B439" s="51"/>
      <c r="C439" s="51"/>
      <c r="D439" s="51"/>
      <c r="E439" s="51"/>
      <c r="F439" s="51"/>
      <c r="G439" s="51"/>
      <c r="H439" s="80"/>
      <c r="I439" s="51"/>
      <c r="J439" s="51"/>
      <c r="K439" s="51"/>
      <c r="L439" s="51"/>
      <c r="M439" s="51"/>
      <c r="N439" s="81"/>
      <c r="O439" s="51"/>
      <c r="P439" s="51"/>
      <c r="Q439" s="51"/>
      <c r="R439" s="51"/>
      <c r="S439" s="81"/>
      <c r="T439" s="51"/>
      <c r="U439" s="51"/>
      <c r="V439" s="51">
        <f t="shared" si="55"/>
        <v>0</v>
      </c>
      <c r="W439" s="2"/>
      <c r="Y439" s="74"/>
      <c r="AB439" s="74"/>
      <c r="AD439" s="74"/>
    </row>
    <row r="440" spans="1:39" s="1" customFormat="1" hidden="1" outlineLevel="1" x14ac:dyDescent="0.25">
      <c r="A440" s="2"/>
      <c r="B440" s="51"/>
      <c r="C440" s="51"/>
      <c r="D440" s="51"/>
      <c r="E440" s="51"/>
      <c r="F440" s="51"/>
      <c r="G440" s="51"/>
      <c r="H440" s="80"/>
      <c r="I440" s="51"/>
      <c r="J440" s="51"/>
      <c r="K440" s="51"/>
      <c r="L440" s="51"/>
      <c r="M440" s="51"/>
      <c r="N440" s="81"/>
      <c r="O440" s="51"/>
      <c r="P440" s="51"/>
      <c r="Q440" s="51"/>
      <c r="R440" s="51"/>
      <c r="S440" s="81"/>
      <c r="T440" s="51"/>
      <c r="U440" s="51"/>
      <c r="V440" s="51">
        <f t="shared" si="55"/>
        <v>0</v>
      </c>
      <c r="W440" s="2"/>
      <c r="Y440" s="74"/>
      <c r="AB440" s="74"/>
      <c r="AD440" s="74"/>
    </row>
    <row r="441" spans="1:39" s="1" customFormat="1" hidden="1" outlineLevel="1" x14ac:dyDescent="0.25">
      <c r="A441" s="2"/>
      <c r="B441" s="51"/>
      <c r="C441" s="51"/>
      <c r="D441" s="51"/>
      <c r="E441" s="51"/>
      <c r="F441" s="51"/>
      <c r="G441" s="51"/>
      <c r="H441" s="80"/>
      <c r="I441" s="51"/>
      <c r="J441" s="51"/>
      <c r="K441" s="51"/>
      <c r="L441" s="51"/>
      <c r="M441" s="51"/>
      <c r="N441" s="81"/>
      <c r="O441" s="51"/>
      <c r="P441" s="51"/>
      <c r="Q441" s="51"/>
      <c r="R441" s="51"/>
      <c r="S441" s="81"/>
      <c r="T441" s="51"/>
      <c r="U441" s="51"/>
      <c r="V441" s="51">
        <f t="shared" si="55"/>
        <v>0</v>
      </c>
      <c r="W441" s="2"/>
      <c r="Y441" s="74"/>
      <c r="AB441" s="74"/>
      <c r="AD441" s="74"/>
    </row>
    <row r="442" spans="1:39" ht="15.75" hidden="1" customHeight="1" outlineLevel="1" thickBot="1" x14ac:dyDescent="0.3">
      <c r="A442" s="2"/>
      <c r="B442" s="75"/>
      <c r="C442" s="75"/>
      <c r="D442" s="76"/>
      <c r="E442" s="76"/>
      <c r="F442" s="76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2"/>
      <c r="R442" s="77"/>
      <c r="S442" s="77"/>
      <c r="T442" s="77"/>
      <c r="U442" s="2"/>
      <c r="V442" s="77"/>
      <c r="W442" s="78"/>
      <c r="Y442" s="74"/>
      <c r="Z442" s="6"/>
      <c r="AA442" s="13"/>
      <c r="AB442" s="74"/>
      <c r="AC442" s="6"/>
      <c r="AD442" s="74"/>
      <c r="AE442" s="6"/>
      <c r="AF442" s="6"/>
      <c r="AG442" s="6"/>
      <c r="AH442" s="6"/>
      <c r="AI442" s="6"/>
      <c r="AM442" s="14"/>
    </row>
    <row r="443" spans="1:39" s="1" customFormat="1" ht="12.75" customHeight="1" x14ac:dyDescent="0.25">
      <c r="A443" s="145">
        <v>29</v>
      </c>
      <c r="B443" s="147" t="s">
        <v>219</v>
      </c>
      <c r="C443" s="147" t="s">
        <v>32</v>
      </c>
      <c r="D443" s="156" t="s">
        <v>34</v>
      </c>
      <c r="E443" s="90"/>
      <c r="F443" s="92"/>
      <c r="G443" s="72">
        <f t="shared" ref="G443:U443" si="56">SUM(G445:G454)</f>
        <v>0</v>
      </c>
      <c r="H443" s="72">
        <f t="shared" si="56"/>
        <v>0</v>
      </c>
      <c r="I443" s="72">
        <f t="shared" si="56"/>
        <v>0</v>
      </c>
      <c r="J443" s="72">
        <f t="shared" si="56"/>
        <v>0</v>
      </c>
      <c r="K443" s="72">
        <f t="shared" si="56"/>
        <v>0</v>
      </c>
      <c r="L443" s="72">
        <f t="shared" si="56"/>
        <v>0</v>
      </c>
      <c r="M443" s="72">
        <f t="shared" si="56"/>
        <v>0</v>
      </c>
      <c r="N443" s="72">
        <f t="shared" si="56"/>
        <v>0</v>
      </c>
      <c r="O443" s="72">
        <f t="shared" si="56"/>
        <v>0</v>
      </c>
      <c r="P443" s="72">
        <f t="shared" si="56"/>
        <v>0</v>
      </c>
      <c r="Q443" s="72">
        <f t="shared" si="56"/>
        <v>0</v>
      </c>
      <c r="R443" s="72">
        <f t="shared" si="56"/>
        <v>0</v>
      </c>
      <c r="S443" s="72">
        <f t="shared" si="56"/>
        <v>0</v>
      </c>
      <c r="T443" s="72">
        <f t="shared" si="56"/>
        <v>0</v>
      </c>
      <c r="U443" s="72">
        <f t="shared" si="56"/>
        <v>0</v>
      </c>
      <c r="V443" s="72">
        <f>SUM(V445:V454)</f>
        <v>0</v>
      </c>
      <c r="W443" s="168">
        <f>V443+V444</f>
        <v>0</v>
      </c>
      <c r="Y443" s="74"/>
      <c r="AB443" s="74"/>
      <c r="AD443" s="74"/>
    </row>
    <row r="444" spans="1:39" s="1" customFormat="1" ht="13.8" collapsed="1" thickBot="1" x14ac:dyDescent="0.3">
      <c r="A444" s="146"/>
      <c r="B444" s="148"/>
      <c r="C444" s="148"/>
      <c r="D444" s="157"/>
      <c r="E444" s="91"/>
      <c r="F444" s="93"/>
      <c r="G444" s="73">
        <f>SUM(G456:G473)</f>
        <v>0</v>
      </c>
      <c r="H444" s="79">
        <f>SUM(H456:H473)</f>
        <v>0</v>
      </c>
      <c r="I444" s="79">
        <f>SUM(I456:I473)</f>
        <v>0</v>
      </c>
      <c r="J444" s="73">
        <f t="shared" ref="J444:Q444" si="57">SUM(J456:J473)</f>
        <v>0</v>
      </c>
      <c r="K444" s="73">
        <f t="shared" si="57"/>
        <v>0</v>
      </c>
      <c r="L444" s="73">
        <f t="shared" si="57"/>
        <v>0</v>
      </c>
      <c r="M444" s="73">
        <f t="shared" si="57"/>
        <v>0</v>
      </c>
      <c r="N444" s="73">
        <f t="shared" si="57"/>
        <v>0</v>
      </c>
      <c r="O444" s="73">
        <f t="shared" si="57"/>
        <v>0</v>
      </c>
      <c r="P444" s="73">
        <f t="shared" si="57"/>
        <v>0</v>
      </c>
      <c r="Q444" s="73">
        <f t="shared" si="57"/>
        <v>0</v>
      </c>
      <c r="R444" s="73">
        <f>SUM(R456:R473)</f>
        <v>0</v>
      </c>
      <c r="S444" s="73">
        <f>SUM(S456:S473)</f>
        <v>0</v>
      </c>
      <c r="T444" s="73">
        <f>SUM(T456:T473)</f>
        <v>0</v>
      </c>
      <c r="U444" s="73">
        <f>SUM(U456:U473)</f>
        <v>0</v>
      </c>
      <c r="V444" s="73">
        <f>SUM(V456:V473)</f>
        <v>0</v>
      </c>
      <c r="W444" s="169"/>
      <c r="Y444" s="74"/>
      <c r="Z444" s="74"/>
      <c r="AB444" s="74"/>
      <c r="AD444" s="74"/>
    </row>
    <row r="445" spans="1:39" s="1" customFormat="1" hidden="1" outlineLevel="1" x14ac:dyDescent="0.25">
      <c r="A445" s="34"/>
      <c r="B445" s="42"/>
      <c r="C445" s="34"/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51">
        <f>SUM(G445:U445)</f>
        <v>0</v>
      </c>
      <c r="W445" s="2"/>
      <c r="Y445" s="74"/>
      <c r="AB445" s="74"/>
      <c r="AD445" s="74"/>
    </row>
    <row r="446" spans="1:39" s="1" customFormat="1" hidden="1" outlineLevel="1" x14ac:dyDescent="0.25">
      <c r="A446" s="34"/>
      <c r="B446" s="42"/>
      <c r="C446" s="34"/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51">
        <f>SUM(G446:U446)</f>
        <v>0</v>
      </c>
      <c r="W446" s="2"/>
      <c r="Y446" s="74"/>
      <c r="AB446" s="74"/>
      <c r="AD446" s="74"/>
    </row>
    <row r="447" spans="1:39" s="1" customFormat="1" hidden="1" outlineLevel="1" x14ac:dyDescent="0.25">
      <c r="A447" s="2"/>
      <c r="B447" s="82"/>
      <c r="C447" s="51"/>
      <c r="D447" s="51"/>
      <c r="E447" s="51"/>
      <c r="F447" s="51"/>
      <c r="G447" s="51"/>
      <c r="H447" s="51"/>
      <c r="I447" s="51"/>
      <c r="J447" s="51"/>
      <c r="K447" s="51"/>
      <c r="L447" s="51"/>
      <c r="M447" s="51"/>
      <c r="N447" s="51"/>
      <c r="O447" s="51"/>
      <c r="P447" s="51"/>
      <c r="Q447" s="51"/>
      <c r="R447" s="51"/>
      <c r="S447" s="51"/>
      <c r="T447" s="51"/>
      <c r="U447" s="51"/>
      <c r="V447" s="51">
        <f t="shared" ref="V447:V454" si="58">SUM(G447:U447)</f>
        <v>0</v>
      </c>
      <c r="W447" s="2"/>
      <c r="Y447" s="74"/>
      <c r="AB447" s="74"/>
      <c r="AD447" s="74"/>
    </row>
    <row r="448" spans="1:39" s="1" customFormat="1" hidden="1" outlineLevel="1" x14ac:dyDescent="0.25">
      <c r="A448" s="2"/>
      <c r="B448" s="82"/>
      <c r="C448" s="51"/>
      <c r="D448" s="51"/>
      <c r="E448" s="51"/>
      <c r="F448" s="51"/>
      <c r="G448" s="51"/>
      <c r="H448" s="51"/>
      <c r="I448" s="51"/>
      <c r="J448" s="51"/>
      <c r="K448" s="51"/>
      <c r="L448" s="51"/>
      <c r="M448" s="51"/>
      <c r="N448" s="51"/>
      <c r="O448" s="51"/>
      <c r="P448" s="51"/>
      <c r="Q448" s="51"/>
      <c r="R448" s="51"/>
      <c r="S448" s="51"/>
      <c r="T448" s="51"/>
      <c r="U448" s="51"/>
      <c r="V448" s="51">
        <f t="shared" si="58"/>
        <v>0</v>
      </c>
      <c r="W448" s="2"/>
      <c r="Y448" s="74"/>
      <c r="AB448" s="74"/>
      <c r="AD448" s="74"/>
    </row>
    <row r="449" spans="1:30" s="1" customFormat="1" hidden="1" outlineLevel="1" x14ac:dyDescent="0.25">
      <c r="A449" s="2"/>
      <c r="B449" s="82"/>
      <c r="C449" s="51"/>
      <c r="D449" s="51"/>
      <c r="E449" s="51"/>
      <c r="F449" s="51"/>
      <c r="G449" s="51"/>
      <c r="H449" s="51"/>
      <c r="I449" s="51"/>
      <c r="J449" s="51"/>
      <c r="K449" s="51"/>
      <c r="L449" s="51"/>
      <c r="M449" s="51"/>
      <c r="N449" s="51"/>
      <c r="O449" s="51"/>
      <c r="P449" s="51"/>
      <c r="Q449" s="51"/>
      <c r="R449" s="51"/>
      <c r="S449" s="51"/>
      <c r="T449" s="51"/>
      <c r="U449" s="51"/>
      <c r="V449" s="51">
        <f t="shared" si="58"/>
        <v>0</v>
      </c>
      <c r="W449" s="2"/>
      <c r="Y449" s="74"/>
      <c r="AB449" s="74"/>
      <c r="AD449" s="74"/>
    </row>
    <row r="450" spans="1:30" s="1" customFormat="1" hidden="1" outlineLevel="1" x14ac:dyDescent="0.25">
      <c r="A450" s="2"/>
      <c r="B450" s="82"/>
      <c r="C450" s="51"/>
      <c r="D450" s="51"/>
      <c r="E450" s="51"/>
      <c r="F450" s="51"/>
      <c r="G450" s="51"/>
      <c r="H450" s="51"/>
      <c r="I450" s="51"/>
      <c r="J450" s="51"/>
      <c r="K450" s="51"/>
      <c r="L450" s="51"/>
      <c r="M450" s="51"/>
      <c r="N450" s="51"/>
      <c r="O450" s="51"/>
      <c r="P450" s="51"/>
      <c r="Q450" s="51"/>
      <c r="R450" s="51"/>
      <c r="S450" s="51"/>
      <c r="T450" s="51"/>
      <c r="U450" s="51"/>
      <c r="V450" s="51">
        <f t="shared" si="58"/>
        <v>0</v>
      </c>
      <c r="W450" s="2"/>
      <c r="Y450" s="74"/>
      <c r="AB450" s="74"/>
      <c r="AD450" s="74"/>
    </row>
    <row r="451" spans="1:30" s="1" customFormat="1" hidden="1" outlineLevel="1" x14ac:dyDescent="0.25">
      <c r="A451" s="2"/>
      <c r="B451" s="82"/>
      <c r="C451" s="51"/>
      <c r="D451" s="51"/>
      <c r="E451" s="51"/>
      <c r="F451" s="51"/>
      <c r="G451" s="51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  <c r="S451" s="51"/>
      <c r="T451" s="51"/>
      <c r="U451" s="51"/>
      <c r="V451" s="51">
        <f t="shared" si="58"/>
        <v>0</v>
      </c>
      <c r="W451" s="2"/>
      <c r="Y451" s="74"/>
      <c r="AB451" s="74"/>
      <c r="AD451" s="74"/>
    </row>
    <row r="452" spans="1:30" s="1" customFormat="1" hidden="1" outlineLevel="1" x14ac:dyDescent="0.25">
      <c r="A452" s="2"/>
      <c r="B452" s="82"/>
      <c r="C452" s="51"/>
      <c r="D452" s="51"/>
      <c r="E452" s="51"/>
      <c r="F452" s="51"/>
      <c r="G452" s="51"/>
      <c r="H452" s="51"/>
      <c r="I452" s="51"/>
      <c r="J452" s="51"/>
      <c r="K452" s="51"/>
      <c r="L452" s="51"/>
      <c r="M452" s="51"/>
      <c r="N452" s="51"/>
      <c r="O452" s="51"/>
      <c r="P452" s="51"/>
      <c r="Q452" s="51"/>
      <c r="R452" s="51"/>
      <c r="S452" s="51"/>
      <c r="T452" s="51"/>
      <c r="U452" s="51"/>
      <c r="V452" s="51">
        <f t="shared" si="58"/>
        <v>0</v>
      </c>
      <c r="W452" s="2"/>
      <c r="Y452" s="74"/>
      <c r="AB452" s="74"/>
      <c r="AD452" s="74"/>
    </row>
    <row r="453" spans="1:30" s="1" customFormat="1" hidden="1" outlineLevel="1" x14ac:dyDescent="0.25">
      <c r="A453" s="2"/>
      <c r="B453" s="82"/>
      <c r="C453" s="51"/>
      <c r="D453" s="51"/>
      <c r="E453" s="51"/>
      <c r="F453" s="51"/>
      <c r="G453" s="51"/>
      <c r="H453" s="51"/>
      <c r="I453" s="51"/>
      <c r="J453" s="51"/>
      <c r="K453" s="51"/>
      <c r="L453" s="51"/>
      <c r="M453" s="51"/>
      <c r="N453" s="51"/>
      <c r="O453" s="51"/>
      <c r="P453" s="51"/>
      <c r="Q453" s="51"/>
      <c r="R453" s="51"/>
      <c r="S453" s="51"/>
      <c r="T453" s="51"/>
      <c r="U453" s="51"/>
      <c r="V453" s="51">
        <f t="shared" si="58"/>
        <v>0</v>
      </c>
      <c r="W453" s="2"/>
      <c r="Y453" s="74"/>
      <c r="AB453" s="74"/>
      <c r="AD453" s="74"/>
    </row>
    <row r="454" spans="1:30" s="1" customFormat="1" hidden="1" outlineLevel="1" x14ac:dyDescent="0.25">
      <c r="A454" s="2"/>
      <c r="B454" s="82"/>
      <c r="C454" s="51"/>
      <c r="D454" s="51"/>
      <c r="E454" s="51"/>
      <c r="F454" s="51"/>
      <c r="G454" s="51"/>
      <c r="H454" s="51"/>
      <c r="I454" s="51"/>
      <c r="J454" s="51"/>
      <c r="K454" s="51"/>
      <c r="L454" s="51"/>
      <c r="M454" s="51"/>
      <c r="N454" s="51"/>
      <c r="O454" s="51"/>
      <c r="P454" s="51"/>
      <c r="Q454" s="51"/>
      <c r="R454" s="51"/>
      <c r="S454" s="51"/>
      <c r="T454" s="51"/>
      <c r="U454" s="51"/>
      <c r="V454" s="51">
        <f t="shared" si="58"/>
        <v>0</v>
      </c>
      <c r="W454" s="2"/>
      <c r="Y454" s="74"/>
      <c r="AB454" s="74"/>
      <c r="AD454" s="74"/>
    </row>
    <row r="455" spans="1:30" s="1" customFormat="1" hidden="1" outlineLevel="1" x14ac:dyDescent="0.25">
      <c r="A455" s="2"/>
      <c r="B455" s="185" t="s">
        <v>29</v>
      </c>
      <c r="C455" s="185"/>
      <c r="D455" s="185"/>
      <c r="E455" s="185"/>
      <c r="F455" s="185"/>
      <c r="G455" s="185"/>
      <c r="H455" s="185"/>
      <c r="I455" s="185"/>
      <c r="J455" s="185"/>
      <c r="K455" s="185"/>
      <c r="L455" s="185"/>
      <c r="M455" s="185"/>
      <c r="N455" s="185"/>
      <c r="O455" s="185"/>
      <c r="P455" s="185"/>
      <c r="Q455" s="185"/>
      <c r="R455" s="185"/>
      <c r="S455" s="185"/>
      <c r="T455" s="185"/>
      <c r="U455" s="185"/>
      <c r="V455" s="104"/>
      <c r="W455" s="2"/>
      <c r="Y455" s="74"/>
      <c r="AB455" s="74"/>
      <c r="AD455" s="74"/>
    </row>
    <row r="456" spans="1:30" s="1" customFormat="1" hidden="1" outlineLevel="1" x14ac:dyDescent="0.25">
      <c r="A456" s="34"/>
      <c r="B456" s="42"/>
      <c r="C456" s="34"/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51">
        <f t="shared" ref="V456:V472" si="59">SUM(G456:U456)</f>
        <v>0</v>
      </c>
      <c r="W456" s="2"/>
      <c r="Y456" s="74"/>
      <c r="AB456" s="74"/>
      <c r="AD456" s="74"/>
    </row>
    <row r="457" spans="1:30" s="1" customFormat="1" hidden="1" outlineLevel="1" x14ac:dyDescent="0.25">
      <c r="A457" s="2"/>
      <c r="B457" s="82"/>
      <c r="C457" s="51"/>
      <c r="D457" s="51"/>
      <c r="E457" s="51"/>
      <c r="F457" s="51"/>
      <c r="G457" s="20"/>
      <c r="H457" s="21"/>
      <c r="I457" s="21"/>
      <c r="J457" s="106"/>
      <c r="K457" s="51"/>
      <c r="L457" s="32"/>
      <c r="M457" s="22"/>
      <c r="N457" s="51"/>
      <c r="O457" s="81"/>
      <c r="P457" s="22"/>
      <c r="Q457" s="51"/>
      <c r="R457" s="51"/>
      <c r="S457" s="51"/>
      <c r="T457" s="51"/>
      <c r="U457" s="51"/>
      <c r="V457" s="51">
        <f t="shared" si="59"/>
        <v>0</v>
      </c>
      <c r="W457" s="2"/>
      <c r="Y457" s="74"/>
      <c r="AB457" s="74"/>
      <c r="AD457" s="74"/>
    </row>
    <row r="458" spans="1:30" s="1" customFormat="1" hidden="1" outlineLevel="1" x14ac:dyDescent="0.25">
      <c r="A458" s="2"/>
      <c r="B458" s="82"/>
      <c r="C458" s="51"/>
      <c r="D458" s="51"/>
      <c r="E458" s="51"/>
      <c r="F458" s="51"/>
      <c r="G458" s="20"/>
      <c r="H458" s="21"/>
      <c r="I458" s="21"/>
      <c r="J458" s="102"/>
      <c r="K458" s="51"/>
      <c r="L458" s="32"/>
      <c r="M458" s="22"/>
      <c r="N458" s="51"/>
      <c r="O458" s="81"/>
      <c r="P458" s="22"/>
      <c r="Q458" s="51"/>
      <c r="R458" s="51"/>
      <c r="S458" s="51"/>
      <c r="T458" s="51"/>
      <c r="U458" s="51"/>
      <c r="V458" s="51">
        <f t="shared" si="59"/>
        <v>0</v>
      </c>
      <c r="W458" s="2"/>
      <c r="Y458" s="74"/>
      <c r="AB458" s="74"/>
      <c r="AD458" s="74"/>
    </row>
    <row r="459" spans="1:30" s="1" customFormat="1" hidden="1" outlineLevel="1" x14ac:dyDescent="0.25">
      <c r="A459" s="2"/>
      <c r="B459" s="82"/>
      <c r="C459" s="51"/>
      <c r="D459" s="51"/>
      <c r="E459" s="51"/>
      <c r="F459" s="51"/>
      <c r="G459" s="20"/>
      <c r="H459" s="21"/>
      <c r="I459" s="21"/>
      <c r="J459" s="102"/>
      <c r="K459" s="51"/>
      <c r="L459" s="32"/>
      <c r="M459" s="22"/>
      <c r="N459" s="51"/>
      <c r="O459" s="81"/>
      <c r="P459" s="22"/>
      <c r="Q459" s="51"/>
      <c r="R459" s="51"/>
      <c r="S459" s="51"/>
      <c r="T459" s="51"/>
      <c r="U459" s="51"/>
      <c r="V459" s="51">
        <f t="shared" si="59"/>
        <v>0</v>
      </c>
      <c r="W459" s="2"/>
      <c r="Y459" s="74"/>
      <c r="AB459" s="74"/>
      <c r="AD459" s="74"/>
    </row>
    <row r="460" spans="1:30" s="1" customFormat="1" hidden="1" outlineLevel="1" x14ac:dyDescent="0.25">
      <c r="A460" s="2"/>
      <c r="B460" s="51"/>
      <c r="C460" s="51"/>
      <c r="D460" s="51"/>
      <c r="E460" s="51"/>
      <c r="F460" s="51"/>
      <c r="G460" s="51"/>
      <c r="H460" s="80"/>
      <c r="I460" s="51"/>
      <c r="J460" s="51"/>
      <c r="K460" s="51"/>
      <c r="L460" s="51"/>
      <c r="M460" s="51"/>
      <c r="N460" s="81"/>
      <c r="O460" s="51"/>
      <c r="P460" s="51"/>
      <c r="Q460" s="51"/>
      <c r="R460" s="51"/>
      <c r="S460" s="51"/>
      <c r="T460" s="51"/>
      <c r="U460" s="51"/>
      <c r="V460" s="51">
        <f t="shared" si="59"/>
        <v>0</v>
      </c>
      <c r="W460" s="2"/>
      <c r="Y460" s="74"/>
      <c r="AB460" s="74"/>
      <c r="AD460" s="74"/>
    </row>
    <row r="461" spans="1:30" s="1" customFormat="1" hidden="1" outlineLevel="1" x14ac:dyDescent="0.25">
      <c r="A461" s="2"/>
      <c r="B461" s="51"/>
      <c r="C461" s="51"/>
      <c r="D461" s="51"/>
      <c r="E461" s="51"/>
      <c r="F461" s="51"/>
      <c r="G461" s="51"/>
      <c r="H461" s="80"/>
      <c r="I461" s="51"/>
      <c r="J461" s="51"/>
      <c r="K461" s="51"/>
      <c r="L461" s="51"/>
      <c r="M461" s="51"/>
      <c r="N461" s="81"/>
      <c r="O461" s="51"/>
      <c r="P461" s="51"/>
      <c r="Q461" s="51"/>
      <c r="R461" s="51"/>
      <c r="S461" s="51"/>
      <c r="T461" s="51"/>
      <c r="U461" s="51"/>
      <c r="V461" s="51">
        <f t="shared" si="59"/>
        <v>0</v>
      </c>
      <c r="W461" s="2"/>
      <c r="Y461" s="74"/>
      <c r="AB461" s="74"/>
      <c r="AD461" s="74"/>
    </row>
    <row r="462" spans="1:30" s="1" customFormat="1" hidden="1" outlineLevel="1" x14ac:dyDescent="0.25">
      <c r="A462" s="2"/>
      <c r="B462" s="51"/>
      <c r="C462" s="51"/>
      <c r="D462" s="51"/>
      <c r="E462" s="51"/>
      <c r="F462" s="51"/>
      <c r="G462" s="51"/>
      <c r="H462" s="80"/>
      <c r="I462" s="51"/>
      <c r="J462" s="51"/>
      <c r="K462" s="51"/>
      <c r="L462" s="51"/>
      <c r="M462" s="51"/>
      <c r="N462" s="81"/>
      <c r="O462" s="51"/>
      <c r="P462" s="51"/>
      <c r="Q462" s="51"/>
      <c r="R462" s="51"/>
      <c r="S462" s="81"/>
      <c r="T462" s="51"/>
      <c r="U462" s="51"/>
      <c r="V462" s="51">
        <f t="shared" si="59"/>
        <v>0</v>
      </c>
      <c r="W462" s="2"/>
      <c r="Y462" s="74"/>
      <c r="AB462" s="74"/>
      <c r="AD462" s="74"/>
    </row>
    <row r="463" spans="1:30" s="1" customFormat="1" hidden="1" outlineLevel="1" x14ac:dyDescent="0.25">
      <c r="A463" s="2"/>
      <c r="B463" s="51"/>
      <c r="C463" s="51"/>
      <c r="D463" s="51"/>
      <c r="E463" s="51"/>
      <c r="F463" s="51"/>
      <c r="G463" s="51"/>
      <c r="H463" s="80"/>
      <c r="I463" s="51"/>
      <c r="J463" s="51"/>
      <c r="K463" s="51"/>
      <c r="L463" s="51"/>
      <c r="M463" s="51"/>
      <c r="N463" s="81"/>
      <c r="O463" s="51"/>
      <c r="P463" s="51"/>
      <c r="Q463" s="51"/>
      <c r="R463" s="51"/>
      <c r="S463" s="81"/>
      <c r="T463" s="51"/>
      <c r="U463" s="51"/>
      <c r="V463" s="51">
        <f t="shared" si="59"/>
        <v>0</v>
      </c>
      <c r="W463" s="2"/>
      <c r="Y463" s="74"/>
      <c r="AB463" s="74"/>
      <c r="AD463" s="74"/>
    </row>
    <row r="464" spans="1:30" s="1" customFormat="1" hidden="1" outlineLevel="1" x14ac:dyDescent="0.25">
      <c r="A464" s="2"/>
      <c r="B464" s="51"/>
      <c r="C464" s="51"/>
      <c r="D464" s="51"/>
      <c r="E464" s="51"/>
      <c r="F464" s="51"/>
      <c r="G464" s="51"/>
      <c r="H464" s="80"/>
      <c r="I464" s="51"/>
      <c r="J464" s="51"/>
      <c r="K464" s="51"/>
      <c r="L464" s="51"/>
      <c r="M464" s="51"/>
      <c r="N464" s="81"/>
      <c r="O464" s="51"/>
      <c r="P464" s="51"/>
      <c r="Q464" s="51"/>
      <c r="R464" s="51"/>
      <c r="S464" s="81"/>
      <c r="T464" s="51"/>
      <c r="U464" s="51"/>
      <c r="V464" s="51">
        <f t="shared" si="59"/>
        <v>0</v>
      </c>
      <c r="W464" s="2"/>
      <c r="Y464" s="74"/>
      <c r="AB464" s="74"/>
      <c r="AD464" s="74"/>
    </row>
    <row r="465" spans="1:39" s="1" customFormat="1" hidden="1" outlineLevel="1" x14ac:dyDescent="0.25">
      <c r="A465" s="2"/>
      <c r="B465" s="51"/>
      <c r="C465" s="51"/>
      <c r="D465" s="51"/>
      <c r="E465" s="51"/>
      <c r="F465" s="51"/>
      <c r="G465" s="51"/>
      <c r="H465" s="80"/>
      <c r="I465" s="51"/>
      <c r="J465" s="51"/>
      <c r="K465" s="51"/>
      <c r="L465" s="51"/>
      <c r="M465" s="51"/>
      <c r="N465" s="81"/>
      <c r="O465" s="51"/>
      <c r="P465" s="51"/>
      <c r="Q465" s="51"/>
      <c r="R465" s="51"/>
      <c r="S465" s="81"/>
      <c r="T465" s="51"/>
      <c r="U465" s="51"/>
      <c r="V465" s="51">
        <f t="shared" si="59"/>
        <v>0</v>
      </c>
      <c r="W465" s="2"/>
      <c r="Y465" s="74"/>
      <c r="AB465" s="74"/>
      <c r="AD465" s="74"/>
    </row>
    <row r="466" spans="1:39" s="1" customFormat="1" hidden="1" outlineLevel="1" x14ac:dyDescent="0.25">
      <c r="A466" s="2"/>
      <c r="B466" s="51"/>
      <c r="C466" s="51"/>
      <c r="D466" s="51"/>
      <c r="E466" s="51"/>
      <c r="F466" s="51"/>
      <c r="G466" s="51"/>
      <c r="H466" s="80"/>
      <c r="I466" s="51"/>
      <c r="J466" s="51"/>
      <c r="K466" s="51"/>
      <c r="L466" s="51"/>
      <c r="M466" s="51"/>
      <c r="N466" s="81"/>
      <c r="O466" s="51"/>
      <c r="P466" s="51"/>
      <c r="Q466" s="51"/>
      <c r="R466" s="51"/>
      <c r="S466" s="81"/>
      <c r="T466" s="51"/>
      <c r="U466" s="51"/>
      <c r="V466" s="51">
        <f t="shared" si="59"/>
        <v>0</v>
      </c>
      <c r="W466" s="2"/>
      <c r="Y466" s="74"/>
      <c r="AB466" s="74"/>
      <c r="AD466" s="74"/>
    </row>
    <row r="467" spans="1:39" s="1" customFormat="1" hidden="1" outlineLevel="1" x14ac:dyDescent="0.25">
      <c r="A467" s="2"/>
      <c r="B467" s="51"/>
      <c r="C467" s="51"/>
      <c r="D467" s="51"/>
      <c r="E467" s="51"/>
      <c r="F467" s="51"/>
      <c r="G467" s="51"/>
      <c r="H467" s="80"/>
      <c r="I467" s="51"/>
      <c r="J467" s="51"/>
      <c r="K467" s="51"/>
      <c r="L467" s="51"/>
      <c r="M467" s="51"/>
      <c r="N467" s="81"/>
      <c r="O467" s="51"/>
      <c r="P467" s="51"/>
      <c r="Q467" s="51"/>
      <c r="R467" s="51"/>
      <c r="S467" s="81"/>
      <c r="T467" s="51"/>
      <c r="U467" s="51"/>
      <c r="V467" s="51">
        <f t="shared" si="59"/>
        <v>0</v>
      </c>
      <c r="W467" s="2"/>
      <c r="Y467" s="74"/>
      <c r="AB467" s="74"/>
      <c r="AD467" s="74"/>
    </row>
    <row r="468" spans="1:39" s="1" customFormat="1" hidden="1" outlineLevel="1" x14ac:dyDescent="0.25">
      <c r="A468" s="2"/>
      <c r="B468" s="51"/>
      <c r="C468" s="51"/>
      <c r="D468" s="51"/>
      <c r="E468" s="51"/>
      <c r="F468" s="51"/>
      <c r="G468" s="51"/>
      <c r="H468" s="80"/>
      <c r="I468" s="51"/>
      <c r="J468" s="51"/>
      <c r="K468" s="51"/>
      <c r="L468" s="51"/>
      <c r="M468" s="51"/>
      <c r="N468" s="81"/>
      <c r="O468" s="51"/>
      <c r="P468" s="51"/>
      <c r="Q468" s="51"/>
      <c r="R468" s="51"/>
      <c r="S468" s="81"/>
      <c r="T468" s="51"/>
      <c r="U468" s="51"/>
      <c r="V468" s="51">
        <f t="shared" si="59"/>
        <v>0</v>
      </c>
      <c r="W468" s="2"/>
      <c r="Y468" s="74"/>
      <c r="AB468" s="74"/>
      <c r="AD468" s="74"/>
    </row>
    <row r="469" spans="1:39" s="1" customFormat="1" hidden="1" outlineLevel="1" x14ac:dyDescent="0.25">
      <c r="A469" s="2"/>
      <c r="B469" s="51"/>
      <c r="C469" s="51"/>
      <c r="D469" s="51"/>
      <c r="E469" s="51"/>
      <c r="F469" s="51"/>
      <c r="G469" s="51"/>
      <c r="H469" s="80"/>
      <c r="I469" s="51"/>
      <c r="J469" s="51"/>
      <c r="K469" s="51"/>
      <c r="L469" s="51"/>
      <c r="M469" s="51"/>
      <c r="N469" s="81"/>
      <c r="O469" s="51"/>
      <c r="P469" s="51"/>
      <c r="Q469" s="51"/>
      <c r="R469" s="51"/>
      <c r="S469" s="81"/>
      <c r="T469" s="51"/>
      <c r="U469" s="51"/>
      <c r="V469" s="51">
        <f t="shared" si="59"/>
        <v>0</v>
      </c>
      <c r="W469" s="2"/>
      <c r="Y469" s="74"/>
      <c r="AB469" s="74"/>
      <c r="AD469" s="74"/>
    </row>
    <row r="470" spans="1:39" s="1" customFormat="1" hidden="1" outlineLevel="1" x14ac:dyDescent="0.25">
      <c r="A470" s="2"/>
      <c r="B470" s="51"/>
      <c r="C470" s="51"/>
      <c r="D470" s="51"/>
      <c r="E470" s="51"/>
      <c r="F470" s="51"/>
      <c r="G470" s="51"/>
      <c r="H470" s="80"/>
      <c r="I470" s="51"/>
      <c r="J470" s="51"/>
      <c r="K470" s="51"/>
      <c r="L470" s="51"/>
      <c r="M470" s="51"/>
      <c r="N470" s="81"/>
      <c r="O470" s="51"/>
      <c r="P470" s="51"/>
      <c r="Q470" s="51"/>
      <c r="R470" s="51"/>
      <c r="S470" s="81"/>
      <c r="T470" s="51"/>
      <c r="U470" s="51"/>
      <c r="V470" s="51">
        <f t="shared" si="59"/>
        <v>0</v>
      </c>
      <c r="W470" s="2"/>
      <c r="Y470" s="74"/>
      <c r="AB470" s="74"/>
      <c r="AD470" s="74"/>
    </row>
    <row r="471" spans="1:39" s="1" customFormat="1" hidden="1" outlineLevel="1" x14ac:dyDescent="0.25">
      <c r="A471" s="2"/>
      <c r="B471" s="51"/>
      <c r="C471" s="51"/>
      <c r="D471" s="51"/>
      <c r="E471" s="51"/>
      <c r="F471" s="51"/>
      <c r="G471" s="51"/>
      <c r="H471" s="80"/>
      <c r="I471" s="51"/>
      <c r="J471" s="51"/>
      <c r="K471" s="51"/>
      <c r="L471" s="51"/>
      <c r="M471" s="51"/>
      <c r="N471" s="81"/>
      <c r="O471" s="51"/>
      <c r="P471" s="51"/>
      <c r="Q471" s="51"/>
      <c r="R471" s="51"/>
      <c r="S471" s="81"/>
      <c r="T471" s="51"/>
      <c r="U471" s="51"/>
      <c r="V471" s="51">
        <f t="shared" si="59"/>
        <v>0</v>
      </c>
      <c r="W471" s="2"/>
      <c r="Y471" s="74"/>
      <c r="AB471" s="74"/>
      <c r="AD471" s="74"/>
    </row>
    <row r="472" spans="1:39" s="1" customFormat="1" hidden="1" outlineLevel="1" x14ac:dyDescent="0.25">
      <c r="A472" s="2"/>
      <c r="B472" s="51"/>
      <c r="C472" s="51"/>
      <c r="D472" s="51"/>
      <c r="E472" s="51"/>
      <c r="F472" s="51"/>
      <c r="G472" s="51"/>
      <c r="H472" s="80"/>
      <c r="I472" s="51"/>
      <c r="J472" s="51"/>
      <c r="K472" s="51"/>
      <c r="L472" s="51"/>
      <c r="M472" s="51"/>
      <c r="N472" s="81"/>
      <c r="O472" s="51"/>
      <c r="P472" s="51"/>
      <c r="Q472" s="51"/>
      <c r="R472" s="51"/>
      <c r="S472" s="81"/>
      <c r="T472" s="51"/>
      <c r="U472" s="51"/>
      <c r="V472" s="51">
        <f t="shared" si="59"/>
        <v>0</v>
      </c>
      <c r="W472" s="2"/>
      <c r="Y472" s="74"/>
      <c r="AB472" s="74"/>
      <c r="AD472" s="74"/>
    </row>
    <row r="473" spans="1:39" ht="15.75" hidden="1" customHeight="1" outlineLevel="1" thickBot="1" x14ac:dyDescent="0.3">
      <c r="A473" s="2"/>
      <c r="B473" s="75"/>
      <c r="C473" s="75"/>
      <c r="D473" s="76"/>
      <c r="E473" s="76"/>
      <c r="F473" s="76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2"/>
      <c r="R473" s="77"/>
      <c r="S473" s="77"/>
      <c r="T473" s="77"/>
      <c r="U473" s="2"/>
      <c r="V473" s="77"/>
      <c r="W473" s="78"/>
      <c r="Y473" s="74"/>
      <c r="Z473" s="6"/>
      <c r="AA473" s="13"/>
      <c r="AB473" s="74"/>
      <c r="AC473" s="6"/>
      <c r="AD473" s="74"/>
      <c r="AE473" s="6"/>
      <c r="AF473" s="6"/>
      <c r="AG473" s="6"/>
      <c r="AH473" s="6"/>
      <c r="AI473" s="6"/>
      <c r="AM473" s="14"/>
    </row>
    <row r="474" spans="1:39" s="1" customFormat="1" ht="12.75" customHeight="1" x14ac:dyDescent="0.25">
      <c r="A474" s="145">
        <v>31</v>
      </c>
      <c r="B474" s="147" t="s">
        <v>220</v>
      </c>
      <c r="C474" s="147" t="s">
        <v>32</v>
      </c>
      <c r="D474" s="156" t="s">
        <v>12</v>
      </c>
      <c r="E474" s="90"/>
      <c r="F474" s="92"/>
      <c r="G474" s="72">
        <f t="shared" ref="G474:U474" si="60">SUM(G476:G485)</f>
        <v>0</v>
      </c>
      <c r="H474" s="72">
        <f t="shared" si="60"/>
        <v>0</v>
      </c>
      <c r="I474" s="72">
        <f t="shared" si="60"/>
        <v>0</v>
      </c>
      <c r="J474" s="72">
        <f t="shared" si="60"/>
        <v>0</v>
      </c>
      <c r="K474" s="72">
        <f t="shared" si="60"/>
        <v>0</v>
      </c>
      <c r="L474" s="72">
        <f t="shared" si="60"/>
        <v>0</v>
      </c>
      <c r="M474" s="72">
        <f t="shared" si="60"/>
        <v>0</v>
      </c>
      <c r="N474" s="72">
        <f t="shared" si="60"/>
        <v>0</v>
      </c>
      <c r="O474" s="72">
        <f t="shared" si="60"/>
        <v>0</v>
      </c>
      <c r="P474" s="72">
        <f t="shared" si="60"/>
        <v>0</v>
      </c>
      <c r="Q474" s="72">
        <f t="shared" si="60"/>
        <v>0</v>
      </c>
      <c r="R474" s="72">
        <f t="shared" si="60"/>
        <v>0</v>
      </c>
      <c r="S474" s="72">
        <f t="shared" si="60"/>
        <v>0</v>
      </c>
      <c r="T474" s="72">
        <f t="shared" si="60"/>
        <v>0</v>
      </c>
      <c r="U474" s="72">
        <f t="shared" si="60"/>
        <v>0</v>
      </c>
      <c r="V474" s="72">
        <f>SUM(V476:V485)</f>
        <v>0</v>
      </c>
      <c r="W474" s="168">
        <f>V474+V475</f>
        <v>0</v>
      </c>
      <c r="Y474" s="74"/>
      <c r="AB474" s="74"/>
      <c r="AD474" s="74"/>
    </row>
    <row r="475" spans="1:39" s="1" customFormat="1" ht="13.8" collapsed="1" thickBot="1" x14ac:dyDescent="0.3">
      <c r="A475" s="146"/>
      <c r="B475" s="148"/>
      <c r="C475" s="148"/>
      <c r="D475" s="157"/>
      <c r="E475" s="91"/>
      <c r="F475" s="93"/>
      <c r="G475" s="73">
        <f>SUM(G487:G504)</f>
        <v>0</v>
      </c>
      <c r="H475" s="79">
        <f>SUM(H487:H504)</f>
        <v>0</v>
      </c>
      <c r="I475" s="79">
        <f>SUM(I487:I504)</f>
        <v>0</v>
      </c>
      <c r="J475" s="73">
        <f t="shared" ref="J475:Q475" si="61">SUM(J487:J504)</f>
        <v>0</v>
      </c>
      <c r="K475" s="73">
        <f t="shared" si="61"/>
        <v>0</v>
      </c>
      <c r="L475" s="73">
        <f t="shared" si="61"/>
        <v>0</v>
      </c>
      <c r="M475" s="73">
        <f t="shared" si="61"/>
        <v>0</v>
      </c>
      <c r="N475" s="73">
        <f t="shared" si="61"/>
        <v>0</v>
      </c>
      <c r="O475" s="73">
        <f t="shared" si="61"/>
        <v>0</v>
      </c>
      <c r="P475" s="73">
        <f t="shared" si="61"/>
        <v>0</v>
      </c>
      <c r="Q475" s="73">
        <f t="shared" si="61"/>
        <v>0</v>
      </c>
      <c r="R475" s="73">
        <f>SUM(R487:R504)</f>
        <v>0</v>
      </c>
      <c r="S475" s="73">
        <f>SUM(S487:S504)</f>
        <v>0</v>
      </c>
      <c r="T475" s="73">
        <f>SUM(T487:T504)</f>
        <v>0</v>
      </c>
      <c r="U475" s="73">
        <f>SUM(U487:U504)</f>
        <v>0</v>
      </c>
      <c r="V475" s="73">
        <f>SUM(V487:V504)</f>
        <v>0</v>
      </c>
      <c r="W475" s="169"/>
      <c r="Y475" s="74"/>
      <c r="Z475" s="74"/>
      <c r="AB475" s="74"/>
      <c r="AD475" s="74"/>
    </row>
    <row r="476" spans="1:39" s="1" customFormat="1" hidden="1" outlineLevel="1" x14ac:dyDescent="0.25">
      <c r="A476" s="2"/>
      <c r="B476" s="51"/>
      <c r="C476" s="51"/>
      <c r="D476" s="51"/>
      <c r="E476" s="51"/>
      <c r="F476" s="51"/>
      <c r="G476" s="51"/>
      <c r="H476" s="51"/>
      <c r="I476" s="51"/>
      <c r="J476" s="51"/>
      <c r="K476" s="51"/>
      <c r="L476" s="51"/>
      <c r="M476" s="51"/>
      <c r="N476" s="51"/>
      <c r="O476" s="51"/>
      <c r="P476" s="51"/>
      <c r="Q476" s="51"/>
      <c r="R476" s="51"/>
      <c r="S476" s="51"/>
      <c r="T476" s="51"/>
      <c r="U476" s="51"/>
      <c r="V476" s="51">
        <f>SUM(G476:U476)</f>
        <v>0</v>
      </c>
      <c r="W476" s="2"/>
      <c r="Y476" s="74"/>
      <c r="AB476" s="74"/>
      <c r="AD476" s="74"/>
    </row>
    <row r="477" spans="1:39" s="1" customFormat="1" hidden="1" outlineLevel="1" x14ac:dyDescent="0.25">
      <c r="A477" s="2"/>
      <c r="B477" s="51"/>
      <c r="C477" s="51"/>
      <c r="D477" s="51"/>
      <c r="E477" s="51"/>
      <c r="F477" s="51"/>
      <c r="G477" s="51"/>
      <c r="H477" s="51"/>
      <c r="I477" s="51"/>
      <c r="J477" s="51"/>
      <c r="K477" s="51"/>
      <c r="L477" s="51"/>
      <c r="M477" s="51"/>
      <c r="N477" s="51"/>
      <c r="O477" s="51"/>
      <c r="P477" s="51"/>
      <c r="Q477" s="51"/>
      <c r="R477" s="51"/>
      <c r="S477" s="51"/>
      <c r="T477" s="51"/>
      <c r="U477" s="51"/>
      <c r="V477" s="51">
        <f>SUM(G477:U477)</f>
        <v>0</v>
      </c>
      <c r="W477" s="2"/>
      <c r="Y477" s="74"/>
      <c r="AB477" s="74"/>
      <c r="AD477" s="74"/>
    </row>
    <row r="478" spans="1:39" s="1" customFormat="1" hidden="1" outlineLevel="1" x14ac:dyDescent="0.25">
      <c r="A478" s="2"/>
      <c r="B478" s="51"/>
      <c r="C478" s="51"/>
      <c r="D478" s="51"/>
      <c r="E478" s="51"/>
      <c r="F478" s="51"/>
      <c r="G478" s="51"/>
      <c r="H478" s="51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>
        <f t="shared" ref="V478:V485" si="62">SUM(G478:U478)</f>
        <v>0</v>
      </c>
      <c r="W478" s="2"/>
      <c r="Y478" s="74"/>
      <c r="AB478" s="74"/>
      <c r="AD478" s="74"/>
    </row>
    <row r="479" spans="1:39" s="1" customFormat="1" hidden="1" outlineLevel="1" x14ac:dyDescent="0.25">
      <c r="A479" s="2"/>
      <c r="B479" s="51"/>
      <c r="C479" s="51"/>
      <c r="D479" s="51"/>
      <c r="E479" s="51"/>
      <c r="F479" s="51"/>
      <c r="G479" s="51"/>
      <c r="H479" s="51"/>
      <c r="I479" s="51"/>
      <c r="J479" s="51"/>
      <c r="K479" s="51"/>
      <c r="L479" s="51"/>
      <c r="M479" s="51"/>
      <c r="N479" s="51"/>
      <c r="O479" s="51"/>
      <c r="P479" s="51"/>
      <c r="Q479" s="51"/>
      <c r="R479" s="51"/>
      <c r="S479" s="51"/>
      <c r="T479" s="51"/>
      <c r="U479" s="51"/>
      <c r="V479" s="51">
        <f t="shared" si="62"/>
        <v>0</v>
      </c>
      <c r="W479" s="2"/>
      <c r="Y479" s="74"/>
      <c r="AB479" s="74"/>
      <c r="AD479" s="74"/>
    </row>
    <row r="480" spans="1:39" s="1" customFormat="1" hidden="1" outlineLevel="1" x14ac:dyDescent="0.25">
      <c r="A480" s="2"/>
      <c r="B480" s="51"/>
      <c r="C480" s="51"/>
      <c r="D480" s="51"/>
      <c r="E480" s="51"/>
      <c r="F480" s="51"/>
      <c r="G480" s="51"/>
      <c r="H480" s="51"/>
      <c r="I480" s="51"/>
      <c r="J480" s="51"/>
      <c r="K480" s="51"/>
      <c r="L480" s="51"/>
      <c r="M480" s="51"/>
      <c r="N480" s="51"/>
      <c r="O480" s="51"/>
      <c r="P480" s="51"/>
      <c r="Q480" s="51"/>
      <c r="R480" s="51"/>
      <c r="S480" s="51"/>
      <c r="T480" s="51"/>
      <c r="U480" s="51"/>
      <c r="V480" s="51">
        <f t="shared" si="62"/>
        <v>0</v>
      </c>
      <c r="W480" s="2"/>
      <c r="Y480" s="74"/>
      <c r="AB480" s="74"/>
      <c r="AD480" s="74"/>
    </row>
    <row r="481" spans="1:30" s="1" customFormat="1" hidden="1" outlineLevel="1" x14ac:dyDescent="0.25">
      <c r="A481" s="2"/>
      <c r="B481" s="51"/>
      <c r="C481" s="51"/>
      <c r="D481" s="51"/>
      <c r="E481" s="51"/>
      <c r="F481" s="51"/>
      <c r="G481" s="51"/>
      <c r="H481" s="51"/>
      <c r="I481" s="51"/>
      <c r="J481" s="51"/>
      <c r="K481" s="51"/>
      <c r="L481" s="51"/>
      <c r="M481" s="51"/>
      <c r="N481" s="51"/>
      <c r="O481" s="51"/>
      <c r="P481" s="51"/>
      <c r="Q481" s="51"/>
      <c r="R481" s="51"/>
      <c r="S481" s="51"/>
      <c r="T481" s="51"/>
      <c r="U481" s="51"/>
      <c r="V481" s="51">
        <f t="shared" si="62"/>
        <v>0</v>
      </c>
      <c r="W481" s="2"/>
      <c r="Y481" s="74"/>
      <c r="AB481" s="74"/>
      <c r="AD481" s="74"/>
    </row>
    <row r="482" spans="1:30" s="1" customFormat="1" hidden="1" outlineLevel="1" x14ac:dyDescent="0.25">
      <c r="A482" s="2"/>
      <c r="B482" s="51"/>
      <c r="C482" s="51"/>
      <c r="D482" s="51"/>
      <c r="E482" s="51"/>
      <c r="F482" s="51"/>
      <c r="G482" s="51"/>
      <c r="H482" s="51"/>
      <c r="I482" s="51"/>
      <c r="J482" s="51"/>
      <c r="K482" s="51"/>
      <c r="L482" s="51"/>
      <c r="M482" s="51"/>
      <c r="N482" s="51"/>
      <c r="O482" s="51"/>
      <c r="P482" s="51"/>
      <c r="Q482" s="51"/>
      <c r="R482" s="51"/>
      <c r="S482" s="51"/>
      <c r="T482" s="51"/>
      <c r="U482" s="51"/>
      <c r="V482" s="51">
        <f t="shared" si="62"/>
        <v>0</v>
      </c>
      <c r="W482" s="2"/>
      <c r="Y482" s="74"/>
      <c r="AB482" s="74"/>
      <c r="AD482" s="74"/>
    </row>
    <row r="483" spans="1:30" s="1" customFormat="1" hidden="1" outlineLevel="1" x14ac:dyDescent="0.25">
      <c r="A483" s="2"/>
      <c r="B483" s="51"/>
      <c r="C483" s="51"/>
      <c r="D483" s="51"/>
      <c r="E483" s="51"/>
      <c r="F483" s="51"/>
      <c r="G483" s="51"/>
      <c r="H483" s="51"/>
      <c r="I483" s="51"/>
      <c r="J483" s="51"/>
      <c r="K483" s="51"/>
      <c r="L483" s="51"/>
      <c r="M483" s="51"/>
      <c r="N483" s="51"/>
      <c r="O483" s="51"/>
      <c r="P483" s="51"/>
      <c r="Q483" s="51"/>
      <c r="R483" s="51"/>
      <c r="S483" s="51"/>
      <c r="T483" s="51"/>
      <c r="U483" s="51"/>
      <c r="V483" s="51">
        <f t="shared" si="62"/>
        <v>0</v>
      </c>
      <c r="W483" s="2"/>
      <c r="Y483" s="74"/>
      <c r="AB483" s="74"/>
      <c r="AD483" s="74"/>
    </row>
    <row r="484" spans="1:30" s="1" customFormat="1" hidden="1" outlineLevel="1" x14ac:dyDescent="0.25">
      <c r="A484" s="2"/>
      <c r="B484" s="51"/>
      <c r="C484" s="51"/>
      <c r="D484" s="51"/>
      <c r="E484" s="51"/>
      <c r="F484" s="51"/>
      <c r="G484" s="51"/>
      <c r="H484" s="51"/>
      <c r="I484" s="51"/>
      <c r="J484" s="51"/>
      <c r="K484" s="51"/>
      <c r="L484" s="51"/>
      <c r="M484" s="51"/>
      <c r="N484" s="51"/>
      <c r="O484" s="51"/>
      <c r="P484" s="51"/>
      <c r="Q484" s="51"/>
      <c r="R484" s="51"/>
      <c r="S484" s="51"/>
      <c r="T484" s="51"/>
      <c r="U484" s="51"/>
      <c r="V484" s="51">
        <f t="shared" si="62"/>
        <v>0</v>
      </c>
      <c r="W484" s="2"/>
      <c r="Y484" s="74"/>
      <c r="AB484" s="74"/>
      <c r="AD484" s="74"/>
    </row>
    <row r="485" spans="1:30" s="1" customFormat="1" hidden="1" outlineLevel="1" x14ac:dyDescent="0.25">
      <c r="A485" s="2"/>
      <c r="B485" s="51"/>
      <c r="C485" s="51"/>
      <c r="D485" s="51"/>
      <c r="E485" s="51"/>
      <c r="F485" s="51"/>
      <c r="G485" s="51"/>
      <c r="H485" s="51"/>
      <c r="I485" s="51"/>
      <c r="J485" s="51"/>
      <c r="K485" s="51"/>
      <c r="L485" s="51"/>
      <c r="M485" s="51"/>
      <c r="N485" s="51"/>
      <c r="O485" s="51"/>
      <c r="P485" s="51"/>
      <c r="Q485" s="51"/>
      <c r="R485" s="51"/>
      <c r="S485" s="51"/>
      <c r="T485" s="51"/>
      <c r="U485" s="51"/>
      <c r="V485" s="51">
        <f t="shared" si="62"/>
        <v>0</v>
      </c>
      <c r="W485" s="2"/>
      <c r="Y485" s="74"/>
      <c r="AB485" s="74"/>
      <c r="AD485" s="74"/>
    </row>
    <row r="486" spans="1:30" s="1" customFormat="1" hidden="1" outlineLevel="1" x14ac:dyDescent="0.25">
      <c r="A486" s="2"/>
      <c r="B486" s="185" t="s">
        <v>29</v>
      </c>
      <c r="C486" s="185"/>
      <c r="D486" s="185"/>
      <c r="E486" s="185"/>
      <c r="F486" s="185"/>
      <c r="G486" s="185"/>
      <c r="H486" s="185"/>
      <c r="I486" s="185"/>
      <c r="J486" s="185"/>
      <c r="K486" s="185"/>
      <c r="L486" s="185"/>
      <c r="M486" s="185"/>
      <c r="N486" s="185"/>
      <c r="O486" s="185"/>
      <c r="P486" s="185"/>
      <c r="Q486" s="185"/>
      <c r="R486" s="185"/>
      <c r="S486" s="185"/>
      <c r="T486" s="185"/>
      <c r="U486" s="185"/>
      <c r="V486" s="104"/>
      <c r="W486" s="2"/>
      <c r="Y486" s="74"/>
      <c r="AB486" s="74"/>
      <c r="AD486" s="74"/>
    </row>
    <row r="487" spans="1:30" s="1" customFormat="1" hidden="1" outlineLevel="1" x14ac:dyDescent="0.25">
      <c r="A487" s="2"/>
      <c r="B487" s="82"/>
      <c r="C487" s="51"/>
      <c r="D487" s="51"/>
      <c r="E487" s="51"/>
      <c r="F487" s="51"/>
      <c r="G487" s="20"/>
      <c r="H487" s="21"/>
      <c r="I487" s="21"/>
      <c r="J487" s="102"/>
      <c r="K487" s="51"/>
      <c r="L487" s="32"/>
      <c r="M487" s="22"/>
      <c r="N487" s="51"/>
      <c r="O487" s="81"/>
      <c r="P487" s="22"/>
      <c r="Q487" s="51"/>
      <c r="R487" s="51"/>
      <c r="S487" s="51"/>
      <c r="T487" s="51"/>
      <c r="U487" s="51"/>
      <c r="V487" s="51">
        <f t="shared" ref="V487:V503" si="63">SUM(G487:U487)</f>
        <v>0</v>
      </c>
      <c r="W487" s="2"/>
      <c r="Y487" s="74"/>
      <c r="AB487" s="74"/>
      <c r="AD487" s="74"/>
    </row>
    <row r="488" spans="1:30" s="1" customFormat="1" hidden="1" outlineLevel="1" x14ac:dyDescent="0.25">
      <c r="A488" s="2"/>
      <c r="B488" s="82"/>
      <c r="C488" s="51"/>
      <c r="D488" s="51"/>
      <c r="E488" s="51"/>
      <c r="F488" s="51"/>
      <c r="G488" s="20"/>
      <c r="H488" s="21"/>
      <c r="I488" s="21"/>
      <c r="J488" s="102"/>
      <c r="K488" s="51"/>
      <c r="L488" s="32"/>
      <c r="M488" s="22"/>
      <c r="N488" s="51"/>
      <c r="O488" s="81"/>
      <c r="P488" s="22"/>
      <c r="Q488" s="51"/>
      <c r="R488" s="51"/>
      <c r="S488" s="51"/>
      <c r="T488" s="51"/>
      <c r="U488" s="51"/>
      <c r="V488" s="51">
        <f t="shared" si="63"/>
        <v>0</v>
      </c>
      <c r="W488" s="2"/>
      <c r="Y488" s="74"/>
      <c r="AB488" s="74"/>
      <c r="AD488" s="74"/>
    </row>
    <row r="489" spans="1:30" s="1" customFormat="1" hidden="1" outlineLevel="1" x14ac:dyDescent="0.25">
      <c r="A489" s="2"/>
      <c r="B489" s="82"/>
      <c r="C489" s="51"/>
      <c r="D489" s="51"/>
      <c r="E489" s="51"/>
      <c r="F489" s="51"/>
      <c r="G489" s="20"/>
      <c r="H489" s="21"/>
      <c r="I489" s="21"/>
      <c r="J489" s="102"/>
      <c r="K489" s="51"/>
      <c r="L489" s="32"/>
      <c r="M489" s="22"/>
      <c r="N489" s="51"/>
      <c r="O489" s="81"/>
      <c r="P489" s="22"/>
      <c r="Q489" s="51"/>
      <c r="R489" s="51"/>
      <c r="S489" s="51"/>
      <c r="T489" s="51"/>
      <c r="U489" s="51"/>
      <c r="V489" s="51">
        <f t="shared" si="63"/>
        <v>0</v>
      </c>
      <c r="W489" s="2"/>
      <c r="Y489" s="74"/>
      <c r="AB489" s="74"/>
      <c r="AD489" s="74"/>
    </row>
    <row r="490" spans="1:30" s="1" customFormat="1" hidden="1" outlineLevel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 s="51">
        <f t="shared" si="63"/>
        <v>0</v>
      </c>
      <c r="W490" s="2"/>
      <c r="Y490" s="74"/>
      <c r="AB490" s="74"/>
      <c r="AD490" s="74"/>
    </row>
    <row r="491" spans="1:30" s="1" customFormat="1" hidden="1" outlineLevel="1" x14ac:dyDescent="0.25">
      <c r="A491" s="2"/>
      <c r="B491" s="51"/>
      <c r="C491" s="51"/>
      <c r="D491" s="51"/>
      <c r="E491" s="51"/>
      <c r="F491" s="51"/>
      <c r="G491" s="51"/>
      <c r="H491" s="80"/>
      <c r="I491" s="51"/>
      <c r="J491" s="51"/>
      <c r="K491" s="51"/>
      <c r="L491" s="51"/>
      <c r="M491" s="51"/>
      <c r="N491" s="81"/>
      <c r="O491" s="51"/>
      <c r="P491" s="51"/>
      <c r="Q491" s="51"/>
      <c r="R491" s="51"/>
      <c r="S491" s="51"/>
      <c r="T491" s="51"/>
      <c r="U491" s="51"/>
      <c r="V491" s="51">
        <f t="shared" si="63"/>
        <v>0</v>
      </c>
      <c r="W491" s="2"/>
      <c r="Y491" s="74"/>
      <c r="AB491" s="74"/>
      <c r="AD491" s="74"/>
    </row>
    <row r="492" spans="1:30" s="1" customFormat="1" hidden="1" outlineLevel="1" x14ac:dyDescent="0.25">
      <c r="A492" s="2"/>
      <c r="B492" s="51"/>
      <c r="C492" s="51"/>
      <c r="D492" s="51"/>
      <c r="E492" s="51"/>
      <c r="F492" s="51"/>
      <c r="G492" s="51"/>
      <c r="H492" s="80"/>
      <c r="I492" s="51"/>
      <c r="J492" s="51"/>
      <c r="K492" s="51"/>
      <c r="L492" s="51"/>
      <c r="M492" s="51"/>
      <c r="N492" s="81"/>
      <c r="O492" s="51"/>
      <c r="P492" s="51"/>
      <c r="Q492" s="51"/>
      <c r="R492" s="51"/>
      <c r="S492" s="51"/>
      <c r="T492" s="51"/>
      <c r="U492" s="51"/>
      <c r="V492" s="51">
        <f t="shared" si="63"/>
        <v>0</v>
      </c>
      <c r="W492" s="2"/>
      <c r="Y492" s="74"/>
      <c r="AB492" s="74"/>
      <c r="AD492" s="74"/>
    </row>
    <row r="493" spans="1:30" s="1" customFormat="1" hidden="1" outlineLevel="1" x14ac:dyDescent="0.25">
      <c r="A493" s="2"/>
      <c r="B493" s="51"/>
      <c r="C493" s="51"/>
      <c r="D493" s="51"/>
      <c r="E493" s="51"/>
      <c r="F493" s="51"/>
      <c r="G493" s="51"/>
      <c r="H493" s="80"/>
      <c r="I493" s="51"/>
      <c r="J493" s="51"/>
      <c r="K493" s="51"/>
      <c r="L493" s="51"/>
      <c r="M493" s="51"/>
      <c r="N493" s="81"/>
      <c r="O493" s="51"/>
      <c r="P493" s="51"/>
      <c r="Q493" s="51"/>
      <c r="R493" s="51"/>
      <c r="S493" s="81"/>
      <c r="T493" s="51"/>
      <c r="U493" s="51"/>
      <c r="V493" s="51">
        <f t="shared" si="63"/>
        <v>0</v>
      </c>
      <c r="W493" s="2"/>
      <c r="Y493" s="74"/>
      <c r="AB493" s="74"/>
      <c r="AD493" s="74"/>
    </row>
    <row r="494" spans="1:30" s="1" customFormat="1" hidden="1" outlineLevel="1" x14ac:dyDescent="0.25">
      <c r="A494" s="2"/>
      <c r="B494" s="51"/>
      <c r="C494" s="51"/>
      <c r="D494" s="51"/>
      <c r="E494" s="51"/>
      <c r="F494" s="51"/>
      <c r="G494" s="51"/>
      <c r="H494" s="80"/>
      <c r="I494" s="51"/>
      <c r="J494" s="51"/>
      <c r="K494" s="51"/>
      <c r="L494" s="51"/>
      <c r="M494" s="51"/>
      <c r="N494" s="81"/>
      <c r="O494" s="51"/>
      <c r="P494" s="51"/>
      <c r="Q494" s="51"/>
      <c r="R494" s="51"/>
      <c r="S494" s="81"/>
      <c r="T494" s="51"/>
      <c r="U494" s="51"/>
      <c r="V494" s="51">
        <f t="shared" si="63"/>
        <v>0</v>
      </c>
      <c r="W494" s="2"/>
      <c r="Y494" s="74"/>
      <c r="AB494" s="74"/>
      <c r="AD494" s="74"/>
    </row>
    <row r="495" spans="1:30" s="1" customFormat="1" hidden="1" outlineLevel="1" x14ac:dyDescent="0.25">
      <c r="A495" s="2"/>
      <c r="B495" s="51"/>
      <c r="C495" s="51"/>
      <c r="D495" s="51"/>
      <c r="E495" s="51"/>
      <c r="F495" s="51"/>
      <c r="G495" s="51"/>
      <c r="H495" s="80"/>
      <c r="I495" s="51"/>
      <c r="J495" s="51"/>
      <c r="K495" s="51"/>
      <c r="L495" s="51"/>
      <c r="M495" s="51"/>
      <c r="N495" s="81"/>
      <c r="O495" s="51"/>
      <c r="P495" s="51"/>
      <c r="Q495" s="51"/>
      <c r="R495" s="51"/>
      <c r="S495" s="81"/>
      <c r="T495" s="51"/>
      <c r="U495" s="51"/>
      <c r="V495" s="51">
        <f t="shared" si="63"/>
        <v>0</v>
      </c>
      <c r="W495" s="2"/>
      <c r="Y495" s="74"/>
      <c r="AB495" s="74"/>
      <c r="AD495" s="74"/>
    </row>
    <row r="496" spans="1:30" s="1" customFormat="1" hidden="1" outlineLevel="1" x14ac:dyDescent="0.25">
      <c r="A496" s="2"/>
      <c r="B496" s="51"/>
      <c r="C496" s="51"/>
      <c r="D496" s="51"/>
      <c r="E496" s="51"/>
      <c r="F496" s="51"/>
      <c r="G496" s="51"/>
      <c r="H496" s="80"/>
      <c r="I496" s="51"/>
      <c r="J496" s="51"/>
      <c r="K496" s="51"/>
      <c r="L496" s="51"/>
      <c r="M496" s="51"/>
      <c r="N496" s="81"/>
      <c r="O496" s="51"/>
      <c r="P496" s="51"/>
      <c r="Q496" s="51"/>
      <c r="R496" s="51"/>
      <c r="S496" s="81"/>
      <c r="T496" s="51"/>
      <c r="U496" s="51"/>
      <c r="V496" s="51">
        <f t="shared" si="63"/>
        <v>0</v>
      </c>
      <c r="W496" s="2"/>
      <c r="Y496" s="74"/>
      <c r="AB496" s="74"/>
      <c r="AD496" s="74"/>
    </row>
    <row r="497" spans="1:39" s="1" customFormat="1" hidden="1" outlineLevel="1" x14ac:dyDescent="0.25">
      <c r="A497" s="2"/>
      <c r="B497" s="51"/>
      <c r="C497" s="51"/>
      <c r="D497" s="51"/>
      <c r="E497" s="51"/>
      <c r="F497" s="51"/>
      <c r="G497" s="51"/>
      <c r="H497" s="80"/>
      <c r="I497" s="51"/>
      <c r="J497" s="51"/>
      <c r="K497" s="51"/>
      <c r="L497" s="51"/>
      <c r="M497" s="51"/>
      <c r="N497" s="81"/>
      <c r="O497" s="51"/>
      <c r="P497" s="51"/>
      <c r="Q497" s="51"/>
      <c r="R497" s="51"/>
      <c r="S497" s="81"/>
      <c r="T497" s="51"/>
      <c r="U497" s="51"/>
      <c r="V497" s="51">
        <f t="shared" si="63"/>
        <v>0</v>
      </c>
      <c r="W497" s="2"/>
      <c r="Y497" s="74"/>
      <c r="AB497" s="74"/>
      <c r="AD497" s="74"/>
    </row>
    <row r="498" spans="1:39" s="1" customFormat="1" hidden="1" outlineLevel="1" x14ac:dyDescent="0.25">
      <c r="A498" s="2"/>
      <c r="B498" s="51"/>
      <c r="C498" s="51"/>
      <c r="D498" s="51"/>
      <c r="E498" s="51"/>
      <c r="F498" s="51"/>
      <c r="G498" s="51"/>
      <c r="H498" s="80"/>
      <c r="I498" s="51"/>
      <c r="J498" s="51"/>
      <c r="K498" s="51"/>
      <c r="L498" s="51"/>
      <c r="M498" s="51"/>
      <c r="N498" s="81"/>
      <c r="O498" s="51"/>
      <c r="P498" s="51"/>
      <c r="Q498" s="51"/>
      <c r="R498" s="51"/>
      <c r="S498" s="81"/>
      <c r="T498" s="51"/>
      <c r="U498" s="51"/>
      <c r="V498" s="51">
        <f t="shared" si="63"/>
        <v>0</v>
      </c>
      <c r="W498" s="2"/>
      <c r="Y498" s="74"/>
      <c r="AB498" s="74"/>
      <c r="AD498" s="74"/>
    </row>
    <row r="499" spans="1:39" s="1" customFormat="1" hidden="1" outlineLevel="1" x14ac:dyDescent="0.25">
      <c r="A499" s="2"/>
      <c r="B499" s="51"/>
      <c r="C499" s="51"/>
      <c r="D499" s="51"/>
      <c r="E499" s="51"/>
      <c r="F499" s="51"/>
      <c r="G499" s="51"/>
      <c r="H499" s="80"/>
      <c r="I499" s="51"/>
      <c r="J499" s="51"/>
      <c r="K499" s="51"/>
      <c r="L499" s="51"/>
      <c r="M499" s="51"/>
      <c r="N499" s="81"/>
      <c r="O499" s="51"/>
      <c r="P499" s="51"/>
      <c r="Q499" s="51"/>
      <c r="R499" s="51"/>
      <c r="S499" s="81"/>
      <c r="T499" s="51"/>
      <c r="U499" s="51"/>
      <c r="V499" s="51">
        <f t="shared" si="63"/>
        <v>0</v>
      </c>
      <c r="W499" s="2"/>
      <c r="Y499" s="74"/>
      <c r="AB499" s="74"/>
      <c r="AD499" s="74"/>
    </row>
    <row r="500" spans="1:39" s="1" customFormat="1" hidden="1" outlineLevel="1" x14ac:dyDescent="0.25">
      <c r="A500" s="2"/>
      <c r="B500" s="51"/>
      <c r="C500" s="51"/>
      <c r="D500" s="51"/>
      <c r="E500" s="51"/>
      <c r="F500" s="51"/>
      <c r="G500" s="51"/>
      <c r="H500" s="80"/>
      <c r="I500" s="51"/>
      <c r="J500" s="51"/>
      <c r="K500" s="51"/>
      <c r="L500" s="51"/>
      <c r="M500" s="51"/>
      <c r="N500" s="81"/>
      <c r="O500" s="51"/>
      <c r="P500" s="51"/>
      <c r="Q500" s="51"/>
      <c r="R500" s="51"/>
      <c r="S500" s="81"/>
      <c r="T500" s="51"/>
      <c r="U500" s="51"/>
      <c r="V500" s="51">
        <f t="shared" si="63"/>
        <v>0</v>
      </c>
      <c r="W500" s="2"/>
      <c r="Y500" s="74"/>
      <c r="AB500" s="74"/>
      <c r="AD500" s="74"/>
    </row>
    <row r="501" spans="1:39" s="1" customFormat="1" hidden="1" outlineLevel="1" x14ac:dyDescent="0.25">
      <c r="A501" s="2"/>
      <c r="B501" s="51"/>
      <c r="C501" s="51"/>
      <c r="D501" s="51"/>
      <c r="E501" s="51"/>
      <c r="F501" s="51"/>
      <c r="G501" s="51"/>
      <c r="H501" s="80"/>
      <c r="I501" s="51"/>
      <c r="J501" s="51"/>
      <c r="K501" s="51"/>
      <c r="L501" s="51"/>
      <c r="M501" s="51"/>
      <c r="N501" s="81"/>
      <c r="O501" s="51"/>
      <c r="P501" s="51"/>
      <c r="Q501" s="51"/>
      <c r="R501" s="51"/>
      <c r="S501" s="81"/>
      <c r="T501" s="51"/>
      <c r="U501" s="51"/>
      <c r="V501" s="51">
        <f t="shared" si="63"/>
        <v>0</v>
      </c>
      <c r="W501" s="2"/>
      <c r="Y501" s="74"/>
      <c r="AB501" s="74"/>
      <c r="AD501" s="74"/>
    </row>
    <row r="502" spans="1:39" s="1" customFormat="1" hidden="1" outlineLevel="1" x14ac:dyDescent="0.25">
      <c r="A502" s="2"/>
      <c r="B502" s="51"/>
      <c r="C502" s="51"/>
      <c r="D502" s="51"/>
      <c r="E502" s="51"/>
      <c r="F502" s="51"/>
      <c r="G502" s="51"/>
      <c r="H502" s="80"/>
      <c r="I502" s="51"/>
      <c r="J502" s="51"/>
      <c r="K502" s="51"/>
      <c r="L502" s="51"/>
      <c r="M502" s="51"/>
      <c r="N502" s="81"/>
      <c r="O502" s="51"/>
      <c r="P502" s="51"/>
      <c r="Q502" s="51"/>
      <c r="R502" s="51"/>
      <c r="S502" s="81"/>
      <c r="T502" s="51"/>
      <c r="U502" s="51"/>
      <c r="V502" s="51">
        <f t="shared" si="63"/>
        <v>0</v>
      </c>
      <c r="W502" s="2"/>
      <c r="Y502" s="74"/>
      <c r="AB502" s="74"/>
      <c r="AD502" s="74"/>
    </row>
    <row r="503" spans="1:39" s="1" customFormat="1" hidden="1" outlineLevel="1" x14ac:dyDescent="0.25">
      <c r="A503" s="2"/>
      <c r="B503" s="51"/>
      <c r="C503" s="51"/>
      <c r="D503" s="51"/>
      <c r="E503" s="51"/>
      <c r="F503" s="51"/>
      <c r="G503" s="51"/>
      <c r="H503" s="80"/>
      <c r="I503" s="51"/>
      <c r="J503" s="51"/>
      <c r="K503" s="51"/>
      <c r="L503" s="51"/>
      <c r="M503" s="51"/>
      <c r="N503" s="81"/>
      <c r="O503" s="51"/>
      <c r="P503" s="51"/>
      <c r="Q503" s="51"/>
      <c r="R503" s="51"/>
      <c r="S503" s="81"/>
      <c r="T503" s="51"/>
      <c r="U503" s="51"/>
      <c r="V503" s="51">
        <f t="shared" si="63"/>
        <v>0</v>
      </c>
      <c r="W503" s="2"/>
      <c r="Y503" s="74"/>
      <c r="AB503" s="74"/>
      <c r="AD503" s="74"/>
    </row>
    <row r="504" spans="1:39" ht="15.75" hidden="1" customHeight="1" outlineLevel="1" thickBot="1" x14ac:dyDescent="0.3">
      <c r="A504" s="2"/>
      <c r="B504" s="75"/>
      <c r="C504" s="75"/>
      <c r="D504" s="76"/>
      <c r="E504" s="76"/>
      <c r="F504" s="76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2"/>
      <c r="R504" s="77"/>
      <c r="S504" s="77"/>
      <c r="T504" s="77"/>
      <c r="U504" s="2"/>
      <c r="V504" s="77"/>
      <c r="W504" s="78"/>
      <c r="Y504" s="74"/>
      <c r="Z504" s="6"/>
      <c r="AA504" s="13"/>
      <c r="AB504" s="74"/>
      <c r="AC504" s="6"/>
      <c r="AD504" s="74"/>
      <c r="AE504" s="6"/>
      <c r="AF504" s="6"/>
      <c r="AG504" s="6"/>
      <c r="AH504" s="6"/>
      <c r="AI504" s="6"/>
      <c r="AM504" s="14"/>
    </row>
    <row r="505" spans="1:39" s="1" customFormat="1" ht="12.75" customHeight="1" x14ac:dyDescent="0.25">
      <c r="A505" s="145">
        <v>32</v>
      </c>
      <c r="B505" s="147" t="s">
        <v>221</v>
      </c>
      <c r="C505" s="147" t="s">
        <v>60</v>
      </c>
      <c r="D505" s="156" t="s">
        <v>34</v>
      </c>
      <c r="E505" s="90"/>
      <c r="F505" s="92"/>
      <c r="G505" s="72">
        <f t="shared" ref="G505:U505" si="64">SUM(G507:G516)</f>
        <v>0</v>
      </c>
      <c r="H505" s="72">
        <f t="shared" si="64"/>
        <v>0</v>
      </c>
      <c r="I505" s="72">
        <f t="shared" si="64"/>
        <v>0</v>
      </c>
      <c r="J505" s="72">
        <f t="shared" si="64"/>
        <v>0</v>
      </c>
      <c r="K505" s="72">
        <f t="shared" si="64"/>
        <v>0</v>
      </c>
      <c r="L505" s="72">
        <f t="shared" si="64"/>
        <v>0</v>
      </c>
      <c r="M505" s="72">
        <f t="shared" si="64"/>
        <v>0</v>
      </c>
      <c r="N505" s="72">
        <f t="shared" si="64"/>
        <v>0</v>
      </c>
      <c r="O505" s="72">
        <f t="shared" si="64"/>
        <v>0</v>
      </c>
      <c r="P505" s="72">
        <f t="shared" si="64"/>
        <v>0</v>
      </c>
      <c r="Q505" s="72">
        <f t="shared" si="64"/>
        <v>0</v>
      </c>
      <c r="R505" s="72">
        <f t="shared" si="64"/>
        <v>0</v>
      </c>
      <c r="S505" s="72">
        <f t="shared" si="64"/>
        <v>0</v>
      </c>
      <c r="T505" s="72">
        <f t="shared" si="64"/>
        <v>0</v>
      </c>
      <c r="U505" s="72">
        <f t="shared" si="64"/>
        <v>0</v>
      </c>
      <c r="V505" s="72">
        <f>SUM(V507:V516)</f>
        <v>0</v>
      </c>
      <c r="W505" s="168">
        <f>V505+V506</f>
        <v>0</v>
      </c>
      <c r="Y505" s="74"/>
      <c r="AB505" s="74"/>
      <c r="AD505" s="74"/>
    </row>
    <row r="506" spans="1:39" s="1" customFormat="1" ht="13.8" collapsed="1" thickBot="1" x14ac:dyDescent="0.3">
      <c r="A506" s="146"/>
      <c r="B506" s="148"/>
      <c r="C506" s="148"/>
      <c r="D506" s="157"/>
      <c r="E506" s="91"/>
      <c r="F506" s="93"/>
      <c r="G506" s="73">
        <f>SUM(G518:G535)</f>
        <v>0</v>
      </c>
      <c r="H506" s="79">
        <f>SUM(H518:H535)</f>
        <v>0</v>
      </c>
      <c r="I506" s="79">
        <f>SUM(I518:I535)</f>
        <v>0</v>
      </c>
      <c r="J506" s="73">
        <f t="shared" ref="J506:Q506" si="65">SUM(J518:J535)</f>
        <v>0</v>
      </c>
      <c r="K506" s="73">
        <f t="shared" si="65"/>
        <v>0</v>
      </c>
      <c r="L506" s="73">
        <f t="shared" si="65"/>
        <v>0</v>
      </c>
      <c r="M506" s="73">
        <f t="shared" si="65"/>
        <v>0</v>
      </c>
      <c r="N506" s="73">
        <f t="shared" si="65"/>
        <v>0</v>
      </c>
      <c r="O506" s="73">
        <f t="shared" si="65"/>
        <v>0</v>
      </c>
      <c r="P506" s="73">
        <f t="shared" si="65"/>
        <v>0</v>
      </c>
      <c r="Q506" s="73">
        <f t="shared" si="65"/>
        <v>0</v>
      </c>
      <c r="R506" s="73">
        <f>SUM(R518:R535)</f>
        <v>0</v>
      </c>
      <c r="S506" s="73">
        <f>SUM(S518:S535)</f>
        <v>0</v>
      </c>
      <c r="T506" s="73">
        <f>SUM(T518:T535)</f>
        <v>0</v>
      </c>
      <c r="U506" s="73">
        <f>SUM(U518:U535)</f>
        <v>0</v>
      </c>
      <c r="V506" s="73">
        <f>SUM(V518:V535)</f>
        <v>0</v>
      </c>
      <c r="W506" s="169"/>
      <c r="Y506" s="74"/>
      <c r="Z506" s="74"/>
      <c r="AB506" s="74"/>
      <c r="AD506" s="74"/>
    </row>
    <row r="507" spans="1:39" s="1" customFormat="1" hidden="1" outlineLevel="1" x14ac:dyDescent="0.25">
      <c r="A507" s="2"/>
      <c r="B507" s="51"/>
      <c r="C507" s="51"/>
      <c r="D507" s="51"/>
      <c r="E507" s="51"/>
      <c r="F507" s="51"/>
      <c r="G507" s="51"/>
      <c r="H507" s="51"/>
      <c r="I507" s="51"/>
      <c r="J507" s="51"/>
      <c r="K507" s="51"/>
      <c r="L507" s="51"/>
      <c r="M507" s="51"/>
      <c r="N507" s="51"/>
      <c r="O507" s="51"/>
      <c r="P507" s="51"/>
      <c r="Q507" s="51"/>
      <c r="R507" s="51"/>
      <c r="S507" s="51"/>
      <c r="T507" s="51"/>
      <c r="U507" s="51"/>
      <c r="V507" s="51">
        <f>SUM(G507:U507)</f>
        <v>0</v>
      </c>
      <c r="W507" s="2"/>
      <c r="Y507" s="74"/>
      <c r="AB507" s="74"/>
      <c r="AD507" s="74"/>
    </row>
    <row r="508" spans="1:39" s="1" customFormat="1" hidden="1" outlineLevel="1" x14ac:dyDescent="0.25">
      <c r="A508" s="2"/>
      <c r="B508" s="51"/>
      <c r="C508" s="51"/>
      <c r="D508" s="51"/>
      <c r="E508" s="51"/>
      <c r="F508" s="51"/>
      <c r="G508" s="51"/>
      <c r="H508" s="51"/>
      <c r="I508" s="51"/>
      <c r="J508" s="51"/>
      <c r="K508" s="51"/>
      <c r="L508" s="51"/>
      <c r="M508" s="51"/>
      <c r="N508" s="51"/>
      <c r="O508" s="51"/>
      <c r="P508" s="51"/>
      <c r="Q508" s="51"/>
      <c r="R508" s="51"/>
      <c r="S508" s="51"/>
      <c r="T508" s="51"/>
      <c r="U508" s="51"/>
      <c r="V508" s="51">
        <f>SUM(G508:U508)</f>
        <v>0</v>
      </c>
      <c r="W508" s="2"/>
      <c r="Y508" s="74"/>
      <c r="AB508" s="74"/>
      <c r="AD508" s="74"/>
    </row>
    <row r="509" spans="1:39" s="1" customFormat="1" hidden="1" outlineLevel="1" x14ac:dyDescent="0.25">
      <c r="A509" s="2"/>
      <c r="B509" s="51"/>
      <c r="C509" s="51"/>
      <c r="D509" s="51"/>
      <c r="E509" s="51"/>
      <c r="F509" s="51"/>
      <c r="G509" s="51"/>
      <c r="H509" s="51"/>
      <c r="I509" s="51"/>
      <c r="J509" s="51"/>
      <c r="K509" s="51"/>
      <c r="L509" s="51"/>
      <c r="M509" s="51"/>
      <c r="N509" s="51"/>
      <c r="O509" s="51"/>
      <c r="P509" s="51"/>
      <c r="Q509" s="51"/>
      <c r="R509" s="51"/>
      <c r="S509" s="51"/>
      <c r="T509" s="51"/>
      <c r="U509" s="51"/>
      <c r="V509" s="51">
        <f t="shared" ref="V509:V516" si="66">SUM(G509:U509)</f>
        <v>0</v>
      </c>
      <c r="W509" s="2"/>
      <c r="Y509" s="74"/>
      <c r="AB509" s="74"/>
      <c r="AD509" s="74"/>
    </row>
    <row r="510" spans="1:39" s="1" customFormat="1" hidden="1" outlineLevel="1" x14ac:dyDescent="0.25">
      <c r="A510" s="2"/>
      <c r="B510" s="51"/>
      <c r="C510" s="51"/>
      <c r="D510" s="51"/>
      <c r="E510" s="51"/>
      <c r="F510" s="51"/>
      <c r="G510" s="51"/>
      <c r="H510" s="51"/>
      <c r="I510" s="51"/>
      <c r="J510" s="51"/>
      <c r="K510" s="51"/>
      <c r="L510" s="51"/>
      <c r="M510" s="51"/>
      <c r="N510" s="51"/>
      <c r="O510" s="51"/>
      <c r="P510" s="51"/>
      <c r="Q510" s="51"/>
      <c r="R510" s="51"/>
      <c r="S510" s="51"/>
      <c r="T510" s="51"/>
      <c r="U510" s="51"/>
      <c r="V510" s="51">
        <f t="shared" si="66"/>
        <v>0</v>
      </c>
      <c r="W510" s="2"/>
      <c r="Y510" s="74"/>
      <c r="AB510" s="74"/>
      <c r="AD510" s="74"/>
    </row>
    <row r="511" spans="1:39" s="1" customFormat="1" hidden="1" outlineLevel="1" x14ac:dyDescent="0.25">
      <c r="A511" s="2"/>
      <c r="B511" s="51"/>
      <c r="C511" s="51"/>
      <c r="D511" s="51"/>
      <c r="E511" s="51"/>
      <c r="F511" s="51"/>
      <c r="G511" s="51"/>
      <c r="H511" s="51"/>
      <c r="I511" s="51"/>
      <c r="J511" s="51"/>
      <c r="K511" s="51"/>
      <c r="L511" s="51"/>
      <c r="M511" s="51"/>
      <c r="N511" s="51"/>
      <c r="O511" s="51"/>
      <c r="P511" s="51"/>
      <c r="Q511" s="51"/>
      <c r="R511" s="51"/>
      <c r="S511" s="51"/>
      <c r="T511" s="51"/>
      <c r="U511" s="51"/>
      <c r="V511" s="51">
        <f t="shared" si="66"/>
        <v>0</v>
      </c>
      <c r="W511" s="2"/>
      <c r="Y511" s="74"/>
      <c r="AB511" s="74"/>
      <c r="AD511" s="74"/>
    </row>
    <row r="512" spans="1:39" s="1" customFormat="1" hidden="1" outlineLevel="1" x14ac:dyDescent="0.25">
      <c r="A512" s="2"/>
      <c r="B512" s="51"/>
      <c r="C512" s="51"/>
      <c r="D512" s="51"/>
      <c r="E512" s="51"/>
      <c r="F512" s="51"/>
      <c r="G512" s="51"/>
      <c r="H512" s="51"/>
      <c r="I512" s="51"/>
      <c r="J512" s="51"/>
      <c r="K512" s="51"/>
      <c r="L512" s="51"/>
      <c r="M512" s="51"/>
      <c r="N512" s="51"/>
      <c r="O512" s="51"/>
      <c r="P512" s="51"/>
      <c r="Q512" s="51"/>
      <c r="R512" s="51"/>
      <c r="S512" s="51"/>
      <c r="T512" s="51"/>
      <c r="U512" s="51"/>
      <c r="V512" s="51">
        <f t="shared" si="66"/>
        <v>0</v>
      </c>
      <c r="W512" s="2"/>
      <c r="Y512" s="74"/>
      <c r="AB512" s="74"/>
      <c r="AD512" s="74"/>
    </row>
    <row r="513" spans="1:30" s="1" customFormat="1" hidden="1" outlineLevel="1" x14ac:dyDescent="0.25">
      <c r="A513" s="2"/>
      <c r="B513" s="51"/>
      <c r="C513" s="51"/>
      <c r="D513" s="51"/>
      <c r="E513" s="51"/>
      <c r="F513" s="51"/>
      <c r="G513" s="51"/>
      <c r="H513" s="51"/>
      <c r="I513" s="51"/>
      <c r="J513" s="51"/>
      <c r="K513" s="51"/>
      <c r="L513" s="51"/>
      <c r="M513" s="51"/>
      <c r="N513" s="51"/>
      <c r="O513" s="51"/>
      <c r="P513" s="51"/>
      <c r="Q513" s="51"/>
      <c r="R513" s="51"/>
      <c r="S513" s="51"/>
      <c r="T513" s="51"/>
      <c r="U513" s="51"/>
      <c r="V513" s="51">
        <f t="shared" si="66"/>
        <v>0</v>
      </c>
      <c r="W513" s="2"/>
      <c r="Y513" s="74"/>
      <c r="AB513" s="74"/>
      <c r="AD513" s="74"/>
    </row>
    <row r="514" spans="1:30" s="1" customFormat="1" hidden="1" outlineLevel="1" x14ac:dyDescent="0.25">
      <c r="A514" s="2"/>
      <c r="B514" s="51"/>
      <c r="C514" s="51"/>
      <c r="D514" s="51"/>
      <c r="E514" s="51"/>
      <c r="F514" s="51"/>
      <c r="G514" s="51"/>
      <c r="H514" s="51"/>
      <c r="I514" s="51"/>
      <c r="J514" s="51"/>
      <c r="K514" s="51"/>
      <c r="L514" s="51"/>
      <c r="M514" s="51"/>
      <c r="N514" s="51"/>
      <c r="O514" s="51"/>
      <c r="P514" s="51"/>
      <c r="Q514" s="51"/>
      <c r="R514" s="51"/>
      <c r="S514" s="51"/>
      <c r="T514" s="51"/>
      <c r="U514" s="51"/>
      <c r="V514" s="51">
        <f t="shared" si="66"/>
        <v>0</v>
      </c>
      <c r="W514" s="2"/>
      <c r="Y514" s="74"/>
      <c r="AB514" s="74"/>
      <c r="AD514" s="74"/>
    </row>
    <row r="515" spans="1:30" s="1" customFormat="1" hidden="1" outlineLevel="1" x14ac:dyDescent="0.25">
      <c r="A515" s="2"/>
      <c r="B515" s="51"/>
      <c r="C515" s="51"/>
      <c r="D515" s="51"/>
      <c r="E515" s="51"/>
      <c r="F515" s="51"/>
      <c r="G515" s="51"/>
      <c r="H515" s="51"/>
      <c r="I515" s="51"/>
      <c r="J515" s="51"/>
      <c r="K515" s="51"/>
      <c r="L515" s="51"/>
      <c r="M515" s="51"/>
      <c r="N515" s="51"/>
      <c r="O515" s="51"/>
      <c r="P515" s="51"/>
      <c r="Q515" s="51"/>
      <c r="R515" s="51"/>
      <c r="S515" s="51"/>
      <c r="T515" s="51"/>
      <c r="U515" s="51"/>
      <c r="V515" s="51">
        <f t="shared" si="66"/>
        <v>0</v>
      </c>
      <c r="W515" s="2"/>
      <c r="Y515" s="74"/>
      <c r="AB515" s="74"/>
      <c r="AD515" s="74"/>
    </row>
    <row r="516" spans="1:30" s="1" customFormat="1" hidden="1" outlineLevel="1" x14ac:dyDescent="0.25">
      <c r="A516" s="2"/>
      <c r="B516" s="51"/>
      <c r="C516" s="51"/>
      <c r="D516" s="51"/>
      <c r="E516" s="51"/>
      <c r="F516" s="51"/>
      <c r="G516" s="51"/>
      <c r="H516" s="51"/>
      <c r="I516" s="51"/>
      <c r="J516" s="51"/>
      <c r="K516" s="51"/>
      <c r="L516" s="51"/>
      <c r="M516" s="51"/>
      <c r="N516" s="51"/>
      <c r="O516" s="51"/>
      <c r="P516" s="51"/>
      <c r="Q516" s="51"/>
      <c r="R516" s="51"/>
      <c r="S516" s="51"/>
      <c r="T516" s="51"/>
      <c r="U516" s="51"/>
      <c r="V516" s="51">
        <f t="shared" si="66"/>
        <v>0</v>
      </c>
      <c r="W516" s="2"/>
      <c r="Y516" s="74"/>
      <c r="AB516" s="74"/>
      <c r="AD516" s="74"/>
    </row>
    <row r="517" spans="1:30" s="1" customFormat="1" hidden="1" outlineLevel="1" x14ac:dyDescent="0.25">
      <c r="A517" s="2"/>
      <c r="B517" s="185" t="s">
        <v>29</v>
      </c>
      <c r="C517" s="185"/>
      <c r="D517" s="185"/>
      <c r="E517" s="185"/>
      <c r="F517" s="185"/>
      <c r="G517" s="185"/>
      <c r="H517" s="185"/>
      <c r="I517" s="185"/>
      <c r="J517" s="185"/>
      <c r="K517" s="185"/>
      <c r="L517" s="185"/>
      <c r="M517" s="185"/>
      <c r="N517" s="185"/>
      <c r="O517" s="185"/>
      <c r="P517" s="185"/>
      <c r="Q517" s="185"/>
      <c r="R517" s="185"/>
      <c r="S517" s="185"/>
      <c r="T517" s="185"/>
      <c r="U517" s="185"/>
      <c r="V517" s="104"/>
      <c r="W517" s="2"/>
      <c r="Y517" s="74"/>
      <c r="AB517" s="74"/>
      <c r="AD517" s="74"/>
    </row>
    <row r="518" spans="1:30" s="1" customFormat="1" hidden="1" outlineLevel="1" x14ac:dyDescent="0.25">
      <c r="A518" s="2"/>
      <c r="B518" s="82"/>
      <c r="C518" s="51"/>
      <c r="D518" s="51"/>
      <c r="E518" s="51"/>
      <c r="F518" s="51"/>
      <c r="G518" s="20"/>
      <c r="H518" s="21"/>
      <c r="I518" s="21"/>
      <c r="J518" s="102"/>
      <c r="K518" s="51"/>
      <c r="L518" s="32"/>
      <c r="M518" s="22"/>
      <c r="N518" s="51"/>
      <c r="O518" s="81"/>
      <c r="P518" s="22"/>
      <c r="Q518" s="51"/>
      <c r="R518" s="51"/>
      <c r="S518" s="51"/>
      <c r="T518" s="51"/>
      <c r="U518" s="51"/>
      <c r="V518" s="51">
        <f t="shared" ref="V518:V534" si="67">SUM(G518:U518)</f>
        <v>0</v>
      </c>
      <c r="W518" s="2"/>
      <c r="Y518" s="74"/>
      <c r="AB518" s="74"/>
      <c r="AD518" s="74"/>
    </row>
    <row r="519" spans="1:30" s="1" customFormat="1" hidden="1" outlineLevel="1" x14ac:dyDescent="0.25">
      <c r="A519" s="2"/>
      <c r="B519" s="82"/>
      <c r="C519" s="51"/>
      <c r="D519" s="51"/>
      <c r="E519" s="51"/>
      <c r="F519" s="51"/>
      <c r="G519" s="20"/>
      <c r="H519" s="21"/>
      <c r="I519" s="21"/>
      <c r="J519" s="102"/>
      <c r="K519" s="51"/>
      <c r="L519" s="32"/>
      <c r="M519" s="22"/>
      <c r="N519" s="51"/>
      <c r="O519" s="81"/>
      <c r="P519" s="22"/>
      <c r="Q519" s="51"/>
      <c r="R519" s="51"/>
      <c r="S519" s="51"/>
      <c r="T519" s="51"/>
      <c r="U519" s="51"/>
      <c r="V519" s="51">
        <f t="shared" si="67"/>
        <v>0</v>
      </c>
      <c r="W519" s="2"/>
      <c r="Y519" s="74"/>
      <c r="AB519" s="74"/>
      <c r="AD519" s="74"/>
    </row>
    <row r="520" spans="1:30" s="1" customFormat="1" hidden="1" outlineLevel="1" x14ac:dyDescent="0.25">
      <c r="A520" s="2"/>
      <c r="B520" s="82"/>
      <c r="C520" s="51"/>
      <c r="D520" s="51"/>
      <c r="E520" s="51"/>
      <c r="F520" s="51"/>
      <c r="G520" s="20"/>
      <c r="H520" s="21"/>
      <c r="I520" s="21"/>
      <c r="J520" s="102"/>
      <c r="K520" s="51"/>
      <c r="L520" s="32"/>
      <c r="M520" s="22"/>
      <c r="N520" s="51"/>
      <c r="O520" s="81"/>
      <c r="P520" s="22"/>
      <c r="Q520" s="51"/>
      <c r="R520" s="51"/>
      <c r="S520" s="51"/>
      <c r="T520" s="51"/>
      <c r="U520" s="51"/>
      <c r="V520" s="51">
        <f t="shared" si="67"/>
        <v>0</v>
      </c>
      <c r="W520" s="2"/>
      <c r="Y520" s="74"/>
      <c r="AB520" s="74"/>
      <c r="AD520" s="74"/>
    </row>
    <row r="521" spans="1:30" s="1" customFormat="1" hidden="1" outlineLevel="1" x14ac:dyDescent="0.25">
      <c r="A521" s="2"/>
      <c r="B521" s="82"/>
      <c r="C521" s="51"/>
      <c r="D521" s="51"/>
      <c r="E521" s="51"/>
      <c r="F521" s="51"/>
      <c r="G521" s="20"/>
      <c r="H521" s="21"/>
      <c r="I521" s="21"/>
      <c r="J521" s="102"/>
      <c r="K521" s="51"/>
      <c r="L521" s="32"/>
      <c r="M521" s="22"/>
      <c r="N521" s="51"/>
      <c r="O521" s="81"/>
      <c r="P521" s="22"/>
      <c r="Q521" s="51"/>
      <c r="R521" s="51"/>
      <c r="S521" s="51"/>
      <c r="T521" s="51"/>
      <c r="U521" s="51"/>
      <c r="V521" s="51">
        <f t="shared" si="67"/>
        <v>0</v>
      </c>
      <c r="W521" s="2"/>
      <c r="Y521" s="74"/>
      <c r="AB521" s="74"/>
      <c r="AD521" s="74"/>
    </row>
    <row r="522" spans="1:30" s="1" customFormat="1" hidden="1" outlineLevel="1" x14ac:dyDescent="0.25">
      <c r="A522" s="2"/>
      <c r="B522" s="51"/>
      <c r="C522" s="51"/>
      <c r="D522" s="51"/>
      <c r="E522" s="51"/>
      <c r="F522" s="51"/>
      <c r="G522" s="51"/>
      <c r="H522" s="80"/>
      <c r="I522" s="51"/>
      <c r="J522" s="51"/>
      <c r="K522" s="51"/>
      <c r="L522" s="51"/>
      <c r="M522" s="51"/>
      <c r="N522" s="81"/>
      <c r="O522" s="51"/>
      <c r="P522" s="51"/>
      <c r="Q522" s="51"/>
      <c r="R522" s="51"/>
      <c r="S522" s="51"/>
      <c r="T522" s="51"/>
      <c r="U522" s="51"/>
      <c r="V522" s="51">
        <f t="shared" si="67"/>
        <v>0</v>
      </c>
      <c r="W522" s="2"/>
      <c r="Y522" s="74"/>
      <c r="AB522" s="74"/>
      <c r="AD522" s="74"/>
    </row>
    <row r="523" spans="1:30" s="1" customFormat="1" hidden="1" outlineLevel="1" x14ac:dyDescent="0.25">
      <c r="A523" s="2"/>
      <c r="B523" s="51"/>
      <c r="C523" s="51"/>
      <c r="D523" s="51"/>
      <c r="E523" s="51"/>
      <c r="F523" s="51"/>
      <c r="G523" s="51"/>
      <c r="H523" s="80"/>
      <c r="I523" s="51"/>
      <c r="J523" s="51"/>
      <c r="K523" s="51"/>
      <c r="L523" s="51"/>
      <c r="M523" s="51"/>
      <c r="N523" s="81"/>
      <c r="O523" s="51"/>
      <c r="P523" s="51"/>
      <c r="Q523" s="51"/>
      <c r="R523" s="51"/>
      <c r="S523" s="51"/>
      <c r="T523" s="51"/>
      <c r="U523" s="51"/>
      <c r="V523" s="51">
        <f t="shared" si="67"/>
        <v>0</v>
      </c>
      <c r="W523" s="2"/>
      <c r="Y523" s="74"/>
      <c r="AB523" s="74"/>
      <c r="AD523" s="74"/>
    </row>
    <row r="524" spans="1:30" s="1" customFormat="1" hidden="1" outlineLevel="1" x14ac:dyDescent="0.25">
      <c r="A524" s="2"/>
      <c r="B524" s="51"/>
      <c r="C524" s="51"/>
      <c r="D524" s="51"/>
      <c r="E524" s="51"/>
      <c r="F524" s="51"/>
      <c r="G524" s="51"/>
      <c r="H524" s="80"/>
      <c r="I524" s="51"/>
      <c r="J524" s="51"/>
      <c r="K524" s="51"/>
      <c r="L524" s="51"/>
      <c r="M524" s="51"/>
      <c r="N524" s="81"/>
      <c r="O524" s="51"/>
      <c r="P524" s="51"/>
      <c r="Q524" s="51"/>
      <c r="R524" s="51"/>
      <c r="S524" s="81"/>
      <c r="T524" s="51"/>
      <c r="U524" s="51"/>
      <c r="V524" s="51">
        <f t="shared" si="67"/>
        <v>0</v>
      </c>
      <c r="W524" s="2"/>
      <c r="Y524" s="74"/>
      <c r="AB524" s="74"/>
      <c r="AD524" s="74"/>
    </row>
    <row r="525" spans="1:30" s="1" customFormat="1" hidden="1" outlineLevel="1" x14ac:dyDescent="0.25">
      <c r="A525" s="2"/>
      <c r="B525" s="51"/>
      <c r="C525" s="51"/>
      <c r="D525" s="51"/>
      <c r="E525" s="51"/>
      <c r="F525" s="51"/>
      <c r="G525" s="51"/>
      <c r="H525" s="80"/>
      <c r="I525" s="51"/>
      <c r="J525" s="51"/>
      <c r="K525" s="51"/>
      <c r="L525" s="51"/>
      <c r="M525" s="51"/>
      <c r="N525" s="81"/>
      <c r="O525" s="51"/>
      <c r="P525" s="51"/>
      <c r="Q525" s="51"/>
      <c r="R525" s="51"/>
      <c r="S525" s="81"/>
      <c r="T525" s="51"/>
      <c r="U525" s="51"/>
      <c r="V525" s="51">
        <f t="shared" si="67"/>
        <v>0</v>
      </c>
      <c r="W525" s="2"/>
      <c r="Y525" s="74"/>
      <c r="AB525" s="74"/>
      <c r="AD525" s="74"/>
    </row>
    <row r="526" spans="1:30" s="1" customFormat="1" hidden="1" outlineLevel="1" x14ac:dyDescent="0.25">
      <c r="A526" s="2"/>
      <c r="B526" s="51"/>
      <c r="C526" s="51"/>
      <c r="D526" s="51"/>
      <c r="E526" s="51"/>
      <c r="F526" s="51"/>
      <c r="G526" s="51"/>
      <c r="H526" s="80"/>
      <c r="I526" s="51"/>
      <c r="J526" s="51"/>
      <c r="K526" s="51"/>
      <c r="L526" s="51"/>
      <c r="M526" s="51"/>
      <c r="N526" s="81"/>
      <c r="O526" s="51"/>
      <c r="P526" s="51"/>
      <c r="Q526" s="51"/>
      <c r="R526" s="51"/>
      <c r="S526" s="81"/>
      <c r="T526" s="51"/>
      <c r="U526" s="51"/>
      <c r="V526" s="51">
        <f t="shared" si="67"/>
        <v>0</v>
      </c>
      <c r="W526" s="2"/>
      <c r="Y526" s="74"/>
      <c r="AB526" s="74"/>
      <c r="AD526" s="74"/>
    </row>
    <row r="527" spans="1:30" s="1" customFormat="1" hidden="1" outlineLevel="1" x14ac:dyDescent="0.25">
      <c r="A527" s="2"/>
      <c r="B527" s="51"/>
      <c r="C527" s="51"/>
      <c r="D527" s="51"/>
      <c r="E527" s="51"/>
      <c r="F527" s="51"/>
      <c r="G527" s="51"/>
      <c r="H527" s="80"/>
      <c r="I527" s="51"/>
      <c r="J527" s="51"/>
      <c r="K527" s="51"/>
      <c r="L527" s="51"/>
      <c r="M527" s="51"/>
      <c r="N527" s="81"/>
      <c r="O527" s="51"/>
      <c r="P527" s="51"/>
      <c r="Q527" s="51"/>
      <c r="R527" s="51"/>
      <c r="S527" s="81"/>
      <c r="T527" s="51"/>
      <c r="U527" s="51"/>
      <c r="V527" s="51">
        <f t="shared" si="67"/>
        <v>0</v>
      </c>
      <c r="W527" s="2"/>
      <c r="Y527" s="74"/>
      <c r="AB527" s="74"/>
      <c r="AD527" s="74"/>
    </row>
    <row r="528" spans="1:30" s="1" customFormat="1" hidden="1" outlineLevel="1" x14ac:dyDescent="0.25">
      <c r="A528" s="2"/>
      <c r="B528" s="51"/>
      <c r="C528" s="51"/>
      <c r="D528" s="51"/>
      <c r="E528" s="51"/>
      <c r="F528" s="51"/>
      <c r="G528" s="51"/>
      <c r="H528" s="80"/>
      <c r="I528" s="51"/>
      <c r="J528" s="51"/>
      <c r="K528" s="51"/>
      <c r="L528" s="51"/>
      <c r="M528" s="51"/>
      <c r="N528" s="81"/>
      <c r="O528" s="51"/>
      <c r="P528" s="51"/>
      <c r="Q528" s="51"/>
      <c r="R528" s="51"/>
      <c r="S528" s="81"/>
      <c r="T528" s="51"/>
      <c r="U528" s="51"/>
      <c r="V528" s="51">
        <f t="shared" si="67"/>
        <v>0</v>
      </c>
      <c r="W528" s="2"/>
      <c r="Y528" s="74"/>
      <c r="AB528" s="74"/>
      <c r="AD528" s="74"/>
    </row>
    <row r="529" spans="1:39" s="1" customFormat="1" hidden="1" outlineLevel="1" x14ac:dyDescent="0.25">
      <c r="A529" s="2"/>
      <c r="B529" s="51"/>
      <c r="C529" s="51"/>
      <c r="D529" s="51"/>
      <c r="E529" s="51"/>
      <c r="F529" s="51"/>
      <c r="G529" s="51"/>
      <c r="H529" s="80"/>
      <c r="I529" s="51"/>
      <c r="J529" s="51"/>
      <c r="K529" s="51"/>
      <c r="L529" s="51"/>
      <c r="M529" s="51"/>
      <c r="N529" s="81"/>
      <c r="O529" s="51"/>
      <c r="P529" s="51"/>
      <c r="Q529" s="51"/>
      <c r="R529" s="51"/>
      <c r="S529" s="81"/>
      <c r="T529" s="51"/>
      <c r="U529" s="51"/>
      <c r="V529" s="51">
        <f t="shared" si="67"/>
        <v>0</v>
      </c>
      <c r="W529" s="2"/>
      <c r="Y529" s="74"/>
      <c r="AB529" s="74"/>
      <c r="AD529" s="74"/>
    </row>
    <row r="530" spans="1:39" s="1" customFormat="1" hidden="1" outlineLevel="1" x14ac:dyDescent="0.25">
      <c r="A530" s="2"/>
      <c r="B530" s="51"/>
      <c r="C530" s="51"/>
      <c r="D530" s="51"/>
      <c r="E530" s="51"/>
      <c r="F530" s="51"/>
      <c r="G530" s="51"/>
      <c r="H530" s="80"/>
      <c r="I530" s="51"/>
      <c r="J530" s="51"/>
      <c r="K530" s="51"/>
      <c r="L530" s="51"/>
      <c r="M530" s="51"/>
      <c r="N530" s="81"/>
      <c r="O530" s="51"/>
      <c r="P530" s="51"/>
      <c r="Q530" s="51"/>
      <c r="R530" s="51"/>
      <c r="S530" s="81"/>
      <c r="T530" s="51"/>
      <c r="U530" s="51"/>
      <c r="V530" s="51">
        <f t="shared" si="67"/>
        <v>0</v>
      </c>
      <c r="W530" s="2"/>
      <c r="Y530" s="74"/>
      <c r="AB530" s="74"/>
      <c r="AD530" s="74"/>
    </row>
    <row r="531" spans="1:39" s="1" customFormat="1" hidden="1" outlineLevel="1" x14ac:dyDescent="0.25">
      <c r="A531" s="2"/>
      <c r="B531" s="51"/>
      <c r="C531" s="51"/>
      <c r="D531" s="51"/>
      <c r="E531" s="51"/>
      <c r="F531" s="51"/>
      <c r="G531" s="51"/>
      <c r="H531" s="80"/>
      <c r="I531" s="51"/>
      <c r="J531" s="51"/>
      <c r="K531" s="51"/>
      <c r="L531" s="51"/>
      <c r="M531" s="51"/>
      <c r="N531" s="81"/>
      <c r="O531" s="51"/>
      <c r="P531" s="51"/>
      <c r="Q531" s="51"/>
      <c r="R531" s="51"/>
      <c r="S531" s="81"/>
      <c r="T531" s="51"/>
      <c r="U531" s="51"/>
      <c r="V531" s="51">
        <f t="shared" si="67"/>
        <v>0</v>
      </c>
      <c r="W531" s="2"/>
      <c r="Y531" s="74"/>
      <c r="AB531" s="74"/>
      <c r="AD531" s="74"/>
    </row>
    <row r="532" spans="1:39" s="1" customFormat="1" hidden="1" outlineLevel="1" x14ac:dyDescent="0.25">
      <c r="A532" s="2"/>
      <c r="B532" s="51"/>
      <c r="C532" s="51"/>
      <c r="D532" s="51"/>
      <c r="E532" s="51"/>
      <c r="F532" s="51"/>
      <c r="G532" s="51"/>
      <c r="H532" s="80"/>
      <c r="I532" s="51"/>
      <c r="J532" s="51"/>
      <c r="K532" s="51"/>
      <c r="L532" s="51"/>
      <c r="M532" s="51"/>
      <c r="N532" s="81"/>
      <c r="O532" s="51"/>
      <c r="P532" s="51"/>
      <c r="Q532" s="51"/>
      <c r="R532" s="51"/>
      <c r="S532" s="81"/>
      <c r="T532" s="51"/>
      <c r="U532" s="51"/>
      <c r="V532" s="51">
        <f t="shared" si="67"/>
        <v>0</v>
      </c>
      <c r="W532" s="2"/>
      <c r="Y532" s="74"/>
      <c r="AB532" s="74"/>
      <c r="AD532" s="74"/>
    </row>
    <row r="533" spans="1:39" s="1" customFormat="1" hidden="1" outlineLevel="1" x14ac:dyDescent="0.25">
      <c r="A533" s="2"/>
      <c r="B533" s="51"/>
      <c r="C533" s="51"/>
      <c r="D533" s="51"/>
      <c r="E533" s="51"/>
      <c r="F533" s="51"/>
      <c r="G533" s="51"/>
      <c r="H533" s="80"/>
      <c r="I533" s="51"/>
      <c r="J533" s="51"/>
      <c r="K533" s="51"/>
      <c r="L533" s="51"/>
      <c r="M533" s="51"/>
      <c r="N533" s="81"/>
      <c r="O533" s="51"/>
      <c r="P533" s="51"/>
      <c r="Q533" s="51"/>
      <c r="R533" s="51"/>
      <c r="S533" s="81"/>
      <c r="T533" s="51"/>
      <c r="U533" s="51"/>
      <c r="V533" s="51">
        <f t="shared" si="67"/>
        <v>0</v>
      </c>
      <c r="W533" s="2"/>
      <c r="Y533" s="74"/>
      <c r="AB533" s="74"/>
      <c r="AD533" s="74"/>
    </row>
    <row r="534" spans="1:39" s="1" customFormat="1" hidden="1" outlineLevel="1" x14ac:dyDescent="0.25">
      <c r="A534" s="2"/>
      <c r="B534" s="51"/>
      <c r="C534" s="51"/>
      <c r="D534" s="51"/>
      <c r="E534" s="51"/>
      <c r="F534" s="51"/>
      <c r="G534" s="51"/>
      <c r="H534" s="80"/>
      <c r="I534" s="51"/>
      <c r="J534" s="51"/>
      <c r="K534" s="51"/>
      <c r="L534" s="51"/>
      <c r="M534" s="51"/>
      <c r="N534" s="81"/>
      <c r="O534" s="51"/>
      <c r="P534" s="51"/>
      <c r="Q534" s="51"/>
      <c r="R534" s="51"/>
      <c r="S534" s="81"/>
      <c r="T534" s="51"/>
      <c r="U534" s="51"/>
      <c r="V534" s="51">
        <f t="shared" si="67"/>
        <v>0</v>
      </c>
      <c r="W534" s="2"/>
      <c r="Y534" s="74"/>
      <c r="AB534" s="74"/>
      <c r="AD534" s="74"/>
    </row>
    <row r="535" spans="1:39" ht="15.75" hidden="1" customHeight="1" outlineLevel="1" thickBot="1" x14ac:dyDescent="0.3">
      <c r="A535" s="2"/>
      <c r="B535" s="75"/>
      <c r="C535" s="75"/>
      <c r="D535" s="76"/>
      <c r="E535" s="76"/>
      <c r="F535" s="76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2"/>
      <c r="R535" s="77"/>
      <c r="S535" s="77"/>
      <c r="T535" s="77"/>
      <c r="U535" s="2"/>
      <c r="V535" s="77"/>
      <c r="W535" s="78"/>
      <c r="Y535" s="74"/>
      <c r="Z535" s="6"/>
      <c r="AA535" s="13"/>
      <c r="AB535" s="74"/>
      <c r="AC535" s="6"/>
      <c r="AD535" s="74"/>
      <c r="AE535" s="6"/>
      <c r="AF535" s="6"/>
      <c r="AG535" s="6"/>
      <c r="AH535" s="6"/>
      <c r="AI535" s="6"/>
      <c r="AM535" s="14"/>
    </row>
    <row r="536" spans="1:39" s="1" customFormat="1" ht="12.75" customHeight="1" x14ac:dyDescent="0.25">
      <c r="A536" s="145">
        <v>33</v>
      </c>
      <c r="B536" s="147" t="s">
        <v>222</v>
      </c>
      <c r="C536" s="147" t="s">
        <v>9</v>
      </c>
      <c r="D536" s="156" t="s">
        <v>34</v>
      </c>
      <c r="E536" s="90" t="s">
        <v>15</v>
      </c>
      <c r="F536" s="92"/>
      <c r="G536" s="72">
        <f t="shared" ref="G536:U536" si="68">SUM(G538:G547)</f>
        <v>0</v>
      </c>
      <c r="H536" s="72">
        <f t="shared" si="68"/>
        <v>0</v>
      </c>
      <c r="I536" s="72">
        <f t="shared" si="68"/>
        <v>0</v>
      </c>
      <c r="J536" s="72">
        <f t="shared" si="68"/>
        <v>0</v>
      </c>
      <c r="K536" s="72">
        <f t="shared" si="68"/>
        <v>0</v>
      </c>
      <c r="L536" s="72">
        <f t="shared" si="68"/>
        <v>0</v>
      </c>
      <c r="M536" s="72">
        <f t="shared" si="68"/>
        <v>0</v>
      </c>
      <c r="N536" s="72">
        <f t="shared" si="68"/>
        <v>0</v>
      </c>
      <c r="O536" s="72">
        <f t="shared" si="68"/>
        <v>0</v>
      </c>
      <c r="P536" s="72">
        <f t="shared" si="68"/>
        <v>0</v>
      </c>
      <c r="Q536" s="72">
        <f t="shared" si="68"/>
        <v>0</v>
      </c>
      <c r="R536" s="72">
        <f t="shared" si="68"/>
        <v>0</v>
      </c>
      <c r="S536" s="72">
        <f t="shared" si="68"/>
        <v>0</v>
      </c>
      <c r="T536" s="72">
        <f t="shared" si="68"/>
        <v>0</v>
      </c>
      <c r="U536" s="72">
        <f t="shared" si="68"/>
        <v>0</v>
      </c>
      <c r="V536" s="72">
        <f>SUM(V538:V547)</f>
        <v>0</v>
      </c>
      <c r="W536" s="168">
        <f>V536+V537</f>
        <v>0</v>
      </c>
      <c r="Y536" s="74"/>
      <c r="AB536" s="74"/>
      <c r="AD536" s="74"/>
    </row>
    <row r="537" spans="1:39" s="1" customFormat="1" ht="13.8" collapsed="1" thickBot="1" x14ac:dyDescent="0.3">
      <c r="A537" s="146"/>
      <c r="B537" s="148"/>
      <c r="C537" s="148"/>
      <c r="D537" s="157"/>
      <c r="E537" s="91"/>
      <c r="F537" s="93"/>
      <c r="G537" s="73">
        <f>SUM(G549:G566)</f>
        <v>0</v>
      </c>
      <c r="H537" s="79">
        <f>SUM(H549:H566)</f>
        <v>0</v>
      </c>
      <c r="I537" s="79">
        <f>SUM(I549:I566)</f>
        <v>0</v>
      </c>
      <c r="J537" s="73">
        <f t="shared" ref="J537:Q537" si="69">SUM(J549:J566)</f>
        <v>0</v>
      </c>
      <c r="K537" s="73">
        <f t="shared" si="69"/>
        <v>0</v>
      </c>
      <c r="L537" s="73">
        <f t="shared" si="69"/>
        <v>0</v>
      </c>
      <c r="M537" s="73">
        <f t="shared" si="69"/>
        <v>0</v>
      </c>
      <c r="N537" s="73">
        <f t="shared" si="69"/>
        <v>0</v>
      </c>
      <c r="O537" s="73">
        <f t="shared" si="69"/>
        <v>0</v>
      </c>
      <c r="P537" s="73">
        <f t="shared" si="69"/>
        <v>0</v>
      </c>
      <c r="Q537" s="73">
        <f t="shared" si="69"/>
        <v>0</v>
      </c>
      <c r="R537" s="73">
        <f>SUM(R549:R566)</f>
        <v>0</v>
      </c>
      <c r="S537" s="73">
        <f>SUM(S549:S566)</f>
        <v>0</v>
      </c>
      <c r="T537" s="73">
        <f>SUM(T549:T566)</f>
        <v>0</v>
      </c>
      <c r="U537" s="73">
        <f>SUM(U549:U566)</f>
        <v>0</v>
      </c>
      <c r="V537" s="73">
        <f>SUM(V549:V566)</f>
        <v>0</v>
      </c>
      <c r="W537" s="169"/>
      <c r="Y537" s="74"/>
      <c r="Z537" s="74"/>
      <c r="AB537" s="74"/>
      <c r="AD537" s="74"/>
    </row>
    <row r="538" spans="1:39" s="1" customFormat="1" hidden="1" outlineLevel="1" x14ac:dyDescent="0.25">
      <c r="A538" s="2"/>
      <c r="B538" s="51"/>
      <c r="C538" s="51"/>
      <c r="D538" s="51"/>
      <c r="E538" s="51"/>
      <c r="F538" s="51"/>
      <c r="G538" s="51"/>
      <c r="H538" s="51"/>
      <c r="I538" s="51"/>
      <c r="J538" s="51"/>
      <c r="K538" s="51"/>
      <c r="L538" s="51"/>
      <c r="M538" s="51"/>
      <c r="N538" s="51"/>
      <c r="O538" s="51"/>
      <c r="P538" s="51"/>
      <c r="Q538" s="51"/>
      <c r="R538" s="51"/>
      <c r="S538" s="51"/>
      <c r="T538" s="51"/>
      <c r="U538" s="51"/>
      <c r="V538" s="51">
        <f>SUM(G538:U538)</f>
        <v>0</v>
      </c>
      <c r="W538" s="2"/>
      <c r="Y538" s="74"/>
      <c r="AB538" s="74"/>
      <c r="AD538" s="74"/>
    </row>
    <row r="539" spans="1:39" s="1" customFormat="1" hidden="1" outlineLevel="1" x14ac:dyDescent="0.25">
      <c r="A539" s="2"/>
      <c r="B539" s="51"/>
      <c r="C539" s="51"/>
      <c r="D539" s="51"/>
      <c r="E539" s="51"/>
      <c r="F539" s="51"/>
      <c r="G539" s="51"/>
      <c r="H539" s="51"/>
      <c r="I539" s="51"/>
      <c r="J539" s="51"/>
      <c r="K539" s="51"/>
      <c r="L539" s="51"/>
      <c r="M539" s="51"/>
      <c r="N539" s="51"/>
      <c r="O539" s="51"/>
      <c r="P539" s="51"/>
      <c r="Q539" s="51"/>
      <c r="R539" s="51"/>
      <c r="S539" s="51"/>
      <c r="T539" s="51"/>
      <c r="U539" s="51"/>
      <c r="V539" s="51">
        <f>SUM(G539:U539)</f>
        <v>0</v>
      </c>
      <c r="W539" s="2"/>
      <c r="Y539" s="74"/>
      <c r="AB539" s="74"/>
      <c r="AD539" s="74"/>
    </row>
    <row r="540" spans="1:39" s="1" customFormat="1" hidden="1" outlineLevel="1" x14ac:dyDescent="0.25">
      <c r="A540" s="2"/>
      <c r="B540" s="51"/>
      <c r="C540" s="51"/>
      <c r="D540" s="51"/>
      <c r="E540" s="51"/>
      <c r="F540" s="51"/>
      <c r="G540" s="51"/>
      <c r="H540" s="51"/>
      <c r="I540" s="51"/>
      <c r="J540" s="51"/>
      <c r="K540" s="51"/>
      <c r="L540" s="51"/>
      <c r="M540" s="51"/>
      <c r="N540" s="51"/>
      <c r="O540" s="51"/>
      <c r="P540" s="51"/>
      <c r="Q540" s="51"/>
      <c r="R540" s="51"/>
      <c r="S540" s="51"/>
      <c r="T540" s="51"/>
      <c r="U540" s="51"/>
      <c r="V540" s="51">
        <f t="shared" ref="V540:V547" si="70">SUM(G540:U540)</f>
        <v>0</v>
      </c>
      <c r="W540" s="2"/>
      <c r="Y540" s="74"/>
      <c r="AB540" s="74"/>
      <c r="AD540" s="74"/>
    </row>
    <row r="541" spans="1:39" s="1" customFormat="1" hidden="1" outlineLevel="1" x14ac:dyDescent="0.25">
      <c r="A541" s="2"/>
      <c r="B541" s="51"/>
      <c r="C541" s="51"/>
      <c r="D541" s="51"/>
      <c r="E541" s="51"/>
      <c r="F541" s="51"/>
      <c r="G541" s="51"/>
      <c r="H541" s="51"/>
      <c r="I541" s="51"/>
      <c r="J541" s="51"/>
      <c r="K541" s="51"/>
      <c r="L541" s="51"/>
      <c r="M541" s="51"/>
      <c r="N541" s="51"/>
      <c r="O541" s="51"/>
      <c r="P541" s="51"/>
      <c r="Q541" s="51"/>
      <c r="R541" s="51"/>
      <c r="S541" s="51"/>
      <c r="T541" s="51"/>
      <c r="U541" s="51"/>
      <c r="V541" s="51">
        <f t="shared" si="70"/>
        <v>0</v>
      </c>
      <c r="W541" s="2"/>
      <c r="Y541" s="74"/>
      <c r="AB541" s="74"/>
      <c r="AD541" s="74"/>
    </row>
    <row r="542" spans="1:39" s="1" customFormat="1" hidden="1" outlineLevel="1" x14ac:dyDescent="0.25">
      <c r="A542" s="2"/>
      <c r="B542" s="51"/>
      <c r="C542" s="51"/>
      <c r="D542" s="51"/>
      <c r="E542" s="51"/>
      <c r="F542" s="51"/>
      <c r="G542" s="51"/>
      <c r="H542" s="51"/>
      <c r="I542" s="51"/>
      <c r="J542" s="51"/>
      <c r="K542" s="51"/>
      <c r="L542" s="51"/>
      <c r="M542" s="51"/>
      <c r="N542" s="51"/>
      <c r="O542" s="51"/>
      <c r="P542" s="51"/>
      <c r="Q542" s="51"/>
      <c r="R542" s="51"/>
      <c r="S542" s="51"/>
      <c r="T542" s="51"/>
      <c r="U542" s="51"/>
      <c r="V542" s="51">
        <f t="shared" si="70"/>
        <v>0</v>
      </c>
      <c r="W542" s="2"/>
      <c r="Y542" s="74"/>
      <c r="AB542" s="74"/>
      <c r="AD542" s="74"/>
    </row>
    <row r="543" spans="1:39" s="1" customFormat="1" hidden="1" outlineLevel="1" x14ac:dyDescent="0.25">
      <c r="A543" s="2"/>
      <c r="B543" s="51"/>
      <c r="C543" s="51"/>
      <c r="D543" s="51"/>
      <c r="E543" s="51"/>
      <c r="F543" s="51"/>
      <c r="G543" s="51"/>
      <c r="H543" s="51"/>
      <c r="I543" s="51"/>
      <c r="J543" s="51"/>
      <c r="K543" s="51"/>
      <c r="L543" s="51"/>
      <c r="M543" s="51"/>
      <c r="N543" s="51"/>
      <c r="O543" s="51"/>
      <c r="P543" s="51"/>
      <c r="Q543" s="51"/>
      <c r="R543" s="51"/>
      <c r="S543" s="51"/>
      <c r="T543" s="51"/>
      <c r="U543" s="51"/>
      <c r="V543" s="51">
        <f t="shared" si="70"/>
        <v>0</v>
      </c>
      <c r="W543" s="2"/>
      <c r="Y543" s="74"/>
      <c r="AB543" s="74"/>
      <c r="AD543" s="74"/>
    </row>
    <row r="544" spans="1:39" s="1" customFormat="1" hidden="1" outlineLevel="1" x14ac:dyDescent="0.25">
      <c r="A544" s="2"/>
      <c r="B544" s="51"/>
      <c r="C544" s="51"/>
      <c r="D544" s="51"/>
      <c r="E544" s="51"/>
      <c r="F544" s="51"/>
      <c r="G544" s="51"/>
      <c r="H544" s="51"/>
      <c r="I544" s="51"/>
      <c r="J544" s="51"/>
      <c r="K544" s="51"/>
      <c r="L544" s="51"/>
      <c r="M544" s="51"/>
      <c r="N544" s="51"/>
      <c r="O544" s="51"/>
      <c r="P544" s="51"/>
      <c r="Q544" s="51"/>
      <c r="R544" s="51"/>
      <c r="S544" s="51"/>
      <c r="T544" s="51"/>
      <c r="U544" s="51"/>
      <c r="V544" s="51">
        <f t="shared" si="70"/>
        <v>0</v>
      </c>
      <c r="W544" s="2"/>
      <c r="Y544" s="74"/>
      <c r="AB544" s="74"/>
      <c r="AD544" s="74"/>
    </row>
    <row r="545" spans="1:30" s="1" customFormat="1" hidden="1" outlineLevel="1" x14ac:dyDescent="0.25">
      <c r="A545" s="2"/>
      <c r="B545" s="51"/>
      <c r="C545" s="51"/>
      <c r="D545" s="51"/>
      <c r="E545" s="51"/>
      <c r="F545" s="51"/>
      <c r="G545" s="51"/>
      <c r="H545" s="51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>
        <f t="shared" si="70"/>
        <v>0</v>
      </c>
      <c r="W545" s="2"/>
      <c r="Y545" s="74"/>
      <c r="AB545" s="74"/>
      <c r="AD545" s="74"/>
    </row>
    <row r="546" spans="1:30" s="1" customFormat="1" hidden="1" outlineLevel="1" x14ac:dyDescent="0.25">
      <c r="A546" s="2"/>
      <c r="B546" s="51"/>
      <c r="C546" s="51"/>
      <c r="D546" s="51"/>
      <c r="E546" s="51"/>
      <c r="F546" s="51"/>
      <c r="G546" s="51"/>
      <c r="H546" s="51"/>
      <c r="I546" s="51"/>
      <c r="J546" s="51"/>
      <c r="K546" s="51"/>
      <c r="L546" s="51"/>
      <c r="M546" s="51"/>
      <c r="N546" s="51"/>
      <c r="O546" s="51"/>
      <c r="P546" s="51"/>
      <c r="Q546" s="51"/>
      <c r="R546" s="51"/>
      <c r="S546" s="51"/>
      <c r="T546" s="51"/>
      <c r="U546" s="51"/>
      <c r="V546" s="51">
        <f t="shared" si="70"/>
        <v>0</v>
      </c>
      <c r="W546" s="2"/>
      <c r="Y546" s="74"/>
      <c r="AB546" s="74"/>
      <c r="AD546" s="74"/>
    </row>
    <row r="547" spans="1:30" s="1" customFormat="1" hidden="1" outlineLevel="1" x14ac:dyDescent="0.25">
      <c r="A547" s="2"/>
      <c r="B547" s="51"/>
      <c r="C547" s="51"/>
      <c r="D547" s="51"/>
      <c r="E547" s="51"/>
      <c r="F547" s="51"/>
      <c r="G547" s="51"/>
      <c r="H547" s="51"/>
      <c r="I547" s="51"/>
      <c r="J547" s="51"/>
      <c r="K547" s="51"/>
      <c r="L547" s="51"/>
      <c r="M547" s="51"/>
      <c r="N547" s="51"/>
      <c r="O547" s="51"/>
      <c r="P547" s="51"/>
      <c r="Q547" s="51"/>
      <c r="R547" s="51"/>
      <c r="S547" s="51"/>
      <c r="T547" s="51"/>
      <c r="U547" s="51"/>
      <c r="V547" s="51">
        <f t="shared" si="70"/>
        <v>0</v>
      </c>
      <c r="W547" s="2"/>
      <c r="Y547" s="74"/>
      <c r="AB547" s="74"/>
      <c r="AD547" s="74"/>
    </row>
    <row r="548" spans="1:30" s="1" customFormat="1" hidden="1" outlineLevel="1" x14ac:dyDescent="0.25">
      <c r="A548" s="2"/>
      <c r="B548" s="185" t="s">
        <v>29</v>
      </c>
      <c r="C548" s="185"/>
      <c r="D548" s="185"/>
      <c r="E548" s="185"/>
      <c r="F548" s="185"/>
      <c r="G548" s="185"/>
      <c r="H548" s="185"/>
      <c r="I548" s="185"/>
      <c r="J548" s="185"/>
      <c r="K548" s="185"/>
      <c r="L548" s="185"/>
      <c r="M548" s="185"/>
      <c r="N548" s="185"/>
      <c r="O548" s="185"/>
      <c r="P548" s="185"/>
      <c r="Q548" s="185"/>
      <c r="R548" s="185"/>
      <c r="S548" s="185"/>
      <c r="T548" s="185"/>
      <c r="U548" s="185"/>
      <c r="V548" s="104"/>
      <c r="W548" s="2"/>
      <c r="Y548" s="74"/>
      <c r="AB548" s="74"/>
      <c r="AD548" s="74"/>
    </row>
    <row r="549" spans="1:30" s="1" customFormat="1" hidden="1" outlineLevel="1" x14ac:dyDescent="0.25">
      <c r="A549" s="2"/>
      <c r="B549" s="82"/>
      <c r="C549" s="51"/>
      <c r="D549" s="51"/>
      <c r="E549" s="51"/>
      <c r="F549" s="51"/>
      <c r="G549" s="20"/>
      <c r="H549" s="21"/>
      <c r="I549" s="21"/>
      <c r="J549" s="102"/>
      <c r="K549" s="51"/>
      <c r="L549" s="32"/>
      <c r="M549" s="22"/>
      <c r="N549" s="51"/>
      <c r="O549" s="81"/>
      <c r="P549" s="22"/>
      <c r="Q549" s="51"/>
      <c r="R549" s="51"/>
      <c r="S549" s="51"/>
      <c r="T549" s="51"/>
      <c r="U549" s="51"/>
      <c r="V549" s="51">
        <f t="shared" ref="V549:V565" si="71">SUM(G549:U549)</f>
        <v>0</v>
      </c>
      <c r="W549" s="2"/>
      <c r="Y549" s="74"/>
      <c r="AB549" s="74"/>
      <c r="AD549" s="74"/>
    </row>
    <row r="550" spans="1:30" s="1" customFormat="1" hidden="1" outlineLevel="1" x14ac:dyDescent="0.25">
      <c r="A550" s="2"/>
      <c r="B550" s="82"/>
      <c r="C550" s="51"/>
      <c r="D550" s="51"/>
      <c r="E550" s="51"/>
      <c r="F550" s="51"/>
      <c r="G550" s="20"/>
      <c r="H550" s="21"/>
      <c r="I550" s="21"/>
      <c r="J550" s="102"/>
      <c r="K550" s="51"/>
      <c r="L550" s="32"/>
      <c r="M550" s="22"/>
      <c r="N550" s="51"/>
      <c r="O550" s="81"/>
      <c r="P550" s="22"/>
      <c r="Q550" s="51"/>
      <c r="R550" s="51"/>
      <c r="S550" s="51"/>
      <c r="T550" s="51"/>
      <c r="U550" s="51"/>
      <c r="V550" s="51">
        <f t="shared" si="71"/>
        <v>0</v>
      </c>
      <c r="W550" s="2"/>
      <c r="Y550" s="74"/>
      <c r="AB550" s="74"/>
      <c r="AD550" s="74"/>
    </row>
    <row r="551" spans="1:30" s="1" customFormat="1" hidden="1" outlineLevel="1" x14ac:dyDescent="0.25">
      <c r="A551" s="2"/>
      <c r="B551" s="82"/>
      <c r="C551" s="51"/>
      <c r="D551" s="51"/>
      <c r="E551" s="51"/>
      <c r="F551" s="51"/>
      <c r="G551" s="20"/>
      <c r="H551" s="21"/>
      <c r="I551" s="21"/>
      <c r="J551" s="102"/>
      <c r="K551" s="51"/>
      <c r="L551" s="32"/>
      <c r="M551" s="22"/>
      <c r="N551" s="51"/>
      <c r="O551" s="81"/>
      <c r="P551" s="22"/>
      <c r="Q551" s="51"/>
      <c r="R551" s="51"/>
      <c r="S551" s="51"/>
      <c r="T551" s="51"/>
      <c r="U551" s="51"/>
      <c r="V551" s="51">
        <f t="shared" si="71"/>
        <v>0</v>
      </c>
      <c r="W551" s="2"/>
      <c r="Y551" s="74"/>
      <c r="AB551" s="74"/>
      <c r="AD551" s="74"/>
    </row>
    <row r="552" spans="1:30" s="1" customFormat="1" hidden="1" outlineLevel="1" x14ac:dyDescent="0.25">
      <c r="A552" s="2"/>
      <c r="B552" s="82"/>
      <c r="C552" s="51"/>
      <c r="D552" s="51"/>
      <c r="E552" s="51"/>
      <c r="F552" s="51"/>
      <c r="G552" s="20"/>
      <c r="H552" s="21"/>
      <c r="I552" s="21"/>
      <c r="J552" s="102"/>
      <c r="K552" s="51"/>
      <c r="L552" s="32"/>
      <c r="M552" s="22"/>
      <c r="N552" s="51"/>
      <c r="O552" s="81"/>
      <c r="P552" s="22"/>
      <c r="Q552" s="51"/>
      <c r="R552" s="51"/>
      <c r="S552" s="51"/>
      <c r="T552" s="51"/>
      <c r="U552" s="51"/>
      <c r="V552" s="51">
        <f t="shared" si="71"/>
        <v>0</v>
      </c>
      <c r="W552" s="2"/>
      <c r="Y552" s="74"/>
      <c r="AB552" s="74"/>
      <c r="AD552" s="74"/>
    </row>
    <row r="553" spans="1:30" s="1" customFormat="1" hidden="1" outlineLevel="1" x14ac:dyDescent="0.25">
      <c r="A553" s="2"/>
      <c r="B553" s="51"/>
      <c r="C553" s="51"/>
      <c r="D553" s="51"/>
      <c r="E553" s="51"/>
      <c r="F553" s="51"/>
      <c r="G553" s="51"/>
      <c r="H553" s="80"/>
      <c r="I553" s="51"/>
      <c r="J553" s="51"/>
      <c r="K553" s="51"/>
      <c r="L553" s="51"/>
      <c r="M553" s="51"/>
      <c r="N553" s="81"/>
      <c r="O553" s="51"/>
      <c r="P553" s="51"/>
      <c r="Q553" s="51"/>
      <c r="R553" s="51"/>
      <c r="S553" s="51"/>
      <c r="T553" s="51"/>
      <c r="U553" s="51"/>
      <c r="V553" s="51">
        <f t="shared" si="71"/>
        <v>0</v>
      </c>
      <c r="W553" s="2"/>
      <c r="Y553" s="74"/>
      <c r="AB553" s="74"/>
      <c r="AD553" s="74"/>
    </row>
    <row r="554" spans="1:30" s="1" customFormat="1" hidden="1" outlineLevel="1" x14ac:dyDescent="0.25">
      <c r="A554" s="2"/>
      <c r="B554" s="51"/>
      <c r="C554" s="51"/>
      <c r="D554" s="51"/>
      <c r="E554" s="51"/>
      <c r="F554" s="51"/>
      <c r="G554" s="51"/>
      <c r="H554" s="80"/>
      <c r="I554" s="51"/>
      <c r="J554" s="51"/>
      <c r="K554" s="51"/>
      <c r="L554" s="51"/>
      <c r="M554" s="51"/>
      <c r="N554" s="81"/>
      <c r="O554" s="51"/>
      <c r="P554" s="51"/>
      <c r="Q554" s="51"/>
      <c r="R554" s="51"/>
      <c r="S554" s="51"/>
      <c r="T554" s="51"/>
      <c r="U554" s="51"/>
      <c r="V554" s="51">
        <f t="shared" si="71"/>
        <v>0</v>
      </c>
      <c r="W554" s="2"/>
      <c r="Y554" s="74"/>
      <c r="AB554" s="74"/>
      <c r="AD554" s="74"/>
    </row>
    <row r="555" spans="1:30" s="1" customFormat="1" hidden="1" outlineLevel="1" x14ac:dyDescent="0.25">
      <c r="A555" s="2"/>
      <c r="B555" s="51"/>
      <c r="C555" s="51"/>
      <c r="D555" s="51"/>
      <c r="E555" s="51"/>
      <c r="F555" s="51"/>
      <c r="G555" s="51"/>
      <c r="H555" s="80"/>
      <c r="I555" s="51"/>
      <c r="J555" s="51"/>
      <c r="K555" s="51"/>
      <c r="L555" s="51"/>
      <c r="M555" s="51"/>
      <c r="N555" s="81"/>
      <c r="O555" s="51"/>
      <c r="P555" s="51"/>
      <c r="Q555" s="51"/>
      <c r="R555" s="51"/>
      <c r="S555" s="81"/>
      <c r="T555" s="51"/>
      <c r="U555" s="51"/>
      <c r="V555" s="51">
        <f t="shared" si="71"/>
        <v>0</v>
      </c>
      <c r="W555" s="2"/>
      <c r="Y555" s="74"/>
      <c r="AB555" s="74"/>
      <c r="AD555" s="74"/>
    </row>
    <row r="556" spans="1:30" s="1" customFormat="1" hidden="1" outlineLevel="1" x14ac:dyDescent="0.25">
      <c r="A556" s="2"/>
      <c r="B556" s="51"/>
      <c r="C556" s="51"/>
      <c r="D556" s="51"/>
      <c r="E556" s="51"/>
      <c r="F556" s="51"/>
      <c r="G556" s="51"/>
      <c r="H556" s="80"/>
      <c r="I556" s="51"/>
      <c r="J556" s="51"/>
      <c r="K556" s="51"/>
      <c r="L556" s="51"/>
      <c r="M556" s="51"/>
      <c r="N556" s="81"/>
      <c r="O556" s="51"/>
      <c r="P556" s="51"/>
      <c r="Q556" s="51"/>
      <c r="R556" s="51"/>
      <c r="S556" s="81"/>
      <c r="T556" s="51"/>
      <c r="U556" s="51"/>
      <c r="V556" s="51">
        <f t="shared" si="71"/>
        <v>0</v>
      </c>
      <c r="W556" s="2"/>
      <c r="Y556" s="74"/>
      <c r="AB556" s="74"/>
      <c r="AD556" s="74"/>
    </row>
    <row r="557" spans="1:30" s="1" customFormat="1" hidden="1" outlineLevel="1" x14ac:dyDescent="0.25">
      <c r="A557" s="2"/>
      <c r="B557" s="51"/>
      <c r="C557" s="51"/>
      <c r="D557" s="51"/>
      <c r="E557" s="51"/>
      <c r="F557" s="51"/>
      <c r="G557" s="51"/>
      <c r="H557" s="80"/>
      <c r="I557" s="51"/>
      <c r="J557" s="51"/>
      <c r="K557" s="51"/>
      <c r="L557" s="51"/>
      <c r="M557" s="51"/>
      <c r="N557" s="81"/>
      <c r="O557" s="51"/>
      <c r="P557" s="51"/>
      <c r="Q557" s="51"/>
      <c r="R557" s="51"/>
      <c r="S557" s="81"/>
      <c r="T557" s="51"/>
      <c r="U557" s="51"/>
      <c r="V557" s="51">
        <f t="shared" si="71"/>
        <v>0</v>
      </c>
      <c r="W557" s="2"/>
      <c r="Y557" s="74"/>
      <c r="AB557" s="74"/>
      <c r="AD557" s="74"/>
    </row>
    <row r="558" spans="1:30" s="1" customFormat="1" hidden="1" outlineLevel="1" x14ac:dyDescent="0.25">
      <c r="A558" s="2"/>
      <c r="B558" s="51"/>
      <c r="C558" s="51"/>
      <c r="D558" s="51"/>
      <c r="E558" s="51"/>
      <c r="F558" s="51"/>
      <c r="G558" s="51"/>
      <c r="H558" s="80"/>
      <c r="I558" s="51"/>
      <c r="J558" s="51"/>
      <c r="K558" s="51"/>
      <c r="L558" s="51"/>
      <c r="M558" s="51"/>
      <c r="N558" s="81"/>
      <c r="O558" s="51"/>
      <c r="P558" s="51"/>
      <c r="Q558" s="51"/>
      <c r="R558" s="51"/>
      <c r="S558" s="81"/>
      <c r="T558" s="51"/>
      <c r="U558" s="51"/>
      <c r="V558" s="51">
        <f t="shared" si="71"/>
        <v>0</v>
      </c>
      <c r="W558" s="2"/>
      <c r="Y558" s="74"/>
      <c r="AB558" s="74"/>
      <c r="AD558" s="74"/>
    </row>
    <row r="559" spans="1:30" s="1" customFormat="1" hidden="1" outlineLevel="1" x14ac:dyDescent="0.25">
      <c r="A559" s="2"/>
      <c r="B559" s="51"/>
      <c r="C559" s="51"/>
      <c r="D559" s="51"/>
      <c r="E559" s="51"/>
      <c r="F559" s="51"/>
      <c r="G559" s="51"/>
      <c r="H559" s="80"/>
      <c r="I559" s="51"/>
      <c r="J559" s="51"/>
      <c r="K559" s="51"/>
      <c r="L559" s="51"/>
      <c r="M559" s="51"/>
      <c r="N559" s="81"/>
      <c r="O559" s="51"/>
      <c r="P559" s="51"/>
      <c r="Q559" s="51"/>
      <c r="R559" s="51"/>
      <c r="S559" s="81"/>
      <c r="T559" s="51"/>
      <c r="U559" s="51"/>
      <c r="V559" s="51">
        <f t="shared" si="71"/>
        <v>0</v>
      </c>
      <c r="W559" s="2"/>
      <c r="Y559" s="74"/>
      <c r="AB559" s="74"/>
      <c r="AD559" s="74"/>
    </row>
    <row r="560" spans="1:30" s="1" customFormat="1" hidden="1" outlineLevel="1" x14ac:dyDescent="0.25">
      <c r="A560" s="2"/>
      <c r="B560" s="51"/>
      <c r="C560" s="51"/>
      <c r="D560" s="51"/>
      <c r="E560" s="51"/>
      <c r="F560" s="51"/>
      <c r="G560" s="51"/>
      <c r="H560" s="80"/>
      <c r="I560" s="51"/>
      <c r="J560" s="51"/>
      <c r="K560" s="51"/>
      <c r="L560" s="51"/>
      <c r="M560" s="51"/>
      <c r="N560" s="81"/>
      <c r="O560" s="51"/>
      <c r="P560" s="51"/>
      <c r="Q560" s="51"/>
      <c r="R560" s="51"/>
      <c r="S560" s="81"/>
      <c r="T560" s="51"/>
      <c r="U560" s="51"/>
      <c r="V560" s="51">
        <f t="shared" si="71"/>
        <v>0</v>
      </c>
      <c r="W560" s="2"/>
      <c r="Y560" s="74"/>
      <c r="AB560" s="74"/>
      <c r="AD560" s="74"/>
    </row>
    <row r="561" spans="1:39" s="1" customFormat="1" hidden="1" outlineLevel="1" x14ac:dyDescent="0.25">
      <c r="A561" s="2"/>
      <c r="B561" s="51"/>
      <c r="C561" s="51"/>
      <c r="D561" s="51"/>
      <c r="E561" s="51"/>
      <c r="F561" s="51"/>
      <c r="G561" s="51"/>
      <c r="H561" s="80"/>
      <c r="I561" s="51"/>
      <c r="J561" s="51"/>
      <c r="K561" s="51"/>
      <c r="L561" s="51"/>
      <c r="M561" s="51"/>
      <c r="N561" s="81"/>
      <c r="O561" s="51"/>
      <c r="P561" s="51"/>
      <c r="Q561" s="51"/>
      <c r="R561" s="51"/>
      <c r="S561" s="81"/>
      <c r="T561" s="51"/>
      <c r="U561" s="51"/>
      <c r="V561" s="51">
        <f t="shared" si="71"/>
        <v>0</v>
      </c>
      <c r="W561" s="2"/>
      <c r="Y561" s="74"/>
      <c r="AB561" s="74"/>
      <c r="AD561" s="74"/>
    </row>
    <row r="562" spans="1:39" s="1" customFormat="1" hidden="1" outlineLevel="1" x14ac:dyDescent="0.25">
      <c r="A562" s="2"/>
      <c r="B562" s="51"/>
      <c r="C562" s="51"/>
      <c r="D562" s="51"/>
      <c r="E562" s="51"/>
      <c r="F562" s="51"/>
      <c r="G562" s="51"/>
      <c r="H562" s="80"/>
      <c r="I562" s="51"/>
      <c r="J562" s="51"/>
      <c r="K562" s="51"/>
      <c r="L562" s="51"/>
      <c r="M562" s="51"/>
      <c r="N562" s="81"/>
      <c r="O562" s="51"/>
      <c r="P562" s="51"/>
      <c r="Q562" s="51"/>
      <c r="R562" s="51"/>
      <c r="S562" s="81"/>
      <c r="T562" s="51"/>
      <c r="U562" s="51"/>
      <c r="V562" s="51">
        <f t="shared" si="71"/>
        <v>0</v>
      </c>
      <c r="W562" s="2"/>
      <c r="Y562" s="74"/>
      <c r="AB562" s="74"/>
      <c r="AD562" s="74"/>
    </row>
    <row r="563" spans="1:39" s="1" customFormat="1" hidden="1" outlineLevel="1" x14ac:dyDescent="0.25">
      <c r="A563" s="2"/>
      <c r="B563" s="51"/>
      <c r="C563" s="51"/>
      <c r="D563" s="51"/>
      <c r="E563" s="51"/>
      <c r="F563" s="51"/>
      <c r="G563" s="51"/>
      <c r="H563" s="80"/>
      <c r="I563" s="51"/>
      <c r="J563" s="51"/>
      <c r="K563" s="51"/>
      <c r="L563" s="51"/>
      <c r="M563" s="51"/>
      <c r="N563" s="81"/>
      <c r="O563" s="51"/>
      <c r="P563" s="51"/>
      <c r="Q563" s="51"/>
      <c r="R563" s="51"/>
      <c r="S563" s="81"/>
      <c r="T563" s="51"/>
      <c r="U563" s="51"/>
      <c r="V563" s="51">
        <f t="shared" si="71"/>
        <v>0</v>
      </c>
      <c r="W563" s="2"/>
      <c r="Y563" s="74"/>
      <c r="AB563" s="74"/>
      <c r="AD563" s="74"/>
    </row>
    <row r="564" spans="1:39" s="1" customFormat="1" hidden="1" outlineLevel="1" x14ac:dyDescent="0.25">
      <c r="A564" s="2"/>
      <c r="B564" s="51"/>
      <c r="C564" s="51"/>
      <c r="D564" s="51"/>
      <c r="E564" s="51"/>
      <c r="F564" s="51"/>
      <c r="G564" s="51"/>
      <c r="H564" s="80"/>
      <c r="I564" s="51"/>
      <c r="J564" s="51"/>
      <c r="K564" s="51"/>
      <c r="L564" s="51"/>
      <c r="M564" s="51"/>
      <c r="N564" s="81"/>
      <c r="O564" s="51"/>
      <c r="P564" s="51"/>
      <c r="Q564" s="51"/>
      <c r="R564" s="51"/>
      <c r="S564" s="81"/>
      <c r="T564" s="51"/>
      <c r="U564" s="51"/>
      <c r="V564" s="51">
        <f t="shared" si="71"/>
        <v>0</v>
      </c>
      <c r="W564" s="2"/>
      <c r="Y564" s="74"/>
      <c r="AB564" s="74"/>
      <c r="AD564" s="74"/>
    </row>
    <row r="565" spans="1:39" s="1" customFormat="1" hidden="1" outlineLevel="1" x14ac:dyDescent="0.25">
      <c r="A565" s="2"/>
      <c r="B565" s="51"/>
      <c r="C565" s="51"/>
      <c r="D565" s="51"/>
      <c r="E565" s="51"/>
      <c r="F565" s="51"/>
      <c r="G565" s="51"/>
      <c r="H565" s="80"/>
      <c r="I565" s="51"/>
      <c r="J565" s="51"/>
      <c r="K565" s="51"/>
      <c r="L565" s="51"/>
      <c r="M565" s="51"/>
      <c r="N565" s="81"/>
      <c r="O565" s="51"/>
      <c r="P565" s="51"/>
      <c r="Q565" s="51"/>
      <c r="R565" s="51"/>
      <c r="S565" s="81"/>
      <c r="T565" s="51"/>
      <c r="U565" s="51"/>
      <c r="V565" s="51">
        <f t="shared" si="71"/>
        <v>0</v>
      </c>
      <c r="W565" s="2"/>
      <c r="Y565" s="74"/>
      <c r="AB565" s="74"/>
      <c r="AD565" s="74"/>
    </row>
    <row r="566" spans="1:39" ht="15.75" hidden="1" customHeight="1" outlineLevel="1" thickBot="1" x14ac:dyDescent="0.3">
      <c r="A566" s="2"/>
      <c r="B566" s="75"/>
      <c r="C566" s="75"/>
      <c r="D566" s="76"/>
      <c r="E566" s="76"/>
      <c r="F566" s="76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2"/>
      <c r="R566" s="77"/>
      <c r="S566" s="77"/>
      <c r="T566" s="77"/>
      <c r="U566" s="2"/>
      <c r="V566" s="77"/>
      <c r="W566" s="78"/>
      <c r="Y566" s="74"/>
      <c r="Z566" s="6"/>
      <c r="AA566" s="13"/>
      <c r="AB566" s="74"/>
      <c r="AC566" s="6"/>
      <c r="AD566" s="74"/>
      <c r="AE566" s="6"/>
      <c r="AF566" s="6"/>
      <c r="AG566" s="6"/>
      <c r="AH566" s="6"/>
      <c r="AI566" s="6"/>
      <c r="AM566" s="14"/>
    </row>
    <row r="567" spans="1:39" s="1" customFormat="1" x14ac:dyDescent="0.25">
      <c r="A567" s="164">
        <v>35</v>
      </c>
      <c r="B567" s="153"/>
      <c r="C567" s="153"/>
      <c r="D567" s="156" t="s">
        <v>34</v>
      </c>
      <c r="E567" s="90"/>
      <c r="F567" s="92"/>
      <c r="G567" s="72">
        <f t="shared" ref="G567:U567" si="72">SUM(G569:G578)</f>
        <v>0</v>
      </c>
      <c r="H567" s="72">
        <f t="shared" si="72"/>
        <v>0</v>
      </c>
      <c r="I567" s="72">
        <f t="shared" si="72"/>
        <v>0</v>
      </c>
      <c r="J567" s="72">
        <f t="shared" si="72"/>
        <v>0</v>
      </c>
      <c r="K567" s="72">
        <f t="shared" si="72"/>
        <v>0</v>
      </c>
      <c r="L567" s="72">
        <f t="shared" si="72"/>
        <v>0</v>
      </c>
      <c r="M567" s="72">
        <f t="shared" si="72"/>
        <v>0</v>
      </c>
      <c r="N567" s="72">
        <f t="shared" si="72"/>
        <v>0</v>
      </c>
      <c r="O567" s="72">
        <f t="shared" si="72"/>
        <v>0</v>
      </c>
      <c r="P567" s="72">
        <f t="shared" si="72"/>
        <v>0</v>
      </c>
      <c r="Q567" s="72">
        <f t="shared" si="72"/>
        <v>0</v>
      </c>
      <c r="R567" s="72">
        <f t="shared" si="72"/>
        <v>0</v>
      </c>
      <c r="S567" s="72">
        <f t="shared" si="72"/>
        <v>0</v>
      </c>
      <c r="T567" s="72">
        <f t="shared" si="72"/>
        <v>0</v>
      </c>
      <c r="U567" s="72">
        <f t="shared" si="72"/>
        <v>0</v>
      </c>
      <c r="V567" s="72">
        <f>SUM(V569:V578)</f>
        <v>0</v>
      </c>
      <c r="W567" s="168">
        <f>V567+V568</f>
        <v>0</v>
      </c>
      <c r="Y567" s="74"/>
      <c r="AB567" s="74"/>
      <c r="AD567" s="74"/>
    </row>
    <row r="568" spans="1:39" s="1" customFormat="1" ht="13.8" collapsed="1" thickBot="1" x14ac:dyDescent="0.3">
      <c r="A568" s="165"/>
      <c r="B568" s="154"/>
      <c r="C568" s="154"/>
      <c r="D568" s="157"/>
      <c r="E568" s="91"/>
      <c r="F568" s="93"/>
      <c r="G568" s="73">
        <f>SUM(G580:G597)</f>
        <v>0</v>
      </c>
      <c r="H568" s="79">
        <f>SUM(H580:H597)</f>
        <v>0</v>
      </c>
      <c r="I568" s="79">
        <f>SUM(I580:I597)</f>
        <v>0</v>
      </c>
      <c r="J568" s="73">
        <f t="shared" ref="J568:Q568" si="73">SUM(J580:J597)</f>
        <v>0</v>
      </c>
      <c r="K568" s="73">
        <f t="shared" si="73"/>
        <v>0</v>
      </c>
      <c r="L568" s="73">
        <f t="shared" si="73"/>
        <v>0</v>
      </c>
      <c r="M568" s="73">
        <f t="shared" si="73"/>
        <v>0</v>
      </c>
      <c r="N568" s="73">
        <f t="shared" si="73"/>
        <v>0</v>
      </c>
      <c r="O568" s="73">
        <f t="shared" si="73"/>
        <v>0</v>
      </c>
      <c r="P568" s="73">
        <f t="shared" si="73"/>
        <v>0</v>
      </c>
      <c r="Q568" s="73">
        <f t="shared" si="73"/>
        <v>0</v>
      </c>
      <c r="R568" s="73">
        <f>SUM(R580:R597)</f>
        <v>0</v>
      </c>
      <c r="S568" s="73">
        <f>SUM(S580:S597)</f>
        <v>0</v>
      </c>
      <c r="T568" s="73">
        <f>SUM(T580:T597)</f>
        <v>0</v>
      </c>
      <c r="U568" s="73">
        <f>SUM(U580:U597)</f>
        <v>0</v>
      </c>
      <c r="V568" s="73">
        <f>SUM(V580:V597)</f>
        <v>0</v>
      </c>
      <c r="W568" s="169"/>
      <c r="Y568" s="74"/>
      <c r="Z568" s="74"/>
      <c r="AB568" s="74"/>
      <c r="AD568" s="74"/>
    </row>
    <row r="569" spans="1:39" s="1" customFormat="1" hidden="1" outlineLevel="1" x14ac:dyDescent="0.25">
      <c r="A569" s="2"/>
      <c r="B569" s="51"/>
      <c r="C569" s="51"/>
      <c r="D569" s="51"/>
      <c r="E569" s="51"/>
      <c r="F569" s="51"/>
      <c r="G569" s="51"/>
      <c r="H569" s="51"/>
      <c r="I569" s="51"/>
      <c r="J569" s="51"/>
      <c r="K569" s="51"/>
      <c r="L569" s="51"/>
      <c r="M569" s="51"/>
      <c r="N569" s="51"/>
      <c r="O569" s="51"/>
      <c r="P569" s="51"/>
      <c r="Q569" s="51"/>
      <c r="R569" s="51"/>
      <c r="S569" s="51"/>
      <c r="T569" s="51"/>
      <c r="U569" s="51"/>
      <c r="V569" s="51">
        <f>SUM(G569:U569)</f>
        <v>0</v>
      </c>
      <c r="W569" s="2"/>
      <c r="Y569" s="74"/>
      <c r="AB569" s="74"/>
      <c r="AD569" s="74"/>
    </row>
    <row r="570" spans="1:39" s="1" customFormat="1" hidden="1" outlineLevel="1" x14ac:dyDescent="0.25">
      <c r="A570" s="2"/>
      <c r="B570" s="51"/>
      <c r="C570" s="51"/>
      <c r="D570" s="51"/>
      <c r="E570" s="51"/>
      <c r="F570" s="51"/>
      <c r="G570" s="51"/>
      <c r="H570" s="51"/>
      <c r="I570" s="51"/>
      <c r="J570" s="51"/>
      <c r="K570" s="51"/>
      <c r="L570" s="51"/>
      <c r="M570" s="51"/>
      <c r="N570" s="51"/>
      <c r="O570" s="51"/>
      <c r="P570" s="51"/>
      <c r="Q570" s="51"/>
      <c r="R570" s="51"/>
      <c r="S570" s="51"/>
      <c r="T570" s="51"/>
      <c r="U570" s="51"/>
      <c r="V570" s="51">
        <f>SUM(G570:U570)</f>
        <v>0</v>
      </c>
      <c r="W570" s="2"/>
      <c r="Y570" s="74"/>
      <c r="AB570" s="74"/>
      <c r="AD570" s="74"/>
    </row>
    <row r="571" spans="1:39" s="1" customFormat="1" hidden="1" outlineLevel="1" x14ac:dyDescent="0.25">
      <c r="A571" s="2"/>
      <c r="B571" s="51"/>
      <c r="C571" s="51"/>
      <c r="D571" s="51"/>
      <c r="E571" s="51"/>
      <c r="F571" s="51"/>
      <c r="G571" s="51"/>
      <c r="H571" s="51"/>
      <c r="I571" s="51"/>
      <c r="J571" s="51"/>
      <c r="K571" s="51"/>
      <c r="L571" s="51"/>
      <c r="M571" s="51"/>
      <c r="N571" s="51"/>
      <c r="O571" s="51"/>
      <c r="P571" s="51"/>
      <c r="Q571" s="51"/>
      <c r="R571" s="51"/>
      <c r="S571" s="51"/>
      <c r="T571" s="51"/>
      <c r="U571" s="51"/>
      <c r="V571" s="51">
        <f t="shared" ref="V571:V578" si="74">SUM(G571:U571)</f>
        <v>0</v>
      </c>
      <c r="W571" s="2"/>
      <c r="Y571" s="74"/>
      <c r="AB571" s="74"/>
      <c r="AD571" s="74"/>
    </row>
    <row r="572" spans="1:39" s="1" customFormat="1" hidden="1" outlineLevel="1" x14ac:dyDescent="0.25">
      <c r="A572" s="2"/>
      <c r="B572" s="51"/>
      <c r="C572" s="51"/>
      <c r="D572" s="51"/>
      <c r="E572" s="51"/>
      <c r="F572" s="51"/>
      <c r="G572" s="51"/>
      <c r="H572" s="51"/>
      <c r="I572" s="51"/>
      <c r="J572" s="51"/>
      <c r="K572" s="51"/>
      <c r="L572" s="51"/>
      <c r="M572" s="51"/>
      <c r="N572" s="51"/>
      <c r="O572" s="51"/>
      <c r="P572" s="51"/>
      <c r="Q572" s="51"/>
      <c r="R572" s="51"/>
      <c r="S572" s="51"/>
      <c r="T572" s="51"/>
      <c r="U572" s="51"/>
      <c r="V572" s="51">
        <f t="shared" si="74"/>
        <v>0</v>
      </c>
      <c r="W572" s="2"/>
      <c r="Y572" s="74"/>
      <c r="AB572" s="74"/>
      <c r="AD572" s="74"/>
    </row>
    <row r="573" spans="1:39" s="1" customFormat="1" hidden="1" outlineLevel="1" x14ac:dyDescent="0.25">
      <c r="A573" s="2"/>
      <c r="B573" s="51"/>
      <c r="C573" s="51"/>
      <c r="D573" s="51"/>
      <c r="E573" s="51"/>
      <c r="F573" s="51"/>
      <c r="G573" s="51"/>
      <c r="H573" s="51"/>
      <c r="I573" s="51"/>
      <c r="J573" s="51"/>
      <c r="K573" s="51"/>
      <c r="L573" s="51"/>
      <c r="M573" s="51"/>
      <c r="N573" s="51"/>
      <c r="O573" s="51"/>
      <c r="P573" s="51"/>
      <c r="Q573" s="51"/>
      <c r="R573" s="51"/>
      <c r="S573" s="51"/>
      <c r="T573" s="51"/>
      <c r="U573" s="51"/>
      <c r="V573" s="51">
        <f t="shared" si="74"/>
        <v>0</v>
      </c>
      <c r="W573" s="2"/>
      <c r="Y573" s="74"/>
      <c r="AB573" s="74"/>
      <c r="AD573" s="74"/>
    </row>
    <row r="574" spans="1:39" s="1" customFormat="1" hidden="1" outlineLevel="1" x14ac:dyDescent="0.25">
      <c r="A574" s="2"/>
      <c r="B574" s="51"/>
      <c r="C574" s="51"/>
      <c r="D574" s="51"/>
      <c r="E574" s="51"/>
      <c r="F574" s="51"/>
      <c r="G574" s="51"/>
      <c r="H574" s="51"/>
      <c r="I574" s="51"/>
      <c r="J574" s="51"/>
      <c r="K574" s="51"/>
      <c r="L574" s="51"/>
      <c r="M574" s="51"/>
      <c r="N574" s="51"/>
      <c r="O574" s="51"/>
      <c r="P574" s="51"/>
      <c r="Q574" s="51"/>
      <c r="R574" s="51"/>
      <c r="S574" s="51"/>
      <c r="T574" s="51"/>
      <c r="U574" s="51"/>
      <c r="V574" s="51">
        <f t="shared" si="74"/>
        <v>0</v>
      </c>
      <c r="W574" s="2"/>
      <c r="Y574" s="74"/>
      <c r="AB574" s="74"/>
      <c r="AD574" s="74"/>
    </row>
    <row r="575" spans="1:39" s="1" customFormat="1" hidden="1" outlineLevel="1" x14ac:dyDescent="0.25">
      <c r="A575" s="2"/>
      <c r="B575" s="51"/>
      <c r="C575" s="51"/>
      <c r="D575" s="51"/>
      <c r="E575" s="51"/>
      <c r="F575" s="51"/>
      <c r="G575" s="51"/>
      <c r="H575" s="51"/>
      <c r="I575" s="51"/>
      <c r="J575" s="51"/>
      <c r="K575" s="51"/>
      <c r="L575" s="51"/>
      <c r="M575" s="51"/>
      <c r="N575" s="51"/>
      <c r="O575" s="51"/>
      <c r="P575" s="51"/>
      <c r="Q575" s="51"/>
      <c r="R575" s="51"/>
      <c r="S575" s="51"/>
      <c r="T575" s="51"/>
      <c r="U575" s="51"/>
      <c r="V575" s="51">
        <f t="shared" si="74"/>
        <v>0</v>
      </c>
      <c r="W575" s="2"/>
      <c r="Y575" s="74"/>
      <c r="AB575" s="74"/>
      <c r="AD575" s="74"/>
    </row>
    <row r="576" spans="1:39" s="1" customFormat="1" hidden="1" outlineLevel="1" x14ac:dyDescent="0.25">
      <c r="A576" s="2"/>
      <c r="B576" s="51"/>
      <c r="C576" s="51"/>
      <c r="D576" s="51"/>
      <c r="E576" s="51"/>
      <c r="F576" s="51"/>
      <c r="G576" s="51"/>
      <c r="H576" s="51"/>
      <c r="I576" s="51"/>
      <c r="J576" s="51"/>
      <c r="K576" s="51"/>
      <c r="L576" s="51"/>
      <c r="M576" s="51"/>
      <c r="N576" s="51"/>
      <c r="O576" s="51"/>
      <c r="P576" s="51"/>
      <c r="Q576" s="51"/>
      <c r="R576" s="51"/>
      <c r="S576" s="51"/>
      <c r="T576" s="51"/>
      <c r="U576" s="51"/>
      <c r="V576" s="51">
        <f t="shared" si="74"/>
        <v>0</v>
      </c>
      <c r="W576" s="2"/>
      <c r="Y576" s="74"/>
      <c r="AB576" s="74"/>
      <c r="AD576" s="74"/>
    </row>
    <row r="577" spans="1:30" s="1" customFormat="1" hidden="1" outlineLevel="1" x14ac:dyDescent="0.25">
      <c r="A577" s="2"/>
      <c r="B577" s="51"/>
      <c r="C577" s="51"/>
      <c r="D577" s="51"/>
      <c r="E577" s="51"/>
      <c r="F577" s="51"/>
      <c r="G577" s="51"/>
      <c r="H577" s="51"/>
      <c r="I577" s="51"/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>
        <f t="shared" si="74"/>
        <v>0</v>
      </c>
      <c r="W577" s="2"/>
      <c r="Y577" s="74"/>
      <c r="AB577" s="74"/>
      <c r="AD577" s="74"/>
    </row>
    <row r="578" spans="1:30" s="1" customFormat="1" hidden="1" outlineLevel="1" x14ac:dyDescent="0.25">
      <c r="A578" s="2"/>
      <c r="B578" s="51"/>
      <c r="C578" s="51"/>
      <c r="D578" s="51"/>
      <c r="E578" s="51"/>
      <c r="F578" s="51"/>
      <c r="G578" s="51"/>
      <c r="H578" s="51"/>
      <c r="I578" s="51"/>
      <c r="J578" s="51"/>
      <c r="K578" s="51"/>
      <c r="L578" s="51"/>
      <c r="M578" s="51"/>
      <c r="N578" s="51"/>
      <c r="O578" s="51"/>
      <c r="P578" s="51"/>
      <c r="Q578" s="51"/>
      <c r="R578" s="51"/>
      <c r="S578" s="51"/>
      <c r="T578" s="51"/>
      <c r="U578" s="51"/>
      <c r="V578" s="51">
        <f t="shared" si="74"/>
        <v>0</v>
      </c>
      <c r="W578" s="2"/>
      <c r="Y578" s="74"/>
      <c r="AB578" s="74"/>
      <c r="AD578" s="74"/>
    </row>
    <row r="579" spans="1:30" s="1" customFormat="1" hidden="1" outlineLevel="1" x14ac:dyDescent="0.25">
      <c r="A579" s="2"/>
      <c r="B579" s="185" t="s">
        <v>29</v>
      </c>
      <c r="C579" s="185"/>
      <c r="D579" s="185"/>
      <c r="E579" s="185"/>
      <c r="F579" s="185"/>
      <c r="G579" s="185"/>
      <c r="H579" s="185"/>
      <c r="I579" s="185"/>
      <c r="J579" s="185"/>
      <c r="K579" s="185"/>
      <c r="L579" s="185"/>
      <c r="M579" s="185"/>
      <c r="N579" s="185"/>
      <c r="O579" s="185"/>
      <c r="P579" s="185"/>
      <c r="Q579" s="185"/>
      <c r="R579" s="185"/>
      <c r="S579" s="185"/>
      <c r="T579" s="185"/>
      <c r="U579" s="185"/>
      <c r="V579" s="87"/>
      <c r="W579" s="2"/>
      <c r="Y579" s="74"/>
      <c r="AB579" s="74"/>
      <c r="AD579" s="74"/>
    </row>
    <row r="580" spans="1:30" s="1" customFormat="1" hidden="1" outlineLevel="1" x14ac:dyDescent="0.25">
      <c r="A580" s="2"/>
      <c r="B580" s="82"/>
      <c r="C580" s="51"/>
      <c r="D580" s="51"/>
      <c r="E580" s="51"/>
      <c r="F580" s="51"/>
      <c r="G580" s="20"/>
      <c r="H580" s="21"/>
      <c r="I580" s="21"/>
      <c r="J580" s="23"/>
      <c r="K580" s="51"/>
      <c r="L580" s="32"/>
      <c r="M580" s="22"/>
      <c r="N580" s="51"/>
      <c r="O580" s="81"/>
      <c r="P580" s="22"/>
      <c r="Q580" s="51"/>
      <c r="R580" s="51"/>
      <c r="S580" s="51"/>
      <c r="T580" s="51"/>
      <c r="U580" s="51"/>
      <c r="V580" s="51">
        <f t="shared" ref="V580:V596" si="75">SUM(G580:U580)</f>
        <v>0</v>
      </c>
      <c r="W580" s="2"/>
      <c r="Y580" s="74"/>
      <c r="AB580" s="74"/>
      <c r="AD580" s="74"/>
    </row>
    <row r="581" spans="1:30" s="1" customFormat="1" hidden="1" outlineLevel="1" x14ac:dyDescent="0.25">
      <c r="A581" s="2"/>
      <c r="B581" s="82"/>
      <c r="C581" s="51"/>
      <c r="D581" s="51"/>
      <c r="E581" s="51"/>
      <c r="F581" s="51"/>
      <c r="G581" s="20"/>
      <c r="H581" s="21"/>
      <c r="I581" s="21"/>
      <c r="J581" s="23"/>
      <c r="K581" s="51"/>
      <c r="L581" s="32"/>
      <c r="M581" s="22"/>
      <c r="N581" s="51"/>
      <c r="O581" s="81"/>
      <c r="P581" s="22"/>
      <c r="Q581" s="51"/>
      <c r="R581" s="51"/>
      <c r="S581" s="51"/>
      <c r="T581" s="51"/>
      <c r="U581" s="51"/>
      <c r="V581" s="51">
        <f t="shared" si="75"/>
        <v>0</v>
      </c>
      <c r="W581" s="2"/>
      <c r="Y581" s="74"/>
      <c r="AB581" s="74"/>
      <c r="AD581" s="74"/>
    </row>
    <row r="582" spans="1:30" s="1" customFormat="1" hidden="1" outlineLevel="1" x14ac:dyDescent="0.25">
      <c r="A582" s="2"/>
      <c r="B582" s="82"/>
      <c r="C582" s="51"/>
      <c r="D582" s="51"/>
      <c r="E582" s="51"/>
      <c r="F582" s="51"/>
      <c r="G582" s="20"/>
      <c r="H582" s="21"/>
      <c r="I582" s="21"/>
      <c r="J582" s="23"/>
      <c r="K582" s="51"/>
      <c r="L582" s="32"/>
      <c r="M582" s="22"/>
      <c r="N582" s="51"/>
      <c r="O582" s="81"/>
      <c r="P582" s="22"/>
      <c r="Q582" s="51"/>
      <c r="R582" s="51"/>
      <c r="S582" s="51"/>
      <c r="T582" s="51"/>
      <c r="U582" s="51"/>
      <c r="V582" s="51">
        <f t="shared" si="75"/>
        <v>0</v>
      </c>
      <c r="W582" s="2"/>
      <c r="Y582" s="74"/>
      <c r="AB582" s="74"/>
      <c r="AD582" s="74"/>
    </row>
    <row r="583" spans="1:30" s="1" customFormat="1" hidden="1" outlineLevel="1" x14ac:dyDescent="0.25">
      <c r="A583" s="2"/>
      <c r="B583" s="82"/>
      <c r="C583" s="51"/>
      <c r="D583" s="51"/>
      <c r="E583" s="51"/>
      <c r="F583" s="51"/>
      <c r="G583" s="20"/>
      <c r="H583" s="21"/>
      <c r="I583" s="21"/>
      <c r="J583" s="23"/>
      <c r="K583" s="51"/>
      <c r="L583" s="32"/>
      <c r="M583" s="22"/>
      <c r="N583" s="51"/>
      <c r="O583" s="81"/>
      <c r="P583" s="22"/>
      <c r="Q583" s="51"/>
      <c r="R583" s="51"/>
      <c r="S583" s="51"/>
      <c r="T583" s="51"/>
      <c r="U583" s="51"/>
      <c r="V583" s="51">
        <f t="shared" si="75"/>
        <v>0</v>
      </c>
      <c r="W583" s="2"/>
      <c r="Y583" s="74"/>
      <c r="AB583" s="74"/>
      <c r="AD583" s="74"/>
    </row>
    <row r="584" spans="1:30" s="1" customFormat="1" hidden="1" outlineLevel="1" x14ac:dyDescent="0.25">
      <c r="A584" s="2"/>
      <c r="B584" s="51"/>
      <c r="C584" s="51"/>
      <c r="D584" s="51"/>
      <c r="E584" s="51"/>
      <c r="F584" s="51"/>
      <c r="G584" s="51"/>
      <c r="H584" s="80"/>
      <c r="I584" s="51"/>
      <c r="J584" s="51"/>
      <c r="K584" s="51"/>
      <c r="L584" s="51"/>
      <c r="M584" s="51"/>
      <c r="N584" s="81"/>
      <c r="O584" s="51"/>
      <c r="P584" s="51"/>
      <c r="Q584" s="51"/>
      <c r="R584" s="51"/>
      <c r="S584" s="51"/>
      <c r="T584" s="51"/>
      <c r="U584" s="51"/>
      <c r="V584" s="51">
        <f t="shared" si="75"/>
        <v>0</v>
      </c>
      <c r="W584" s="2"/>
      <c r="Y584" s="74"/>
      <c r="AB584" s="74"/>
      <c r="AD584" s="74"/>
    </row>
    <row r="585" spans="1:30" s="1" customFormat="1" hidden="1" outlineLevel="1" x14ac:dyDescent="0.25">
      <c r="A585" s="2"/>
      <c r="B585" s="51"/>
      <c r="C585" s="51"/>
      <c r="D585" s="51"/>
      <c r="E585" s="51"/>
      <c r="F585" s="51"/>
      <c r="G585" s="51"/>
      <c r="H585" s="80"/>
      <c r="I585" s="51"/>
      <c r="J585" s="51"/>
      <c r="K585" s="51"/>
      <c r="L585" s="51"/>
      <c r="M585" s="51"/>
      <c r="N585" s="81"/>
      <c r="O585" s="51"/>
      <c r="P585" s="51"/>
      <c r="Q585" s="51"/>
      <c r="R585" s="51"/>
      <c r="S585" s="51"/>
      <c r="T585" s="51"/>
      <c r="U585" s="51"/>
      <c r="V585" s="51">
        <f t="shared" si="75"/>
        <v>0</v>
      </c>
      <c r="W585" s="2"/>
      <c r="Y585" s="74"/>
      <c r="AB585" s="74"/>
      <c r="AD585" s="74"/>
    </row>
    <row r="586" spans="1:30" s="1" customFormat="1" hidden="1" outlineLevel="1" x14ac:dyDescent="0.25">
      <c r="A586" s="2"/>
      <c r="B586" s="51"/>
      <c r="C586" s="51"/>
      <c r="D586" s="51"/>
      <c r="E586" s="51"/>
      <c r="F586" s="51"/>
      <c r="G586" s="51"/>
      <c r="H586" s="80"/>
      <c r="I586" s="51"/>
      <c r="J586" s="51"/>
      <c r="K586" s="51"/>
      <c r="L586" s="51"/>
      <c r="M586" s="51"/>
      <c r="N586" s="81"/>
      <c r="O586" s="51"/>
      <c r="P586" s="51"/>
      <c r="Q586" s="51"/>
      <c r="R586" s="51"/>
      <c r="S586" s="81"/>
      <c r="T586" s="51"/>
      <c r="U586" s="51"/>
      <c r="V586" s="51">
        <f t="shared" si="75"/>
        <v>0</v>
      </c>
      <c r="W586" s="2"/>
      <c r="Y586" s="74"/>
      <c r="AB586" s="74"/>
      <c r="AD586" s="74"/>
    </row>
    <row r="587" spans="1:30" s="1" customFormat="1" hidden="1" outlineLevel="1" x14ac:dyDescent="0.25">
      <c r="A587" s="2"/>
      <c r="B587" s="51"/>
      <c r="C587" s="51"/>
      <c r="D587" s="51"/>
      <c r="E587" s="51"/>
      <c r="F587" s="51"/>
      <c r="G587" s="51"/>
      <c r="H587" s="80"/>
      <c r="I587" s="51"/>
      <c r="J587" s="51"/>
      <c r="K587" s="51"/>
      <c r="L587" s="51"/>
      <c r="M587" s="51"/>
      <c r="N587" s="81"/>
      <c r="O587" s="51"/>
      <c r="P587" s="51"/>
      <c r="Q587" s="51"/>
      <c r="R587" s="51"/>
      <c r="S587" s="81"/>
      <c r="T587" s="51"/>
      <c r="U587" s="51"/>
      <c r="V587" s="51">
        <f t="shared" si="75"/>
        <v>0</v>
      </c>
      <c r="W587" s="2"/>
      <c r="Y587" s="74"/>
      <c r="AB587" s="74"/>
      <c r="AD587" s="74"/>
    </row>
    <row r="588" spans="1:30" s="1" customFormat="1" hidden="1" outlineLevel="1" x14ac:dyDescent="0.25">
      <c r="A588" s="2"/>
      <c r="B588" s="51"/>
      <c r="C588" s="51"/>
      <c r="D588" s="51"/>
      <c r="E588" s="51"/>
      <c r="F588" s="51"/>
      <c r="G588" s="51"/>
      <c r="H588" s="80"/>
      <c r="I588" s="51"/>
      <c r="J588" s="51"/>
      <c r="K588" s="51"/>
      <c r="L588" s="51"/>
      <c r="M588" s="51"/>
      <c r="N588" s="81"/>
      <c r="O588" s="51"/>
      <c r="P588" s="51"/>
      <c r="Q588" s="51"/>
      <c r="R588" s="51"/>
      <c r="S588" s="81"/>
      <c r="T588" s="51"/>
      <c r="U588" s="51"/>
      <c r="V588" s="51">
        <f t="shared" si="75"/>
        <v>0</v>
      </c>
      <c r="W588" s="2"/>
      <c r="Y588" s="74"/>
      <c r="AB588" s="74"/>
      <c r="AD588" s="74"/>
    </row>
    <row r="589" spans="1:30" s="1" customFormat="1" hidden="1" outlineLevel="1" x14ac:dyDescent="0.25">
      <c r="A589" s="2"/>
      <c r="B589" s="51"/>
      <c r="C589" s="51"/>
      <c r="D589" s="51"/>
      <c r="E589" s="51"/>
      <c r="F589" s="51"/>
      <c r="G589" s="51"/>
      <c r="H589" s="80"/>
      <c r="I589" s="51"/>
      <c r="J589" s="51"/>
      <c r="K589" s="51"/>
      <c r="L589" s="51"/>
      <c r="M589" s="51"/>
      <c r="N589" s="81"/>
      <c r="O589" s="51"/>
      <c r="P589" s="51"/>
      <c r="Q589" s="51"/>
      <c r="R589" s="51"/>
      <c r="S589" s="81"/>
      <c r="T589" s="51"/>
      <c r="U589" s="51"/>
      <c r="V589" s="51">
        <f t="shared" si="75"/>
        <v>0</v>
      </c>
      <c r="W589" s="2"/>
      <c r="Y589" s="74"/>
      <c r="AB589" s="74"/>
      <c r="AD589" s="74"/>
    </row>
    <row r="590" spans="1:30" s="1" customFormat="1" hidden="1" outlineLevel="1" x14ac:dyDescent="0.25">
      <c r="A590" s="2"/>
      <c r="B590" s="51"/>
      <c r="C590" s="51"/>
      <c r="D590" s="51"/>
      <c r="E590" s="51"/>
      <c r="F590" s="51"/>
      <c r="G590" s="51"/>
      <c r="H590" s="80"/>
      <c r="I590" s="51"/>
      <c r="J590" s="51"/>
      <c r="K590" s="51"/>
      <c r="L590" s="51"/>
      <c r="M590" s="51"/>
      <c r="N590" s="81"/>
      <c r="O590" s="51"/>
      <c r="P590" s="51"/>
      <c r="Q590" s="51"/>
      <c r="R590" s="51"/>
      <c r="S590" s="81"/>
      <c r="T590" s="51"/>
      <c r="U590" s="51"/>
      <c r="V590" s="51">
        <f t="shared" si="75"/>
        <v>0</v>
      </c>
      <c r="W590" s="2"/>
      <c r="Y590" s="74"/>
      <c r="AB590" s="74"/>
      <c r="AD590" s="74"/>
    </row>
    <row r="591" spans="1:30" s="1" customFormat="1" hidden="1" outlineLevel="1" x14ac:dyDescent="0.25">
      <c r="A591" s="2"/>
      <c r="B591" s="51"/>
      <c r="C591" s="51"/>
      <c r="D591" s="51"/>
      <c r="E591" s="51"/>
      <c r="F591" s="51"/>
      <c r="G591" s="51"/>
      <c r="H591" s="80"/>
      <c r="I591" s="51"/>
      <c r="J591" s="51"/>
      <c r="K591" s="51"/>
      <c r="L591" s="51"/>
      <c r="M591" s="51"/>
      <c r="N591" s="81"/>
      <c r="O591" s="51"/>
      <c r="P591" s="51"/>
      <c r="Q591" s="51"/>
      <c r="R591" s="51"/>
      <c r="S591" s="81"/>
      <c r="T591" s="51"/>
      <c r="U591" s="51"/>
      <c r="V591" s="51">
        <f t="shared" si="75"/>
        <v>0</v>
      </c>
      <c r="W591" s="2"/>
      <c r="Y591" s="74"/>
      <c r="AB591" s="74"/>
      <c r="AD591" s="74"/>
    </row>
    <row r="592" spans="1:30" s="1" customFormat="1" hidden="1" outlineLevel="1" x14ac:dyDescent="0.25">
      <c r="A592" s="2"/>
      <c r="B592" s="51"/>
      <c r="C592" s="51"/>
      <c r="D592" s="51"/>
      <c r="E592" s="51"/>
      <c r="F592" s="51"/>
      <c r="G592" s="51"/>
      <c r="H592" s="80"/>
      <c r="I592" s="51"/>
      <c r="J592" s="51"/>
      <c r="K592" s="51"/>
      <c r="L592" s="51"/>
      <c r="M592" s="51"/>
      <c r="N592" s="81"/>
      <c r="O592" s="51"/>
      <c r="P592" s="51"/>
      <c r="Q592" s="51"/>
      <c r="R592" s="51"/>
      <c r="S592" s="81"/>
      <c r="T592" s="51"/>
      <c r="U592" s="51"/>
      <c r="V592" s="51">
        <f t="shared" si="75"/>
        <v>0</v>
      </c>
      <c r="W592" s="2"/>
      <c r="Y592" s="74"/>
      <c r="AB592" s="74"/>
      <c r="AD592" s="74"/>
    </row>
    <row r="593" spans="1:39" s="1" customFormat="1" hidden="1" outlineLevel="1" x14ac:dyDescent="0.25">
      <c r="A593" s="2"/>
      <c r="B593" s="51"/>
      <c r="C593" s="51"/>
      <c r="D593" s="51"/>
      <c r="E593" s="51"/>
      <c r="F593" s="51"/>
      <c r="G593" s="51"/>
      <c r="H593" s="80"/>
      <c r="I593" s="51"/>
      <c r="J593" s="51"/>
      <c r="K593" s="51"/>
      <c r="L593" s="51"/>
      <c r="M593" s="51"/>
      <c r="N593" s="81"/>
      <c r="O593" s="51"/>
      <c r="P593" s="51"/>
      <c r="Q593" s="51"/>
      <c r="R593" s="51"/>
      <c r="S593" s="81"/>
      <c r="T593" s="51"/>
      <c r="U593" s="51"/>
      <c r="V593" s="51">
        <f t="shared" si="75"/>
        <v>0</v>
      </c>
      <c r="W593" s="2"/>
      <c r="Y593" s="74"/>
      <c r="AB593" s="74"/>
      <c r="AD593" s="74"/>
    </row>
    <row r="594" spans="1:39" s="1" customFormat="1" hidden="1" outlineLevel="1" x14ac:dyDescent="0.25">
      <c r="A594" s="2"/>
      <c r="B594" s="51"/>
      <c r="C594" s="51"/>
      <c r="D594" s="51"/>
      <c r="E594" s="51"/>
      <c r="F594" s="51"/>
      <c r="G594" s="51"/>
      <c r="H594" s="80"/>
      <c r="I594" s="51"/>
      <c r="J594" s="51"/>
      <c r="K594" s="51"/>
      <c r="L594" s="51"/>
      <c r="M594" s="51"/>
      <c r="N594" s="81"/>
      <c r="O594" s="51"/>
      <c r="P594" s="51"/>
      <c r="Q594" s="51"/>
      <c r="R594" s="51"/>
      <c r="S594" s="81"/>
      <c r="T594" s="51"/>
      <c r="U594" s="51"/>
      <c r="V594" s="51">
        <f t="shared" si="75"/>
        <v>0</v>
      </c>
      <c r="W594" s="2"/>
      <c r="Y594" s="74"/>
      <c r="AB594" s="74"/>
      <c r="AD594" s="74"/>
    </row>
    <row r="595" spans="1:39" s="1" customFormat="1" hidden="1" outlineLevel="1" x14ac:dyDescent="0.25">
      <c r="A595" s="2"/>
      <c r="B595" s="51"/>
      <c r="C595" s="51"/>
      <c r="D595" s="51"/>
      <c r="E595" s="51"/>
      <c r="F595" s="51"/>
      <c r="G595" s="51"/>
      <c r="H595" s="80"/>
      <c r="I595" s="51"/>
      <c r="J595" s="51"/>
      <c r="K595" s="51"/>
      <c r="L595" s="51"/>
      <c r="M595" s="51"/>
      <c r="N595" s="81"/>
      <c r="O595" s="51"/>
      <c r="P595" s="51"/>
      <c r="Q595" s="51"/>
      <c r="R595" s="51"/>
      <c r="S595" s="81"/>
      <c r="T595" s="51"/>
      <c r="U595" s="51"/>
      <c r="V595" s="51">
        <f t="shared" si="75"/>
        <v>0</v>
      </c>
      <c r="W595" s="2"/>
      <c r="Y595" s="74"/>
      <c r="AB595" s="74"/>
      <c r="AD595" s="74"/>
    </row>
    <row r="596" spans="1:39" s="1" customFormat="1" hidden="1" outlineLevel="1" x14ac:dyDescent="0.25">
      <c r="A596" s="2"/>
      <c r="B596" s="51"/>
      <c r="C596" s="51"/>
      <c r="D596" s="51"/>
      <c r="E596" s="51"/>
      <c r="F596" s="51"/>
      <c r="G596" s="51"/>
      <c r="H596" s="80"/>
      <c r="I596" s="51"/>
      <c r="J596" s="51"/>
      <c r="K596" s="51"/>
      <c r="L596" s="51"/>
      <c r="M596" s="51"/>
      <c r="N596" s="81"/>
      <c r="O596" s="51"/>
      <c r="P596" s="51"/>
      <c r="Q596" s="51"/>
      <c r="R596" s="51"/>
      <c r="S596" s="81"/>
      <c r="T596" s="51"/>
      <c r="U596" s="51"/>
      <c r="V596" s="51">
        <f t="shared" si="75"/>
        <v>0</v>
      </c>
      <c r="W596" s="2"/>
      <c r="Y596" s="74"/>
      <c r="AB596" s="74"/>
      <c r="AD596" s="74"/>
    </row>
    <row r="597" spans="1:39" ht="15.75" hidden="1" customHeight="1" outlineLevel="1" thickBot="1" x14ac:dyDescent="0.3">
      <c r="A597" s="2"/>
      <c r="B597" s="75"/>
      <c r="C597" s="75"/>
      <c r="D597" s="76"/>
      <c r="E597" s="76"/>
      <c r="F597" s="76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2"/>
      <c r="R597" s="77"/>
      <c r="S597" s="77"/>
      <c r="T597" s="77"/>
      <c r="U597" s="2"/>
      <c r="V597" s="77"/>
      <c r="W597" s="78"/>
      <c r="Y597" s="74"/>
      <c r="Z597" s="6"/>
      <c r="AA597" s="13"/>
      <c r="AB597" s="74"/>
      <c r="AC597" s="6"/>
      <c r="AD597" s="74"/>
      <c r="AE597" s="6"/>
      <c r="AF597" s="6"/>
      <c r="AG597" s="6"/>
      <c r="AH597" s="6"/>
      <c r="AI597" s="6"/>
      <c r="AM597" s="14"/>
    </row>
    <row r="598" spans="1:39" s="1" customFormat="1" x14ac:dyDescent="0.25">
      <c r="A598" s="164">
        <v>1</v>
      </c>
      <c r="B598" s="153"/>
      <c r="C598" s="153"/>
      <c r="D598" s="156"/>
      <c r="E598" s="90"/>
      <c r="F598" s="92"/>
      <c r="G598" s="72">
        <f t="shared" ref="G598:U598" si="76">SUM(G600:G609)</f>
        <v>0</v>
      </c>
      <c r="H598" s="72">
        <f t="shared" si="76"/>
        <v>0</v>
      </c>
      <c r="I598" s="72">
        <f t="shared" si="76"/>
        <v>0</v>
      </c>
      <c r="J598" s="72">
        <f t="shared" si="76"/>
        <v>0</v>
      </c>
      <c r="K598" s="72">
        <f t="shared" si="76"/>
        <v>0</v>
      </c>
      <c r="L598" s="72">
        <f t="shared" si="76"/>
        <v>0</v>
      </c>
      <c r="M598" s="72">
        <f t="shared" si="76"/>
        <v>0</v>
      </c>
      <c r="N598" s="72">
        <f t="shared" si="76"/>
        <v>0</v>
      </c>
      <c r="O598" s="72">
        <f t="shared" si="76"/>
        <v>0</v>
      </c>
      <c r="P598" s="72">
        <f t="shared" si="76"/>
        <v>0</v>
      </c>
      <c r="Q598" s="72">
        <f t="shared" si="76"/>
        <v>0</v>
      </c>
      <c r="R598" s="72">
        <f t="shared" si="76"/>
        <v>0</v>
      </c>
      <c r="S598" s="72">
        <f t="shared" si="76"/>
        <v>0</v>
      </c>
      <c r="T598" s="72">
        <f t="shared" si="76"/>
        <v>0</v>
      </c>
      <c r="U598" s="72">
        <f t="shared" si="76"/>
        <v>0</v>
      </c>
      <c r="V598" s="72">
        <f>SUM(V600:V609)</f>
        <v>0</v>
      </c>
      <c r="W598" s="168">
        <f>V598+V599</f>
        <v>0</v>
      </c>
      <c r="Y598" s="74"/>
      <c r="AB598" s="74"/>
      <c r="AD598" s="74"/>
    </row>
    <row r="599" spans="1:39" s="1" customFormat="1" ht="13.8" collapsed="1" thickBot="1" x14ac:dyDescent="0.3">
      <c r="A599" s="165"/>
      <c r="B599" s="154"/>
      <c r="C599" s="154"/>
      <c r="D599" s="157"/>
      <c r="E599" s="91"/>
      <c r="F599" s="93"/>
      <c r="G599" s="73">
        <f>SUM(G611:G628)</f>
        <v>0</v>
      </c>
      <c r="H599" s="79">
        <f>SUM(H611:H628)</f>
        <v>0</v>
      </c>
      <c r="I599" s="79">
        <f>SUM(I611:I628)</f>
        <v>0</v>
      </c>
      <c r="J599" s="73">
        <f t="shared" ref="J599:Q599" si="77">SUM(J611:J628)</f>
        <v>0</v>
      </c>
      <c r="K599" s="73">
        <f t="shared" si="77"/>
        <v>0</v>
      </c>
      <c r="L599" s="73">
        <f t="shared" si="77"/>
        <v>0</v>
      </c>
      <c r="M599" s="73">
        <f t="shared" si="77"/>
        <v>0</v>
      </c>
      <c r="N599" s="73">
        <f t="shared" si="77"/>
        <v>0</v>
      </c>
      <c r="O599" s="73">
        <f t="shared" si="77"/>
        <v>0</v>
      </c>
      <c r="P599" s="73">
        <f t="shared" si="77"/>
        <v>0</v>
      </c>
      <c r="Q599" s="73">
        <f t="shared" si="77"/>
        <v>0</v>
      </c>
      <c r="R599" s="73">
        <f>SUM(R611:R628)</f>
        <v>0</v>
      </c>
      <c r="S599" s="73">
        <f>SUM(S611:S628)</f>
        <v>0</v>
      </c>
      <c r="T599" s="73">
        <f>SUM(T611:T628)</f>
        <v>0</v>
      </c>
      <c r="U599" s="73">
        <f>SUM(U611:U628)</f>
        <v>0</v>
      </c>
      <c r="V599" s="73">
        <f>SUM(V611:V628)</f>
        <v>0</v>
      </c>
      <c r="W599" s="169"/>
      <c r="Y599" s="74"/>
      <c r="Z599" s="74"/>
      <c r="AB599" s="74"/>
      <c r="AD599" s="74"/>
    </row>
    <row r="600" spans="1:39" s="1" customFormat="1" hidden="1" outlineLevel="1" x14ac:dyDescent="0.25">
      <c r="A600" s="2"/>
      <c r="B600" s="51"/>
      <c r="C600" s="51"/>
      <c r="D600" s="51"/>
      <c r="E600" s="51"/>
      <c r="F600" s="51"/>
      <c r="G600" s="51"/>
      <c r="H600" s="51"/>
      <c r="I600" s="51"/>
      <c r="J600" s="51"/>
      <c r="K600" s="51"/>
      <c r="L600" s="51"/>
      <c r="M600" s="51"/>
      <c r="N600" s="51"/>
      <c r="O600" s="51"/>
      <c r="P600" s="51"/>
      <c r="Q600" s="51"/>
      <c r="R600" s="51"/>
      <c r="S600" s="51"/>
      <c r="T600" s="51"/>
      <c r="U600" s="51"/>
      <c r="V600" s="51">
        <f>SUM(G600:U600)</f>
        <v>0</v>
      </c>
      <c r="W600" s="2"/>
      <c r="Y600" s="74"/>
      <c r="AB600" s="74"/>
      <c r="AD600" s="74"/>
    </row>
    <row r="601" spans="1:39" s="1" customFormat="1" hidden="1" outlineLevel="1" x14ac:dyDescent="0.25">
      <c r="A601" s="2"/>
      <c r="B601" s="51"/>
      <c r="C601" s="51"/>
      <c r="D601" s="51"/>
      <c r="E601" s="51"/>
      <c r="F601" s="51"/>
      <c r="G601" s="51"/>
      <c r="H601" s="51"/>
      <c r="I601" s="51"/>
      <c r="J601" s="51"/>
      <c r="K601" s="51"/>
      <c r="L601" s="51"/>
      <c r="M601" s="51"/>
      <c r="N601" s="51"/>
      <c r="O601" s="51"/>
      <c r="P601" s="51"/>
      <c r="Q601" s="51"/>
      <c r="R601" s="51"/>
      <c r="S601" s="51"/>
      <c r="T601" s="51"/>
      <c r="U601" s="51"/>
      <c r="V601" s="51">
        <f>SUM(G601:U601)</f>
        <v>0</v>
      </c>
      <c r="W601" s="2"/>
      <c r="Y601" s="74"/>
      <c r="AB601" s="74"/>
      <c r="AD601" s="74"/>
    </row>
    <row r="602" spans="1:39" s="1" customFormat="1" hidden="1" outlineLevel="1" x14ac:dyDescent="0.25">
      <c r="A602" s="2"/>
      <c r="B602" s="51"/>
      <c r="C602" s="51"/>
      <c r="D602" s="51"/>
      <c r="E602" s="51"/>
      <c r="F602" s="51"/>
      <c r="G602" s="51"/>
      <c r="H602" s="51"/>
      <c r="I602" s="51"/>
      <c r="J602" s="51"/>
      <c r="K602" s="51"/>
      <c r="L602" s="51"/>
      <c r="M602" s="51"/>
      <c r="N602" s="51"/>
      <c r="O602" s="51"/>
      <c r="P602" s="51"/>
      <c r="Q602" s="51"/>
      <c r="R602" s="51"/>
      <c r="S602" s="51"/>
      <c r="T602" s="51"/>
      <c r="U602" s="51"/>
      <c r="V602" s="51">
        <f t="shared" ref="V602:V609" si="78">SUM(G602:U602)</f>
        <v>0</v>
      </c>
      <c r="W602" s="2"/>
      <c r="Y602" s="74"/>
      <c r="AB602" s="74"/>
      <c r="AD602" s="74"/>
    </row>
    <row r="603" spans="1:39" s="1" customFormat="1" hidden="1" outlineLevel="1" x14ac:dyDescent="0.25">
      <c r="A603" s="2"/>
      <c r="B603" s="51"/>
      <c r="C603" s="51"/>
      <c r="D603" s="51"/>
      <c r="E603" s="51"/>
      <c r="F603" s="51"/>
      <c r="G603" s="51"/>
      <c r="H603" s="51"/>
      <c r="I603" s="51"/>
      <c r="J603" s="51"/>
      <c r="K603" s="51"/>
      <c r="L603" s="51"/>
      <c r="M603" s="51"/>
      <c r="N603" s="51"/>
      <c r="O603" s="51"/>
      <c r="P603" s="51"/>
      <c r="Q603" s="51"/>
      <c r="R603" s="51"/>
      <c r="S603" s="51"/>
      <c r="T603" s="51"/>
      <c r="U603" s="51"/>
      <c r="V603" s="51">
        <f t="shared" si="78"/>
        <v>0</v>
      </c>
      <c r="W603" s="2"/>
      <c r="Y603" s="74"/>
      <c r="AB603" s="74"/>
      <c r="AD603" s="74"/>
    </row>
    <row r="604" spans="1:39" s="1" customFormat="1" hidden="1" outlineLevel="1" x14ac:dyDescent="0.25">
      <c r="A604" s="2"/>
      <c r="B604" s="51"/>
      <c r="C604" s="51"/>
      <c r="D604" s="51"/>
      <c r="E604" s="51"/>
      <c r="F604" s="51"/>
      <c r="G604" s="51"/>
      <c r="H604" s="51"/>
      <c r="I604" s="51"/>
      <c r="J604" s="51"/>
      <c r="K604" s="51"/>
      <c r="L604" s="51"/>
      <c r="M604" s="51"/>
      <c r="N604" s="51"/>
      <c r="O604" s="51"/>
      <c r="P604" s="51"/>
      <c r="Q604" s="51"/>
      <c r="R604" s="51"/>
      <c r="S604" s="51"/>
      <c r="T604" s="51"/>
      <c r="U604" s="51"/>
      <c r="V604" s="51">
        <f t="shared" si="78"/>
        <v>0</v>
      </c>
      <c r="W604" s="2"/>
      <c r="Y604" s="74"/>
      <c r="AB604" s="74"/>
      <c r="AD604" s="74"/>
    </row>
    <row r="605" spans="1:39" s="1" customFormat="1" hidden="1" outlineLevel="1" x14ac:dyDescent="0.25">
      <c r="A605" s="2"/>
      <c r="B605" s="51"/>
      <c r="C605" s="51"/>
      <c r="D605" s="51"/>
      <c r="E605" s="51"/>
      <c r="F605" s="51"/>
      <c r="G605" s="51"/>
      <c r="H605" s="51"/>
      <c r="I605" s="51"/>
      <c r="J605" s="51"/>
      <c r="K605" s="51"/>
      <c r="L605" s="51"/>
      <c r="M605" s="51"/>
      <c r="N605" s="51"/>
      <c r="O605" s="51"/>
      <c r="P605" s="51"/>
      <c r="Q605" s="51"/>
      <c r="R605" s="51"/>
      <c r="S605" s="51"/>
      <c r="T605" s="51"/>
      <c r="U605" s="51"/>
      <c r="V605" s="51">
        <f t="shared" si="78"/>
        <v>0</v>
      </c>
      <c r="W605" s="2"/>
      <c r="Y605" s="74"/>
      <c r="AB605" s="74"/>
      <c r="AD605" s="74"/>
    </row>
    <row r="606" spans="1:39" s="1" customFormat="1" hidden="1" outlineLevel="1" x14ac:dyDescent="0.25">
      <c r="A606" s="2"/>
      <c r="B606" s="51"/>
      <c r="C606" s="51"/>
      <c r="D606" s="51"/>
      <c r="E606" s="51"/>
      <c r="F606" s="51"/>
      <c r="G606" s="51"/>
      <c r="H606" s="51"/>
      <c r="I606" s="51"/>
      <c r="J606" s="51"/>
      <c r="K606" s="51"/>
      <c r="L606" s="51"/>
      <c r="M606" s="51"/>
      <c r="N606" s="51"/>
      <c r="O606" s="51"/>
      <c r="P606" s="51"/>
      <c r="Q606" s="51"/>
      <c r="R606" s="51"/>
      <c r="S606" s="51"/>
      <c r="T606" s="51"/>
      <c r="U606" s="51"/>
      <c r="V606" s="51">
        <f t="shared" si="78"/>
        <v>0</v>
      </c>
      <c r="W606" s="2"/>
      <c r="Y606" s="74"/>
      <c r="AB606" s="74"/>
      <c r="AD606" s="74"/>
    </row>
    <row r="607" spans="1:39" s="1" customFormat="1" hidden="1" outlineLevel="1" x14ac:dyDescent="0.25">
      <c r="A607" s="2"/>
      <c r="B607" s="51"/>
      <c r="C607" s="51"/>
      <c r="D607" s="51"/>
      <c r="E607" s="51"/>
      <c r="F607" s="51"/>
      <c r="G607" s="51"/>
      <c r="H607" s="51"/>
      <c r="I607" s="51"/>
      <c r="J607" s="51"/>
      <c r="K607" s="51"/>
      <c r="L607" s="51"/>
      <c r="M607" s="51"/>
      <c r="N607" s="51"/>
      <c r="O607" s="51"/>
      <c r="P607" s="51"/>
      <c r="Q607" s="51"/>
      <c r="R607" s="51"/>
      <c r="S607" s="51"/>
      <c r="T607" s="51"/>
      <c r="U607" s="51"/>
      <c r="V607" s="51">
        <f t="shared" si="78"/>
        <v>0</v>
      </c>
      <c r="W607" s="2"/>
      <c r="Y607" s="74"/>
      <c r="AB607" s="74"/>
      <c r="AD607" s="74"/>
    </row>
    <row r="608" spans="1:39" s="1" customFormat="1" hidden="1" outlineLevel="1" x14ac:dyDescent="0.25">
      <c r="A608" s="2"/>
      <c r="B608" s="51"/>
      <c r="C608" s="51"/>
      <c r="D608" s="51"/>
      <c r="E608" s="51"/>
      <c r="F608" s="51"/>
      <c r="G608" s="51"/>
      <c r="H608" s="51"/>
      <c r="I608" s="51"/>
      <c r="J608" s="51"/>
      <c r="K608" s="51"/>
      <c r="L608" s="51"/>
      <c r="M608" s="51"/>
      <c r="N608" s="51"/>
      <c r="O608" s="51"/>
      <c r="P608" s="51"/>
      <c r="Q608" s="51"/>
      <c r="R608" s="51"/>
      <c r="S608" s="51"/>
      <c r="T608" s="51"/>
      <c r="U608" s="51"/>
      <c r="V608" s="51">
        <f t="shared" si="78"/>
        <v>0</v>
      </c>
      <c r="W608" s="2"/>
      <c r="Y608" s="74"/>
      <c r="AB608" s="74"/>
      <c r="AD608" s="74"/>
    </row>
    <row r="609" spans="1:30" s="1" customFormat="1" hidden="1" outlineLevel="1" x14ac:dyDescent="0.25">
      <c r="A609" s="2"/>
      <c r="B609" s="51"/>
      <c r="C609" s="51"/>
      <c r="D609" s="51"/>
      <c r="E609" s="51"/>
      <c r="F609" s="51"/>
      <c r="G609" s="51"/>
      <c r="H609" s="51"/>
      <c r="I609" s="51"/>
      <c r="J609" s="51"/>
      <c r="K609" s="51"/>
      <c r="L609" s="51"/>
      <c r="M609" s="51"/>
      <c r="N609" s="51"/>
      <c r="O609" s="51"/>
      <c r="P609" s="51"/>
      <c r="Q609" s="51"/>
      <c r="R609" s="51"/>
      <c r="S609" s="51"/>
      <c r="T609" s="51"/>
      <c r="U609" s="51"/>
      <c r="V609" s="51">
        <f t="shared" si="78"/>
        <v>0</v>
      </c>
      <c r="W609" s="2"/>
      <c r="Y609" s="74"/>
      <c r="AB609" s="74"/>
      <c r="AD609" s="74"/>
    </row>
    <row r="610" spans="1:30" s="1" customFormat="1" hidden="1" outlineLevel="1" x14ac:dyDescent="0.25">
      <c r="A610" s="2"/>
      <c r="B610" s="185" t="s">
        <v>29</v>
      </c>
      <c r="C610" s="185"/>
      <c r="D610" s="185"/>
      <c r="E610" s="185"/>
      <c r="F610" s="185"/>
      <c r="G610" s="185"/>
      <c r="H610" s="185"/>
      <c r="I610" s="185"/>
      <c r="J610" s="185"/>
      <c r="K610" s="185"/>
      <c r="L610" s="185"/>
      <c r="M610" s="185"/>
      <c r="N610" s="185"/>
      <c r="O610" s="185"/>
      <c r="P610" s="185"/>
      <c r="Q610" s="185"/>
      <c r="R610" s="185"/>
      <c r="S610" s="185"/>
      <c r="T610" s="185"/>
      <c r="U610" s="185"/>
      <c r="V610" s="87"/>
      <c r="W610" s="2"/>
      <c r="Y610" s="74"/>
      <c r="AB610" s="74"/>
      <c r="AD610" s="74"/>
    </row>
    <row r="611" spans="1:30" s="1" customFormat="1" hidden="1" outlineLevel="1" x14ac:dyDescent="0.25">
      <c r="A611" s="2"/>
      <c r="B611" s="82"/>
      <c r="C611" s="51"/>
      <c r="D611" s="51"/>
      <c r="E611" s="51"/>
      <c r="F611" s="51"/>
      <c r="G611" s="20"/>
      <c r="H611" s="21"/>
      <c r="I611" s="21"/>
      <c r="J611" s="23"/>
      <c r="K611" s="51"/>
      <c r="L611" s="32"/>
      <c r="M611" s="22"/>
      <c r="N611" s="51"/>
      <c r="O611" s="81"/>
      <c r="P611" s="22"/>
      <c r="Q611" s="51"/>
      <c r="R611" s="51"/>
      <c r="S611" s="51"/>
      <c r="T611" s="51"/>
      <c r="U611" s="51"/>
      <c r="V611" s="51">
        <f>SUM(G611:U611)</f>
        <v>0</v>
      </c>
      <c r="W611" s="2"/>
      <c r="Y611" s="74"/>
      <c r="AB611" s="74"/>
      <c r="AD611" s="74"/>
    </row>
    <row r="612" spans="1:30" s="1" customFormat="1" hidden="1" outlineLevel="1" x14ac:dyDescent="0.25">
      <c r="A612" s="2"/>
      <c r="B612" s="82"/>
      <c r="C612" s="51"/>
      <c r="D612" s="51"/>
      <c r="E612" s="51"/>
      <c r="F612" s="51"/>
      <c r="G612" s="20"/>
      <c r="H612" s="21"/>
      <c r="I612" s="21"/>
      <c r="J612" s="23"/>
      <c r="K612" s="51"/>
      <c r="L612" s="32"/>
      <c r="M612" s="22"/>
      <c r="N612" s="51"/>
      <c r="O612" s="81"/>
      <c r="P612" s="22"/>
      <c r="Q612" s="51"/>
      <c r="R612" s="51"/>
      <c r="S612" s="51"/>
      <c r="T612" s="51"/>
      <c r="U612" s="51"/>
      <c r="V612" s="51">
        <f>SUM(G612:U612)</f>
        <v>0</v>
      </c>
      <c r="W612" s="2"/>
      <c r="Y612" s="74"/>
      <c r="AB612" s="74"/>
      <c r="AD612" s="74"/>
    </row>
    <row r="613" spans="1:30" s="1" customFormat="1" hidden="1" outlineLevel="1" x14ac:dyDescent="0.25">
      <c r="V613" s="51">
        <f t="shared" ref="V613:V627" si="79">SUM(G613:U613)</f>
        <v>0</v>
      </c>
      <c r="W613" s="2"/>
      <c r="Y613" s="74"/>
      <c r="AB613" s="74"/>
      <c r="AD613" s="74"/>
    </row>
    <row r="614" spans="1:30" s="1" customFormat="1" hidden="1" outlineLevel="1" x14ac:dyDescent="0.25">
      <c r="A614" s="2"/>
      <c r="B614" s="82"/>
      <c r="C614" s="51"/>
      <c r="D614" s="51"/>
      <c r="E614" s="51"/>
      <c r="F614" s="51"/>
      <c r="G614" s="20"/>
      <c r="H614" s="21"/>
      <c r="I614" s="21"/>
      <c r="J614" s="23"/>
      <c r="K614" s="51"/>
      <c r="L614" s="32"/>
      <c r="M614" s="22"/>
      <c r="N614" s="51"/>
      <c r="O614" s="81"/>
      <c r="P614" s="22"/>
      <c r="Q614" s="51"/>
      <c r="R614" s="51"/>
      <c r="S614" s="51"/>
      <c r="T614" s="51"/>
      <c r="U614" s="51"/>
      <c r="V614" s="51">
        <f t="shared" si="79"/>
        <v>0</v>
      </c>
      <c r="W614" s="2"/>
      <c r="Y614" s="74"/>
      <c r="AB614" s="74"/>
      <c r="AD614" s="74"/>
    </row>
    <row r="615" spans="1:30" s="1" customFormat="1" hidden="1" outlineLevel="1" x14ac:dyDescent="0.25">
      <c r="A615" s="2"/>
      <c r="B615" s="51"/>
      <c r="C615" s="51"/>
      <c r="D615" s="51"/>
      <c r="E615" s="51"/>
      <c r="F615" s="51"/>
      <c r="G615" s="51"/>
      <c r="H615" s="80"/>
      <c r="I615" s="51"/>
      <c r="J615" s="51"/>
      <c r="K615" s="51"/>
      <c r="L615" s="51"/>
      <c r="M615" s="51"/>
      <c r="N615" s="81"/>
      <c r="O615" s="51"/>
      <c r="P615" s="51"/>
      <c r="Q615" s="51"/>
      <c r="R615" s="51"/>
      <c r="S615" s="51"/>
      <c r="T615" s="51"/>
      <c r="U615" s="51"/>
      <c r="V615" s="51">
        <f t="shared" si="79"/>
        <v>0</v>
      </c>
      <c r="W615" s="2"/>
      <c r="Y615" s="74"/>
      <c r="AB615" s="74"/>
      <c r="AD615" s="74"/>
    </row>
    <row r="616" spans="1:30" s="1" customFormat="1" hidden="1" outlineLevel="1" x14ac:dyDescent="0.25">
      <c r="A616" s="2"/>
      <c r="B616" s="51"/>
      <c r="C616" s="51"/>
      <c r="D616" s="51"/>
      <c r="E616" s="51"/>
      <c r="F616" s="51"/>
      <c r="G616" s="51"/>
      <c r="H616" s="80"/>
      <c r="I616" s="51"/>
      <c r="J616" s="51"/>
      <c r="K616" s="51"/>
      <c r="L616" s="51"/>
      <c r="M616" s="51"/>
      <c r="N616" s="81"/>
      <c r="O616" s="51"/>
      <c r="P616" s="51"/>
      <c r="Q616" s="51"/>
      <c r="R616" s="51"/>
      <c r="S616" s="51"/>
      <c r="T616" s="51"/>
      <c r="U616" s="51"/>
      <c r="V616" s="51">
        <f t="shared" si="79"/>
        <v>0</v>
      </c>
      <c r="W616" s="2"/>
      <c r="Y616" s="74"/>
      <c r="AB616" s="74"/>
      <c r="AD616" s="74"/>
    </row>
    <row r="617" spans="1:30" s="1" customFormat="1" hidden="1" outlineLevel="1" x14ac:dyDescent="0.25">
      <c r="A617" s="2"/>
      <c r="B617" s="51"/>
      <c r="C617" s="51"/>
      <c r="D617" s="51"/>
      <c r="E617" s="51"/>
      <c r="F617" s="51"/>
      <c r="G617" s="51"/>
      <c r="H617" s="80"/>
      <c r="I617" s="51"/>
      <c r="J617" s="51"/>
      <c r="K617" s="51"/>
      <c r="L617" s="51"/>
      <c r="M617" s="51"/>
      <c r="N617" s="81"/>
      <c r="O617" s="51"/>
      <c r="P617" s="51"/>
      <c r="Q617" s="51"/>
      <c r="R617" s="51"/>
      <c r="S617" s="81"/>
      <c r="T617" s="51"/>
      <c r="U617" s="51"/>
      <c r="V617" s="51">
        <f t="shared" si="79"/>
        <v>0</v>
      </c>
      <c r="W617" s="2"/>
      <c r="Y617" s="74"/>
      <c r="AB617" s="74"/>
      <c r="AD617" s="74"/>
    </row>
    <row r="618" spans="1:30" s="1" customFormat="1" hidden="1" outlineLevel="1" x14ac:dyDescent="0.25">
      <c r="A618" s="2"/>
      <c r="B618" s="51"/>
      <c r="C618" s="51"/>
      <c r="D618" s="51"/>
      <c r="E618" s="51"/>
      <c r="F618" s="51"/>
      <c r="G618" s="51"/>
      <c r="H618" s="80"/>
      <c r="I618" s="51"/>
      <c r="J618" s="51"/>
      <c r="K618" s="51"/>
      <c r="L618" s="51"/>
      <c r="M618" s="51"/>
      <c r="N618" s="81"/>
      <c r="O618" s="51"/>
      <c r="P618" s="51"/>
      <c r="Q618" s="51"/>
      <c r="R618" s="51"/>
      <c r="S618" s="81"/>
      <c r="T618" s="51"/>
      <c r="U618" s="51"/>
      <c r="V618" s="51">
        <f t="shared" si="79"/>
        <v>0</v>
      </c>
      <c r="W618" s="2"/>
      <c r="Y618" s="74"/>
      <c r="AB618" s="74"/>
      <c r="AD618" s="74"/>
    </row>
    <row r="619" spans="1:30" s="1" customFormat="1" hidden="1" outlineLevel="1" x14ac:dyDescent="0.25">
      <c r="A619" s="2"/>
      <c r="B619" s="51"/>
      <c r="C619" s="51"/>
      <c r="D619" s="51"/>
      <c r="E619" s="51"/>
      <c r="F619" s="51"/>
      <c r="G619" s="51"/>
      <c r="H619" s="80"/>
      <c r="I619" s="51"/>
      <c r="J619" s="51"/>
      <c r="K619" s="51"/>
      <c r="L619" s="51"/>
      <c r="M619" s="51"/>
      <c r="N619" s="81"/>
      <c r="O619" s="51"/>
      <c r="P619" s="51"/>
      <c r="Q619" s="51"/>
      <c r="R619" s="51"/>
      <c r="S619" s="81"/>
      <c r="T619" s="51"/>
      <c r="U619" s="51"/>
      <c r="V619" s="51">
        <f t="shared" si="79"/>
        <v>0</v>
      </c>
      <c r="W619" s="2"/>
      <c r="Y619" s="74"/>
      <c r="AB619" s="74"/>
      <c r="AD619" s="74"/>
    </row>
    <row r="620" spans="1:30" s="1" customFormat="1" hidden="1" outlineLevel="1" x14ac:dyDescent="0.25">
      <c r="A620" s="2"/>
      <c r="B620" s="51"/>
      <c r="C620" s="51"/>
      <c r="D620" s="51"/>
      <c r="E620" s="51"/>
      <c r="F620" s="51"/>
      <c r="G620" s="51"/>
      <c r="H620" s="80"/>
      <c r="I620" s="51"/>
      <c r="J620" s="51"/>
      <c r="K620" s="51"/>
      <c r="L620" s="51"/>
      <c r="M620" s="51"/>
      <c r="N620" s="81"/>
      <c r="O620" s="51"/>
      <c r="P620" s="51"/>
      <c r="Q620" s="51"/>
      <c r="R620" s="51"/>
      <c r="S620" s="81"/>
      <c r="T620" s="51"/>
      <c r="U620" s="51"/>
      <c r="V620" s="51">
        <f t="shared" si="79"/>
        <v>0</v>
      </c>
      <c r="W620" s="2"/>
      <c r="Y620" s="74"/>
      <c r="AB620" s="74"/>
      <c r="AD620" s="74"/>
    </row>
    <row r="621" spans="1:30" s="1" customFormat="1" hidden="1" outlineLevel="1" x14ac:dyDescent="0.25">
      <c r="A621" s="2"/>
      <c r="B621" s="51"/>
      <c r="C621" s="51"/>
      <c r="D621" s="51"/>
      <c r="E621" s="51"/>
      <c r="F621" s="51"/>
      <c r="G621" s="51"/>
      <c r="H621" s="80"/>
      <c r="I621" s="51"/>
      <c r="J621" s="51"/>
      <c r="K621" s="51"/>
      <c r="L621" s="51"/>
      <c r="M621" s="51"/>
      <c r="N621" s="81"/>
      <c r="O621" s="51"/>
      <c r="P621" s="51"/>
      <c r="Q621" s="51"/>
      <c r="R621" s="51"/>
      <c r="S621" s="81"/>
      <c r="T621" s="51"/>
      <c r="U621" s="51"/>
      <c r="V621" s="51">
        <f t="shared" si="79"/>
        <v>0</v>
      </c>
      <c r="W621" s="2"/>
      <c r="Y621" s="74"/>
      <c r="AB621" s="74"/>
      <c r="AD621" s="74"/>
    </row>
    <row r="622" spans="1:30" s="1" customFormat="1" hidden="1" outlineLevel="1" x14ac:dyDescent="0.25">
      <c r="A622" s="2"/>
      <c r="B622" s="51"/>
      <c r="C622" s="51"/>
      <c r="D622" s="51"/>
      <c r="E622" s="51"/>
      <c r="F622" s="51"/>
      <c r="G622" s="51"/>
      <c r="H622" s="80"/>
      <c r="I622" s="51"/>
      <c r="J622" s="51"/>
      <c r="K622" s="51"/>
      <c r="L622" s="51"/>
      <c r="M622" s="51"/>
      <c r="N622" s="81"/>
      <c r="O622" s="51"/>
      <c r="P622" s="51"/>
      <c r="Q622" s="51"/>
      <c r="R622" s="51"/>
      <c r="S622" s="81"/>
      <c r="T622" s="51"/>
      <c r="U622" s="51"/>
      <c r="V622" s="51">
        <f t="shared" si="79"/>
        <v>0</v>
      </c>
      <c r="W622" s="2"/>
      <c r="Y622" s="74"/>
      <c r="AB622" s="74"/>
      <c r="AD622" s="74"/>
    </row>
    <row r="623" spans="1:30" s="1" customFormat="1" hidden="1" outlineLevel="1" x14ac:dyDescent="0.25">
      <c r="A623" s="2"/>
      <c r="B623" s="51"/>
      <c r="C623" s="51"/>
      <c r="D623" s="51"/>
      <c r="E623" s="51"/>
      <c r="F623" s="51"/>
      <c r="G623" s="51"/>
      <c r="H623" s="80"/>
      <c r="I623" s="51"/>
      <c r="J623" s="51"/>
      <c r="K623" s="51"/>
      <c r="L623" s="51"/>
      <c r="M623" s="51"/>
      <c r="N623" s="81"/>
      <c r="O623" s="51"/>
      <c r="P623" s="51"/>
      <c r="Q623" s="51"/>
      <c r="R623" s="51"/>
      <c r="S623" s="81"/>
      <c r="T623" s="51"/>
      <c r="U623" s="51"/>
      <c r="V623" s="51">
        <f t="shared" si="79"/>
        <v>0</v>
      </c>
      <c r="W623" s="2"/>
      <c r="Y623" s="74"/>
      <c r="AB623" s="74"/>
      <c r="AD623" s="74"/>
    </row>
    <row r="624" spans="1:30" s="1" customFormat="1" hidden="1" outlineLevel="1" x14ac:dyDescent="0.25">
      <c r="A624" s="2"/>
      <c r="B624" s="51"/>
      <c r="C624" s="51"/>
      <c r="D624" s="51"/>
      <c r="E624" s="51"/>
      <c r="F624" s="51"/>
      <c r="G624" s="51"/>
      <c r="H624" s="80"/>
      <c r="I624" s="51"/>
      <c r="J624" s="51"/>
      <c r="K624" s="51"/>
      <c r="L624" s="51"/>
      <c r="M624" s="51"/>
      <c r="N624" s="81"/>
      <c r="O624" s="51"/>
      <c r="P624" s="51"/>
      <c r="Q624" s="51"/>
      <c r="R624" s="51"/>
      <c r="S624" s="81"/>
      <c r="T624" s="51"/>
      <c r="U624" s="51"/>
      <c r="V624" s="51">
        <f t="shared" si="79"/>
        <v>0</v>
      </c>
      <c r="W624" s="2"/>
      <c r="Y624" s="74"/>
      <c r="AB624" s="74"/>
      <c r="AD624" s="74"/>
    </row>
    <row r="625" spans="1:39" s="1" customFormat="1" hidden="1" outlineLevel="1" x14ac:dyDescent="0.25">
      <c r="A625" s="2"/>
      <c r="B625" s="51"/>
      <c r="C625" s="51"/>
      <c r="D625" s="51"/>
      <c r="E625" s="51"/>
      <c r="F625" s="51"/>
      <c r="G625" s="51"/>
      <c r="H625" s="80"/>
      <c r="I625" s="51"/>
      <c r="J625" s="51"/>
      <c r="K625" s="51"/>
      <c r="L625" s="51"/>
      <c r="M625" s="51"/>
      <c r="N625" s="81"/>
      <c r="O625" s="51"/>
      <c r="P625" s="51"/>
      <c r="Q625" s="51"/>
      <c r="R625" s="51"/>
      <c r="S625" s="81"/>
      <c r="T625" s="51"/>
      <c r="U625" s="51"/>
      <c r="V625" s="51">
        <f t="shared" si="79"/>
        <v>0</v>
      </c>
      <c r="W625" s="2"/>
      <c r="Y625" s="74"/>
      <c r="AB625" s="74"/>
      <c r="AD625" s="74"/>
    </row>
    <row r="626" spans="1:39" s="1" customFormat="1" hidden="1" outlineLevel="1" x14ac:dyDescent="0.25">
      <c r="A626" s="2"/>
      <c r="B626" s="51"/>
      <c r="C626" s="51"/>
      <c r="D626" s="51"/>
      <c r="E626" s="51"/>
      <c r="F626" s="51"/>
      <c r="G626" s="51"/>
      <c r="H626" s="80"/>
      <c r="I626" s="51"/>
      <c r="J626" s="51"/>
      <c r="K626" s="51"/>
      <c r="L626" s="51"/>
      <c r="M626" s="51"/>
      <c r="N626" s="81"/>
      <c r="O626" s="51"/>
      <c r="P626" s="51"/>
      <c r="Q626" s="51"/>
      <c r="R626" s="51"/>
      <c r="S626" s="81"/>
      <c r="T626" s="51"/>
      <c r="U626" s="51"/>
      <c r="V626" s="51">
        <f t="shared" si="79"/>
        <v>0</v>
      </c>
      <c r="W626" s="2"/>
      <c r="Y626" s="74"/>
      <c r="AB626" s="74"/>
      <c r="AD626" s="74"/>
    </row>
    <row r="627" spans="1:39" s="1" customFormat="1" hidden="1" outlineLevel="1" x14ac:dyDescent="0.25">
      <c r="A627" s="2"/>
      <c r="B627" s="51"/>
      <c r="C627" s="51"/>
      <c r="D627" s="51"/>
      <c r="E627" s="51"/>
      <c r="F627" s="51"/>
      <c r="G627" s="51"/>
      <c r="H627" s="80"/>
      <c r="I627" s="51"/>
      <c r="J627" s="51"/>
      <c r="K627" s="51"/>
      <c r="L627" s="51"/>
      <c r="M627" s="51"/>
      <c r="N627" s="81"/>
      <c r="O627" s="51"/>
      <c r="P627" s="51"/>
      <c r="Q627" s="51"/>
      <c r="R627" s="51"/>
      <c r="S627" s="81"/>
      <c r="T627" s="51"/>
      <c r="U627" s="51"/>
      <c r="V627" s="51">
        <f t="shared" si="79"/>
        <v>0</v>
      </c>
      <c r="W627" s="2"/>
      <c r="Y627" s="74"/>
      <c r="AB627" s="74"/>
      <c r="AD627" s="74"/>
    </row>
    <row r="628" spans="1:39" ht="15.75" hidden="1" customHeight="1" outlineLevel="1" thickBot="1" x14ac:dyDescent="0.3">
      <c r="A628" s="2"/>
      <c r="B628" s="75"/>
      <c r="C628" s="75"/>
      <c r="D628" s="76"/>
      <c r="E628" s="76"/>
      <c r="F628" s="76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2"/>
      <c r="R628" s="77"/>
      <c r="S628" s="77"/>
      <c r="T628" s="77"/>
      <c r="U628" s="2"/>
      <c r="V628" s="77"/>
      <c r="W628" s="78"/>
      <c r="Y628" s="74"/>
      <c r="Z628" s="6"/>
      <c r="AA628" s="13"/>
      <c r="AB628" s="74"/>
      <c r="AC628" s="6"/>
      <c r="AD628" s="74"/>
      <c r="AE628" s="6"/>
      <c r="AF628" s="6"/>
      <c r="AG628" s="6"/>
      <c r="AH628" s="6"/>
      <c r="AI628" s="6"/>
      <c r="AM628" s="14"/>
    </row>
    <row r="629" spans="1:39" s="1" customFormat="1" x14ac:dyDescent="0.25">
      <c r="A629" s="164">
        <v>1</v>
      </c>
      <c r="B629" s="153"/>
      <c r="C629" s="153"/>
      <c r="D629" s="156"/>
      <c r="E629" s="90"/>
      <c r="F629" s="92"/>
      <c r="G629" s="72">
        <f t="shared" ref="G629:U629" si="80">SUM(G631:G640)</f>
        <v>0</v>
      </c>
      <c r="H629" s="72">
        <f t="shared" si="80"/>
        <v>0</v>
      </c>
      <c r="I629" s="72">
        <f t="shared" si="80"/>
        <v>0</v>
      </c>
      <c r="J629" s="72">
        <f t="shared" si="80"/>
        <v>0</v>
      </c>
      <c r="K629" s="72">
        <f t="shared" si="80"/>
        <v>0</v>
      </c>
      <c r="L629" s="72">
        <f t="shared" si="80"/>
        <v>0</v>
      </c>
      <c r="M629" s="72">
        <f t="shared" si="80"/>
        <v>0</v>
      </c>
      <c r="N629" s="72">
        <f t="shared" si="80"/>
        <v>0</v>
      </c>
      <c r="O629" s="72">
        <f t="shared" si="80"/>
        <v>0</v>
      </c>
      <c r="P629" s="72">
        <f t="shared" si="80"/>
        <v>0</v>
      </c>
      <c r="Q629" s="72">
        <f t="shared" si="80"/>
        <v>0</v>
      </c>
      <c r="R629" s="72">
        <f t="shared" si="80"/>
        <v>0</v>
      </c>
      <c r="S629" s="72">
        <f t="shared" si="80"/>
        <v>0</v>
      </c>
      <c r="T629" s="72">
        <f t="shared" si="80"/>
        <v>0</v>
      </c>
      <c r="U629" s="72">
        <f t="shared" si="80"/>
        <v>0</v>
      </c>
      <c r="V629" s="72">
        <f>SUM(V631:V640)</f>
        <v>0</v>
      </c>
      <c r="W629" s="168">
        <f>V629+V630</f>
        <v>0</v>
      </c>
      <c r="Y629" s="74"/>
      <c r="AB629" s="74"/>
      <c r="AD629" s="74"/>
    </row>
    <row r="630" spans="1:39" s="1" customFormat="1" ht="13.8" collapsed="1" thickBot="1" x14ac:dyDescent="0.3">
      <c r="A630" s="165"/>
      <c r="B630" s="154"/>
      <c r="C630" s="154"/>
      <c r="D630" s="157"/>
      <c r="E630" s="91"/>
      <c r="F630" s="93"/>
      <c r="G630" s="73">
        <f>SUM(G642:G659)</f>
        <v>0</v>
      </c>
      <c r="H630" s="79">
        <f>SUM(H642:H659)</f>
        <v>0</v>
      </c>
      <c r="I630" s="79">
        <f>SUM(I642:I659)</f>
        <v>0</v>
      </c>
      <c r="J630" s="73">
        <f t="shared" ref="J630:Q630" si="81">SUM(J642:J659)</f>
        <v>0</v>
      </c>
      <c r="K630" s="73">
        <f t="shared" si="81"/>
        <v>0</v>
      </c>
      <c r="L630" s="73">
        <f t="shared" si="81"/>
        <v>0</v>
      </c>
      <c r="M630" s="73">
        <f t="shared" si="81"/>
        <v>0</v>
      </c>
      <c r="N630" s="73">
        <f t="shared" si="81"/>
        <v>0</v>
      </c>
      <c r="O630" s="73">
        <f t="shared" si="81"/>
        <v>0</v>
      </c>
      <c r="P630" s="73">
        <f t="shared" si="81"/>
        <v>0</v>
      </c>
      <c r="Q630" s="73">
        <f t="shared" si="81"/>
        <v>0</v>
      </c>
      <c r="R630" s="73">
        <f>SUM(R642:R659)</f>
        <v>0</v>
      </c>
      <c r="S630" s="73">
        <f>SUM(S642:S659)</f>
        <v>0</v>
      </c>
      <c r="T630" s="73">
        <f>SUM(T642:T659)</f>
        <v>0</v>
      </c>
      <c r="U630" s="73">
        <f>SUM(U642:U659)</f>
        <v>0</v>
      </c>
      <c r="V630" s="73">
        <f>SUM(V642:V659)</f>
        <v>0</v>
      </c>
      <c r="W630" s="169"/>
      <c r="Y630" s="74"/>
      <c r="Z630" s="74"/>
      <c r="AB630" s="74"/>
      <c r="AD630" s="74"/>
      <c r="AE630" s="74"/>
      <c r="AF630" s="74"/>
    </row>
    <row r="631" spans="1:39" s="1" customFormat="1" hidden="1" outlineLevel="1" x14ac:dyDescent="0.25">
      <c r="A631" s="2"/>
      <c r="B631" s="51"/>
      <c r="C631" s="51"/>
      <c r="D631" s="51"/>
      <c r="E631" s="51"/>
      <c r="F631" s="51"/>
      <c r="G631" s="51"/>
      <c r="H631" s="51"/>
      <c r="I631" s="51"/>
      <c r="J631" s="51"/>
      <c r="K631" s="51"/>
      <c r="L631" s="51"/>
      <c r="M631" s="51"/>
      <c r="N631" s="51"/>
      <c r="O631" s="51"/>
      <c r="P631" s="51"/>
      <c r="Q631" s="51"/>
      <c r="R631" s="51"/>
      <c r="S631" s="51"/>
      <c r="T631" s="51"/>
      <c r="U631" s="51"/>
      <c r="V631" s="51">
        <f>SUM(G631:U631)</f>
        <v>0</v>
      </c>
      <c r="W631" s="2"/>
      <c r="Y631" s="74"/>
      <c r="AB631" s="74"/>
      <c r="AD631" s="74"/>
    </row>
    <row r="632" spans="1:39" s="1" customFormat="1" hidden="1" outlineLevel="1" x14ac:dyDescent="0.25">
      <c r="A632" s="2"/>
      <c r="B632" s="51"/>
      <c r="C632" s="51"/>
      <c r="D632" s="51"/>
      <c r="E632" s="51"/>
      <c r="F632" s="51"/>
      <c r="G632" s="51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/>
      <c r="S632" s="51"/>
      <c r="T632" s="51"/>
      <c r="U632" s="51"/>
      <c r="V632" s="51">
        <f>SUM(G632:U632)</f>
        <v>0</v>
      </c>
      <c r="W632" s="2"/>
      <c r="Y632" s="74"/>
      <c r="AB632" s="74"/>
      <c r="AD632" s="74"/>
    </row>
    <row r="633" spans="1:39" s="1" customFormat="1" hidden="1" outlineLevel="1" x14ac:dyDescent="0.25">
      <c r="A633" s="2"/>
      <c r="B633" s="51"/>
      <c r="C633" s="51"/>
      <c r="D633" s="51"/>
      <c r="E633" s="51"/>
      <c r="F633" s="51"/>
      <c r="G633" s="51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>
        <f t="shared" ref="V633:V640" si="82">SUM(G633:U633)</f>
        <v>0</v>
      </c>
      <c r="W633" s="2"/>
      <c r="Y633" s="74"/>
      <c r="AB633" s="74"/>
      <c r="AD633" s="74"/>
    </row>
    <row r="634" spans="1:39" s="1" customFormat="1" hidden="1" outlineLevel="1" x14ac:dyDescent="0.25">
      <c r="A634" s="2"/>
      <c r="B634" s="51"/>
      <c r="C634" s="51"/>
      <c r="D634" s="51"/>
      <c r="E634" s="51"/>
      <c r="F634" s="51"/>
      <c r="G634" s="51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/>
      <c r="S634" s="51"/>
      <c r="T634" s="51"/>
      <c r="U634" s="51"/>
      <c r="V634" s="51">
        <f t="shared" si="82"/>
        <v>0</v>
      </c>
      <c r="W634" s="2"/>
      <c r="Y634" s="74"/>
      <c r="AB634" s="74"/>
      <c r="AD634" s="74"/>
    </row>
    <row r="635" spans="1:39" s="1" customFormat="1" hidden="1" outlineLevel="1" x14ac:dyDescent="0.25">
      <c r="A635" s="2"/>
      <c r="B635" s="51"/>
      <c r="C635" s="51"/>
      <c r="D635" s="51"/>
      <c r="E635" s="51"/>
      <c r="F635" s="51"/>
      <c r="G635" s="51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/>
      <c r="S635" s="51"/>
      <c r="T635" s="51"/>
      <c r="U635" s="51"/>
      <c r="V635" s="51">
        <f t="shared" si="82"/>
        <v>0</v>
      </c>
      <c r="W635" s="2"/>
      <c r="Y635" s="74"/>
      <c r="AB635" s="74"/>
      <c r="AD635" s="74"/>
    </row>
    <row r="636" spans="1:39" s="1" customFormat="1" hidden="1" outlineLevel="1" x14ac:dyDescent="0.25">
      <c r="A636" s="2"/>
      <c r="B636" s="51"/>
      <c r="C636" s="51"/>
      <c r="D636" s="51"/>
      <c r="E636" s="51"/>
      <c r="F636" s="51"/>
      <c r="G636" s="51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>
        <f t="shared" si="82"/>
        <v>0</v>
      </c>
      <c r="W636" s="2"/>
      <c r="Y636" s="74"/>
      <c r="AB636" s="74"/>
      <c r="AD636" s="74"/>
    </row>
    <row r="637" spans="1:39" s="1" customFormat="1" hidden="1" outlineLevel="1" x14ac:dyDescent="0.25">
      <c r="A637" s="2"/>
      <c r="B637" s="51"/>
      <c r="C637" s="51"/>
      <c r="D637" s="51"/>
      <c r="E637" s="51"/>
      <c r="F637" s="51"/>
      <c r="G637" s="51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  <c r="S637" s="51"/>
      <c r="T637" s="51"/>
      <c r="U637" s="51"/>
      <c r="V637" s="51">
        <f t="shared" si="82"/>
        <v>0</v>
      </c>
      <c r="W637" s="2"/>
      <c r="Y637" s="74"/>
      <c r="AB637" s="74"/>
      <c r="AD637" s="74"/>
    </row>
    <row r="638" spans="1:39" s="1" customFormat="1" hidden="1" outlineLevel="1" x14ac:dyDescent="0.25">
      <c r="A638" s="2"/>
      <c r="B638" s="51"/>
      <c r="C638" s="51"/>
      <c r="D638" s="51"/>
      <c r="E638" s="51"/>
      <c r="F638" s="51"/>
      <c r="G638" s="51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  <c r="S638" s="51"/>
      <c r="T638" s="51"/>
      <c r="U638" s="51"/>
      <c r="V638" s="51">
        <f t="shared" si="82"/>
        <v>0</v>
      </c>
      <c r="W638" s="2"/>
      <c r="Y638" s="74"/>
      <c r="AB638" s="74"/>
      <c r="AD638" s="74"/>
    </row>
    <row r="639" spans="1:39" s="1" customFormat="1" hidden="1" outlineLevel="1" x14ac:dyDescent="0.25">
      <c r="A639" s="2"/>
      <c r="B639" s="51"/>
      <c r="C639" s="51"/>
      <c r="D639" s="51"/>
      <c r="E639" s="51"/>
      <c r="F639" s="51"/>
      <c r="G639" s="51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>
        <f t="shared" si="82"/>
        <v>0</v>
      </c>
      <c r="W639" s="2"/>
      <c r="Y639" s="74"/>
      <c r="AB639" s="74"/>
      <c r="AD639" s="74"/>
    </row>
    <row r="640" spans="1:39" s="1" customFormat="1" hidden="1" outlineLevel="1" x14ac:dyDescent="0.25">
      <c r="A640" s="2"/>
      <c r="B640" s="51"/>
      <c r="C640" s="51"/>
      <c r="D640" s="51"/>
      <c r="E640" s="51"/>
      <c r="F640" s="51"/>
      <c r="G640" s="51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  <c r="S640" s="51"/>
      <c r="T640" s="51"/>
      <c r="U640" s="51"/>
      <c r="V640" s="51">
        <f t="shared" si="82"/>
        <v>0</v>
      </c>
      <c r="W640" s="2"/>
      <c r="Y640" s="74"/>
      <c r="AB640" s="74"/>
      <c r="AD640" s="74"/>
    </row>
    <row r="641" spans="1:30" s="1" customFormat="1" hidden="1" outlineLevel="1" x14ac:dyDescent="0.25">
      <c r="A641" s="2"/>
      <c r="B641" s="185" t="s">
        <v>29</v>
      </c>
      <c r="C641" s="185"/>
      <c r="D641" s="185"/>
      <c r="E641" s="185"/>
      <c r="F641" s="185"/>
      <c r="G641" s="185"/>
      <c r="H641" s="185"/>
      <c r="I641" s="185"/>
      <c r="J641" s="185"/>
      <c r="K641" s="185"/>
      <c r="L641" s="185"/>
      <c r="M641" s="185"/>
      <c r="N641" s="185"/>
      <c r="O641" s="185"/>
      <c r="P641" s="185"/>
      <c r="Q641" s="185"/>
      <c r="R641" s="185"/>
      <c r="S641" s="185"/>
      <c r="T641" s="185"/>
      <c r="U641" s="185"/>
      <c r="V641" s="87"/>
      <c r="W641" s="2"/>
      <c r="Y641" s="74"/>
      <c r="AB641" s="74"/>
      <c r="AD641" s="74"/>
    </row>
    <row r="642" spans="1:30" s="1" customFormat="1" hidden="1" outlineLevel="1" x14ac:dyDescent="0.25">
      <c r="A642" s="2"/>
      <c r="B642" s="82"/>
      <c r="C642" s="51"/>
      <c r="D642" s="51"/>
      <c r="E642" s="51"/>
      <c r="F642" s="51"/>
      <c r="G642" s="20"/>
      <c r="H642" s="21"/>
      <c r="I642" s="21"/>
      <c r="J642" s="23"/>
      <c r="K642" s="51"/>
      <c r="L642" s="32"/>
      <c r="M642" s="22"/>
      <c r="N642" s="51"/>
      <c r="O642" s="81"/>
      <c r="P642" s="22"/>
      <c r="Q642" s="51"/>
      <c r="R642" s="51"/>
      <c r="S642" s="51"/>
      <c r="T642" s="51"/>
      <c r="U642" s="51"/>
      <c r="V642" s="51">
        <f t="shared" ref="V642:V658" si="83">SUM(G642:U642)</f>
        <v>0</v>
      </c>
      <c r="W642" s="2"/>
      <c r="Y642" s="74"/>
      <c r="AB642" s="74"/>
      <c r="AD642" s="74"/>
    </row>
    <row r="643" spans="1:30" s="1" customFormat="1" hidden="1" outlineLevel="1" x14ac:dyDescent="0.25">
      <c r="A643" s="2"/>
      <c r="B643" s="82"/>
      <c r="C643" s="51"/>
      <c r="D643" s="51"/>
      <c r="E643" s="51"/>
      <c r="F643" s="51"/>
      <c r="G643" s="20"/>
      <c r="H643" s="21"/>
      <c r="I643" s="21"/>
      <c r="J643" s="23"/>
      <c r="K643" s="51"/>
      <c r="L643" s="32"/>
      <c r="M643" s="22"/>
      <c r="N643" s="51"/>
      <c r="O643" s="81"/>
      <c r="P643" s="22"/>
      <c r="Q643" s="51"/>
      <c r="R643" s="51"/>
      <c r="S643" s="51"/>
      <c r="T643" s="51"/>
      <c r="U643" s="51"/>
      <c r="V643" s="51">
        <f t="shared" si="83"/>
        <v>0</v>
      </c>
      <c r="W643" s="2"/>
      <c r="Y643" s="74"/>
      <c r="AB643" s="74"/>
      <c r="AD643" s="74"/>
    </row>
    <row r="644" spans="1:30" s="1" customFormat="1" hidden="1" outlineLevel="1" x14ac:dyDescent="0.25">
      <c r="A644" s="2"/>
      <c r="B644" s="82"/>
      <c r="C644" s="51"/>
      <c r="D644" s="51"/>
      <c r="E644" s="51"/>
      <c r="F644" s="51"/>
      <c r="G644" s="20"/>
      <c r="H644" s="21"/>
      <c r="I644" s="21"/>
      <c r="J644" s="23"/>
      <c r="K644" s="51"/>
      <c r="L644" s="32"/>
      <c r="M644" s="22"/>
      <c r="N644" s="51"/>
      <c r="O644" s="81"/>
      <c r="P644" s="22"/>
      <c r="Q644" s="51"/>
      <c r="R644" s="51"/>
      <c r="S644" s="51"/>
      <c r="T644" s="51"/>
      <c r="U644" s="51"/>
      <c r="V644" s="51">
        <f t="shared" si="83"/>
        <v>0</v>
      </c>
      <c r="W644" s="2"/>
      <c r="Y644" s="74"/>
      <c r="AB644" s="74"/>
      <c r="AD644" s="74"/>
    </row>
    <row r="645" spans="1:30" s="1" customFormat="1" hidden="1" outlineLevel="1" x14ac:dyDescent="0.25">
      <c r="A645" s="2"/>
      <c r="B645" s="82"/>
      <c r="C645" s="51"/>
      <c r="D645" s="51"/>
      <c r="E645" s="51"/>
      <c r="F645" s="51"/>
      <c r="G645" s="20"/>
      <c r="H645" s="21"/>
      <c r="I645" s="21"/>
      <c r="J645" s="23"/>
      <c r="K645" s="51"/>
      <c r="L645" s="32"/>
      <c r="M645" s="22"/>
      <c r="N645" s="51"/>
      <c r="O645" s="81"/>
      <c r="P645" s="22"/>
      <c r="Q645" s="51"/>
      <c r="R645" s="51"/>
      <c r="S645" s="51"/>
      <c r="T645" s="51"/>
      <c r="U645" s="51"/>
      <c r="V645" s="51">
        <f t="shared" si="83"/>
        <v>0</v>
      </c>
      <c r="W645" s="2"/>
      <c r="Y645" s="74"/>
      <c r="AB645" s="74"/>
      <c r="AD645" s="74"/>
    </row>
    <row r="646" spans="1:30" s="1" customFormat="1" hidden="1" outlineLevel="1" x14ac:dyDescent="0.25">
      <c r="A646" s="2"/>
      <c r="B646" s="51"/>
      <c r="C646" s="51"/>
      <c r="D646" s="51"/>
      <c r="E646" s="51"/>
      <c r="F646" s="51"/>
      <c r="G646" s="51"/>
      <c r="H646" s="80"/>
      <c r="I646" s="51"/>
      <c r="J646" s="51"/>
      <c r="K646" s="51"/>
      <c r="L646" s="51"/>
      <c r="M646" s="51"/>
      <c r="N646" s="81"/>
      <c r="O646" s="51"/>
      <c r="P646" s="51"/>
      <c r="Q646" s="51"/>
      <c r="R646" s="51"/>
      <c r="S646" s="51"/>
      <c r="T646" s="51"/>
      <c r="U646" s="51"/>
      <c r="V646" s="51">
        <f t="shared" si="83"/>
        <v>0</v>
      </c>
      <c r="W646" s="2"/>
      <c r="Y646" s="74"/>
      <c r="AB646" s="74"/>
      <c r="AD646" s="74"/>
    </row>
    <row r="647" spans="1:30" s="1" customFormat="1" hidden="1" outlineLevel="1" x14ac:dyDescent="0.25">
      <c r="A647" s="2"/>
      <c r="B647" s="51"/>
      <c r="C647" s="51"/>
      <c r="D647" s="51"/>
      <c r="E647" s="51"/>
      <c r="F647" s="51"/>
      <c r="G647" s="51"/>
      <c r="H647" s="80"/>
      <c r="I647" s="51"/>
      <c r="J647" s="51"/>
      <c r="K647" s="51"/>
      <c r="L647" s="51"/>
      <c r="M647" s="51"/>
      <c r="N647" s="81"/>
      <c r="O647" s="51"/>
      <c r="P647" s="51"/>
      <c r="Q647" s="51"/>
      <c r="R647" s="51"/>
      <c r="S647" s="51"/>
      <c r="T647" s="51"/>
      <c r="U647" s="51"/>
      <c r="V647" s="51">
        <f t="shared" si="83"/>
        <v>0</v>
      </c>
      <c r="W647" s="2"/>
      <c r="Y647" s="74"/>
      <c r="AB647" s="74"/>
      <c r="AD647" s="74"/>
    </row>
    <row r="648" spans="1:30" s="1" customFormat="1" hidden="1" outlineLevel="1" x14ac:dyDescent="0.25">
      <c r="A648" s="2"/>
      <c r="B648" s="51"/>
      <c r="C648" s="51"/>
      <c r="D648" s="51"/>
      <c r="E648" s="51"/>
      <c r="F648" s="51"/>
      <c r="G648" s="51"/>
      <c r="H648" s="80"/>
      <c r="I648" s="51"/>
      <c r="J648" s="51"/>
      <c r="K648" s="51"/>
      <c r="L648" s="51"/>
      <c r="M648" s="51"/>
      <c r="N648" s="81"/>
      <c r="O648" s="51"/>
      <c r="P648" s="51"/>
      <c r="Q648" s="51"/>
      <c r="R648" s="51"/>
      <c r="S648" s="81"/>
      <c r="T648" s="51"/>
      <c r="U648" s="51"/>
      <c r="V648" s="51">
        <f t="shared" si="83"/>
        <v>0</v>
      </c>
      <c r="W648" s="2"/>
      <c r="Y648" s="74"/>
      <c r="AB648" s="74"/>
      <c r="AD648" s="74"/>
    </row>
    <row r="649" spans="1:30" s="1" customFormat="1" hidden="1" outlineLevel="1" x14ac:dyDescent="0.25">
      <c r="A649" s="2"/>
      <c r="B649" s="51"/>
      <c r="C649" s="51"/>
      <c r="D649" s="51"/>
      <c r="E649" s="51"/>
      <c r="F649" s="51"/>
      <c r="G649" s="51"/>
      <c r="H649" s="80"/>
      <c r="I649" s="51"/>
      <c r="J649" s="51"/>
      <c r="K649" s="51"/>
      <c r="L649" s="51"/>
      <c r="M649" s="51"/>
      <c r="N649" s="81"/>
      <c r="O649" s="51"/>
      <c r="P649" s="51"/>
      <c r="Q649" s="51"/>
      <c r="R649" s="51"/>
      <c r="S649" s="81"/>
      <c r="T649" s="51"/>
      <c r="U649" s="51"/>
      <c r="V649" s="51">
        <f t="shared" si="83"/>
        <v>0</v>
      </c>
      <c r="W649" s="2"/>
      <c r="Y649" s="74"/>
      <c r="AB649" s="74"/>
      <c r="AD649" s="74"/>
    </row>
    <row r="650" spans="1:30" s="1" customFormat="1" hidden="1" outlineLevel="1" x14ac:dyDescent="0.25">
      <c r="A650" s="2"/>
      <c r="B650" s="51"/>
      <c r="C650" s="51"/>
      <c r="D650" s="51"/>
      <c r="E650" s="51"/>
      <c r="F650" s="51"/>
      <c r="G650" s="51"/>
      <c r="H650" s="80"/>
      <c r="I650" s="51"/>
      <c r="J650" s="51"/>
      <c r="K650" s="51"/>
      <c r="L650" s="51"/>
      <c r="M650" s="51"/>
      <c r="N650" s="81"/>
      <c r="O650" s="51"/>
      <c r="P650" s="51"/>
      <c r="Q650" s="51"/>
      <c r="R650" s="51"/>
      <c r="S650" s="81"/>
      <c r="T650" s="51"/>
      <c r="U650" s="51"/>
      <c r="V650" s="51">
        <f t="shared" si="83"/>
        <v>0</v>
      </c>
      <c r="W650" s="2"/>
      <c r="Y650" s="74"/>
      <c r="AB650" s="74"/>
      <c r="AD650" s="74"/>
    </row>
    <row r="651" spans="1:30" s="1" customFormat="1" hidden="1" outlineLevel="1" x14ac:dyDescent="0.25">
      <c r="A651" s="2"/>
      <c r="B651" s="51"/>
      <c r="C651" s="51"/>
      <c r="D651" s="51"/>
      <c r="E651" s="51"/>
      <c r="F651" s="51"/>
      <c r="G651" s="51"/>
      <c r="H651" s="80"/>
      <c r="I651" s="51"/>
      <c r="J651" s="51"/>
      <c r="K651" s="51"/>
      <c r="L651" s="51"/>
      <c r="M651" s="51"/>
      <c r="N651" s="81"/>
      <c r="O651" s="51"/>
      <c r="P651" s="51"/>
      <c r="Q651" s="51"/>
      <c r="R651" s="51"/>
      <c r="S651" s="81"/>
      <c r="T651" s="51"/>
      <c r="U651" s="51"/>
      <c r="V651" s="51">
        <f t="shared" si="83"/>
        <v>0</v>
      </c>
      <c r="W651" s="2"/>
      <c r="Y651" s="74"/>
      <c r="AB651" s="74"/>
      <c r="AD651" s="74"/>
    </row>
    <row r="652" spans="1:30" s="1" customFormat="1" hidden="1" outlineLevel="1" x14ac:dyDescent="0.25">
      <c r="A652" s="2"/>
      <c r="B652" s="51"/>
      <c r="C652" s="51"/>
      <c r="D652" s="51"/>
      <c r="E652" s="51"/>
      <c r="F652" s="51"/>
      <c r="G652" s="51"/>
      <c r="H652" s="80"/>
      <c r="I652" s="51"/>
      <c r="J652" s="51"/>
      <c r="K652" s="51"/>
      <c r="L652" s="51"/>
      <c r="M652" s="51"/>
      <c r="N652" s="81"/>
      <c r="O652" s="51"/>
      <c r="P652" s="51"/>
      <c r="Q652" s="51"/>
      <c r="R652" s="51"/>
      <c r="S652" s="81"/>
      <c r="T652" s="51"/>
      <c r="U652" s="51"/>
      <c r="V652" s="51">
        <f t="shared" si="83"/>
        <v>0</v>
      </c>
      <c r="W652" s="2"/>
      <c r="Y652" s="74"/>
      <c r="AB652" s="74"/>
      <c r="AD652" s="74"/>
    </row>
    <row r="653" spans="1:30" s="1" customFormat="1" hidden="1" outlineLevel="1" x14ac:dyDescent="0.25">
      <c r="A653" s="2"/>
      <c r="B653" s="51"/>
      <c r="C653" s="51"/>
      <c r="D653" s="51"/>
      <c r="E653" s="51"/>
      <c r="F653" s="51"/>
      <c r="G653" s="51"/>
      <c r="H653" s="80"/>
      <c r="I653" s="51"/>
      <c r="J653" s="51"/>
      <c r="K653" s="51"/>
      <c r="L653" s="51"/>
      <c r="M653" s="51"/>
      <c r="N653" s="81"/>
      <c r="O653" s="51"/>
      <c r="P653" s="51"/>
      <c r="Q653" s="51"/>
      <c r="R653" s="51"/>
      <c r="S653" s="81"/>
      <c r="T653" s="51"/>
      <c r="U653" s="51"/>
      <c r="V653" s="51">
        <f t="shared" si="83"/>
        <v>0</v>
      </c>
      <c r="W653" s="2"/>
      <c r="Y653" s="74"/>
      <c r="AB653" s="74"/>
      <c r="AD653" s="74"/>
    </row>
    <row r="654" spans="1:30" s="1" customFormat="1" hidden="1" outlineLevel="1" x14ac:dyDescent="0.25">
      <c r="A654" s="2"/>
      <c r="B654" s="51"/>
      <c r="C654" s="51"/>
      <c r="D654" s="51"/>
      <c r="E654" s="51"/>
      <c r="F654" s="51"/>
      <c r="G654" s="51"/>
      <c r="H654" s="80"/>
      <c r="I654" s="51"/>
      <c r="J654" s="51"/>
      <c r="K654" s="51"/>
      <c r="L654" s="51"/>
      <c r="M654" s="51"/>
      <c r="N654" s="81"/>
      <c r="O654" s="51"/>
      <c r="P654" s="51"/>
      <c r="Q654" s="51"/>
      <c r="R654" s="51"/>
      <c r="S654" s="81"/>
      <c r="T654" s="51"/>
      <c r="U654" s="51"/>
      <c r="V654" s="51">
        <f t="shared" si="83"/>
        <v>0</v>
      </c>
      <c r="W654" s="2"/>
      <c r="Y654" s="74"/>
      <c r="AB654" s="74"/>
      <c r="AD654" s="74"/>
    </row>
    <row r="655" spans="1:30" s="1" customFormat="1" hidden="1" outlineLevel="1" x14ac:dyDescent="0.25">
      <c r="A655" s="2"/>
      <c r="B655" s="51"/>
      <c r="C655" s="51"/>
      <c r="D655" s="51"/>
      <c r="E655" s="51"/>
      <c r="F655" s="51"/>
      <c r="G655" s="51"/>
      <c r="H655" s="80"/>
      <c r="I655" s="51"/>
      <c r="J655" s="51"/>
      <c r="K655" s="51"/>
      <c r="L655" s="51"/>
      <c r="M655" s="51"/>
      <c r="N655" s="81"/>
      <c r="O655" s="51"/>
      <c r="P655" s="51"/>
      <c r="Q655" s="51"/>
      <c r="R655" s="51"/>
      <c r="S655" s="81"/>
      <c r="T655" s="51"/>
      <c r="U655" s="51"/>
      <c r="V655" s="51">
        <f t="shared" si="83"/>
        <v>0</v>
      </c>
      <c r="W655" s="2"/>
      <c r="Y655" s="74"/>
      <c r="AB655" s="74"/>
      <c r="AD655" s="74"/>
    </row>
    <row r="656" spans="1:30" s="1" customFormat="1" hidden="1" outlineLevel="1" x14ac:dyDescent="0.25">
      <c r="A656" s="2"/>
      <c r="B656" s="51"/>
      <c r="C656" s="51"/>
      <c r="D656" s="51"/>
      <c r="E656" s="51"/>
      <c r="F656" s="51"/>
      <c r="G656" s="51"/>
      <c r="H656" s="80"/>
      <c r="I656" s="51"/>
      <c r="J656" s="51"/>
      <c r="K656" s="51"/>
      <c r="L656" s="51"/>
      <c r="M656" s="51"/>
      <c r="N656" s="81"/>
      <c r="O656" s="51"/>
      <c r="P656" s="51"/>
      <c r="Q656" s="51"/>
      <c r="R656" s="51"/>
      <c r="S656" s="81"/>
      <c r="T656" s="51"/>
      <c r="U656" s="51"/>
      <c r="V656" s="51">
        <f t="shared" si="83"/>
        <v>0</v>
      </c>
      <c r="W656" s="2"/>
      <c r="Y656" s="74"/>
      <c r="AB656" s="74"/>
      <c r="AD656" s="74"/>
    </row>
    <row r="657" spans="1:39" s="1" customFormat="1" hidden="1" outlineLevel="1" x14ac:dyDescent="0.25">
      <c r="A657" s="2"/>
      <c r="B657" s="51"/>
      <c r="C657" s="51"/>
      <c r="D657" s="51"/>
      <c r="E657" s="51"/>
      <c r="F657" s="51"/>
      <c r="G657" s="51"/>
      <c r="H657" s="80"/>
      <c r="I657" s="51"/>
      <c r="J657" s="51"/>
      <c r="K657" s="51"/>
      <c r="L657" s="51"/>
      <c r="M657" s="51"/>
      <c r="N657" s="81"/>
      <c r="O657" s="51"/>
      <c r="P657" s="51"/>
      <c r="Q657" s="51"/>
      <c r="R657" s="51"/>
      <c r="S657" s="81"/>
      <c r="T657" s="51"/>
      <c r="U657" s="51"/>
      <c r="V657" s="51">
        <f t="shared" si="83"/>
        <v>0</v>
      </c>
      <c r="W657" s="2"/>
      <c r="Y657" s="74"/>
      <c r="AB657" s="74"/>
      <c r="AD657" s="74"/>
    </row>
    <row r="658" spans="1:39" s="1" customFormat="1" hidden="1" outlineLevel="1" x14ac:dyDescent="0.25">
      <c r="A658" s="2"/>
      <c r="B658" s="51"/>
      <c r="C658" s="51"/>
      <c r="D658" s="51"/>
      <c r="E658" s="51"/>
      <c r="F658" s="51"/>
      <c r="G658" s="51"/>
      <c r="H658" s="80"/>
      <c r="I658" s="51"/>
      <c r="J658" s="51"/>
      <c r="K658" s="51"/>
      <c r="L658" s="51"/>
      <c r="M658" s="51"/>
      <c r="N658" s="81"/>
      <c r="O658" s="51"/>
      <c r="P658" s="51"/>
      <c r="Q658" s="51"/>
      <c r="R658" s="51"/>
      <c r="S658" s="81"/>
      <c r="T658" s="51"/>
      <c r="U658" s="51"/>
      <c r="V658" s="51">
        <f t="shared" si="83"/>
        <v>0</v>
      </c>
      <c r="W658" s="2"/>
      <c r="Y658" s="74"/>
      <c r="AB658" s="74"/>
      <c r="AD658" s="74"/>
    </row>
    <row r="659" spans="1:39" ht="15.75" hidden="1" customHeight="1" outlineLevel="1" thickBot="1" x14ac:dyDescent="0.3">
      <c r="A659" s="2"/>
      <c r="B659" s="75"/>
      <c r="C659" s="75"/>
      <c r="D659" s="76"/>
      <c r="E659" s="76"/>
      <c r="F659" s="76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2"/>
      <c r="R659" s="77"/>
      <c r="S659" s="77"/>
      <c r="T659" s="77"/>
      <c r="U659" s="2"/>
      <c r="V659" s="77"/>
      <c r="W659" s="78"/>
      <c r="Y659" s="74"/>
      <c r="Z659" s="6"/>
      <c r="AA659" s="13"/>
      <c r="AB659" s="74"/>
      <c r="AC659" s="6"/>
      <c r="AD659" s="74"/>
      <c r="AE659" s="6"/>
      <c r="AF659" s="6"/>
      <c r="AG659" s="6"/>
      <c r="AH659" s="6"/>
      <c r="AI659" s="6"/>
      <c r="AM659" s="14"/>
    </row>
    <row r="660" spans="1:39" s="1" customFormat="1" x14ac:dyDescent="0.25">
      <c r="A660" s="164">
        <v>1</v>
      </c>
      <c r="B660" s="153"/>
      <c r="C660" s="153"/>
      <c r="D660" s="156"/>
      <c r="E660" s="90"/>
      <c r="F660" s="92"/>
      <c r="G660" s="72">
        <f t="shared" ref="G660:U660" si="84">SUM(G662:G671)</f>
        <v>0</v>
      </c>
      <c r="H660" s="72">
        <f t="shared" si="84"/>
        <v>0</v>
      </c>
      <c r="I660" s="72">
        <f t="shared" si="84"/>
        <v>0</v>
      </c>
      <c r="J660" s="72">
        <f t="shared" si="84"/>
        <v>0</v>
      </c>
      <c r="K660" s="72">
        <f t="shared" si="84"/>
        <v>0</v>
      </c>
      <c r="L660" s="72">
        <f t="shared" si="84"/>
        <v>0</v>
      </c>
      <c r="M660" s="72">
        <f t="shared" si="84"/>
        <v>0</v>
      </c>
      <c r="N660" s="72">
        <f t="shared" si="84"/>
        <v>0</v>
      </c>
      <c r="O660" s="72">
        <f t="shared" si="84"/>
        <v>0</v>
      </c>
      <c r="P660" s="72">
        <f t="shared" si="84"/>
        <v>0</v>
      </c>
      <c r="Q660" s="72">
        <f t="shared" si="84"/>
        <v>0</v>
      </c>
      <c r="R660" s="72">
        <f t="shared" si="84"/>
        <v>0</v>
      </c>
      <c r="S660" s="72">
        <f t="shared" si="84"/>
        <v>0</v>
      </c>
      <c r="T660" s="72">
        <f t="shared" si="84"/>
        <v>0</v>
      </c>
      <c r="U660" s="72">
        <f t="shared" si="84"/>
        <v>0</v>
      </c>
      <c r="V660" s="72">
        <f>SUM(V662:V671)</f>
        <v>0</v>
      </c>
      <c r="W660" s="168">
        <f>V660+V661</f>
        <v>0</v>
      </c>
      <c r="Y660" s="74"/>
      <c r="AB660" s="74"/>
      <c r="AD660" s="74"/>
    </row>
    <row r="661" spans="1:39" s="1" customFormat="1" ht="13.8" collapsed="1" thickBot="1" x14ac:dyDescent="0.3">
      <c r="A661" s="165"/>
      <c r="B661" s="154"/>
      <c r="C661" s="154"/>
      <c r="D661" s="157"/>
      <c r="E661" s="91"/>
      <c r="F661" s="93"/>
      <c r="G661" s="73">
        <f>SUM(G673:G690)</f>
        <v>0</v>
      </c>
      <c r="H661" s="79">
        <f>SUM(H673:H690)</f>
        <v>0</v>
      </c>
      <c r="I661" s="79">
        <f>SUM(I673:I690)</f>
        <v>0</v>
      </c>
      <c r="J661" s="73">
        <f t="shared" ref="J661:Q661" si="85">SUM(J673:J690)</f>
        <v>0</v>
      </c>
      <c r="K661" s="73">
        <f t="shared" si="85"/>
        <v>0</v>
      </c>
      <c r="L661" s="73">
        <f t="shared" si="85"/>
        <v>0</v>
      </c>
      <c r="M661" s="73">
        <f t="shared" si="85"/>
        <v>0</v>
      </c>
      <c r="N661" s="73">
        <f t="shared" si="85"/>
        <v>0</v>
      </c>
      <c r="O661" s="73">
        <f t="shared" si="85"/>
        <v>0</v>
      </c>
      <c r="P661" s="73">
        <f t="shared" si="85"/>
        <v>0</v>
      </c>
      <c r="Q661" s="73">
        <f t="shared" si="85"/>
        <v>0</v>
      </c>
      <c r="R661" s="73">
        <f>SUM(R673:R690)</f>
        <v>0</v>
      </c>
      <c r="S661" s="73">
        <f>SUM(S673:S690)</f>
        <v>0</v>
      </c>
      <c r="T661" s="73">
        <f>SUM(T673:T690)</f>
        <v>0</v>
      </c>
      <c r="U661" s="73">
        <f>SUM(U673:U690)</f>
        <v>0</v>
      </c>
      <c r="V661" s="73">
        <f>SUM(V673:V690)</f>
        <v>0</v>
      </c>
      <c r="W661" s="169"/>
      <c r="Y661" s="74"/>
      <c r="Z661" s="74"/>
      <c r="AB661" s="74"/>
      <c r="AD661" s="74"/>
    </row>
    <row r="662" spans="1:39" s="1" customFormat="1" hidden="1" outlineLevel="1" x14ac:dyDescent="0.25">
      <c r="A662" s="2"/>
      <c r="B662" s="51"/>
      <c r="C662" s="51"/>
      <c r="D662" s="51"/>
      <c r="E662" s="51"/>
      <c r="F662" s="51"/>
      <c r="G662" s="51"/>
      <c r="H662" s="51"/>
      <c r="I662" s="51"/>
      <c r="J662" s="51"/>
      <c r="K662" s="51"/>
      <c r="L662" s="51"/>
      <c r="M662" s="51"/>
      <c r="N662" s="51"/>
      <c r="O662" s="51"/>
      <c r="P662" s="51"/>
      <c r="Q662" s="51"/>
      <c r="R662" s="51"/>
      <c r="S662" s="51"/>
      <c r="T662" s="51"/>
      <c r="U662" s="51"/>
      <c r="V662" s="51">
        <f>SUM(G662:U662)</f>
        <v>0</v>
      </c>
      <c r="W662" s="2"/>
      <c r="Y662" s="74"/>
      <c r="AB662" s="74"/>
      <c r="AD662" s="74"/>
    </row>
    <row r="663" spans="1:39" s="1" customFormat="1" hidden="1" outlineLevel="1" x14ac:dyDescent="0.25">
      <c r="A663" s="2"/>
      <c r="B663" s="51"/>
      <c r="C663" s="51"/>
      <c r="D663" s="51"/>
      <c r="E663" s="51"/>
      <c r="F663" s="51"/>
      <c r="G663" s="51"/>
      <c r="H663" s="51"/>
      <c r="I663" s="51"/>
      <c r="J663" s="51"/>
      <c r="K663" s="51"/>
      <c r="L663" s="51"/>
      <c r="M663" s="51"/>
      <c r="N663" s="51"/>
      <c r="O663" s="51"/>
      <c r="P663" s="51"/>
      <c r="Q663" s="51"/>
      <c r="R663" s="51"/>
      <c r="S663" s="51"/>
      <c r="T663" s="51"/>
      <c r="U663" s="51"/>
      <c r="V663" s="51">
        <f>SUM(G663:U663)</f>
        <v>0</v>
      </c>
      <c r="W663" s="2"/>
      <c r="Y663" s="74"/>
      <c r="AB663" s="74"/>
      <c r="AD663" s="74"/>
    </row>
    <row r="664" spans="1:39" s="1" customFormat="1" hidden="1" outlineLevel="1" x14ac:dyDescent="0.25">
      <c r="A664" s="2"/>
      <c r="B664" s="51"/>
      <c r="C664" s="51"/>
      <c r="D664" s="51"/>
      <c r="E664" s="51"/>
      <c r="F664" s="51"/>
      <c r="G664" s="51"/>
      <c r="H664" s="51"/>
      <c r="I664" s="51"/>
      <c r="J664" s="51"/>
      <c r="K664" s="51"/>
      <c r="L664" s="51"/>
      <c r="M664" s="51"/>
      <c r="N664" s="51"/>
      <c r="O664" s="51"/>
      <c r="P664" s="51"/>
      <c r="Q664" s="51"/>
      <c r="R664" s="51"/>
      <c r="S664" s="51"/>
      <c r="T664" s="51"/>
      <c r="U664" s="51"/>
      <c r="V664" s="51">
        <f t="shared" ref="V664:V671" si="86">SUM(G664:U664)</f>
        <v>0</v>
      </c>
      <c r="W664" s="2"/>
      <c r="Y664" s="74"/>
      <c r="AB664" s="74"/>
      <c r="AD664" s="74"/>
    </row>
    <row r="665" spans="1:39" s="1" customFormat="1" hidden="1" outlineLevel="1" x14ac:dyDescent="0.25">
      <c r="A665" s="2"/>
      <c r="B665" s="51"/>
      <c r="C665" s="51"/>
      <c r="D665" s="51"/>
      <c r="E665" s="51"/>
      <c r="F665" s="51"/>
      <c r="G665" s="51"/>
      <c r="H665" s="51"/>
      <c r="I665" s="51"/>
      <c r="J665" s="51"/>
      <c r="K665" s="51"/>
      <c r="L665" s="51"/>
      <c r="M665" s="51"/>
      <c r="N665" s="51"/>
      <c r="O665" s="51"/>
      <c r="P665" s="51"/>
      <c r="Q665" s="51"/>
      <c r="R665" s="51"/>
      <c r="S665" s="51"/>
      <c r="T665" s="51"/>
      <c r="U665" s="51"/>
      <c r="V665" s="51">
        <f t="shared" si="86"/>
        <v>0</v>
      </c>
      <c r="W665" s="2"/>
      <c r="Y665" s="74"/>
      <c r="AB665" s="74"/>
      <c r="AD665" s="74"/>
    </row>
    <row r="666" spans="1:39" s="1" customFormat="1" hidden="1" outlineLevel="1" x14ac:dyDescent="0.25">
      <c r="A666" s="2"/>
      <c r="B666" s="51"/>
      <c r="C666" s="51"/>
      <c r="D666" s="51"/>
      <c r="E666" s="51"/>
      <c r="F666" s="51"/>
      <c r="G666" s="51"/>
      <c r="H666" s="51"/>
      <c r="I666" s="51"/>
      <c r="J666" s="51"/>
      <c r="K666" s="51"/>
      <c r="L666" s="51"/>
      <c r="M666" s="51"/>
      <c r="N666" s="51"/>
      <c r="O666" s="51"/>
      <c r="P666" s="51"/>
      <c r="Q666" s="51"/>
      <c r="R666" s="51"/>
      <c r="S666" s="51"/>
      <c r="T666" s="51"/>
      <c r="U666" s="51"/>
      <c r="V666" s="51">
        <f t="shared" si="86"/>
        <v>0</v>
      </c>
      <c r="W666" s="2"/>
      <c r="Y666" s="74"/>
      <c r="AB666" s="74"/>
      <c r="AD666" s="74"/>
    </row>
    <row r="667" spans="1:39" s="1" customFormat="1" hidden="1" outlineLevel="1" x14ac:dyDescent="0.25">
      <c r="A667" s="2"/>
      <c r="B667" s="51"/>
      <c r="C667" s="51"/>
      <c r="D667" s="51"/>
      <c r="E667" s="51"/>
      <c r="F667" s="51"/>
      <c r="G667" s="51"/>
      <c r="H667" s="51"/>
      <c r="I667" s="51"/>
      <c r="J667" s="51"/>
      <c r="K667" s="51"/>
      <c r="L667" s="51"/>
      <c r="M667" s="51"/>
      <c r="N667" s="51"/>
      <c r="O667" s="51"/>
      <c r="P667" s="51"/>
      <c r="Q667" s="51"/>
      <c r="R667" s="51"/>
      <c r="S667" s="51"/>
      <c r="T667" s="51"/>
      <c r="U667" s="51"/>
      <c r="V667" s="51">
        <f t="shared" si="86"/>
        <v>0</v>
      </c>
      <c r="W667" s="2"/>
      <c r="Y667" s="74"/>
      <c r="AB667" s="74"/>
      <c r="AD667" s="74"/>
    </row>
    <row r="668" spans="1:39" s="1" customFormat="1" hidden="1" outlineLevel="1" x14ac:dyDescent="0.25">
      <c r="A668" s="2"/>
      <c r="B668" s="51"/>
      <c r="C668" s="51"/>
      <c r="D668" s="51"/>
      <c r="E668" s="51"/>
      <c r="F668" s="51"/>
      <c r="G668" s="51"/>
      <c r="H668" s="51"/>
      <c r="I668" s="51"/>
      <c r="J668" s="51"/>
      <c r="K668" s="51"/>
      <c r="L668" s="51"/>
      <c r="M668" s="51"/>
      <c r="N668" s="51"/>
      <c r="O668" s="51"/>
      <c r="P668" s="51"/>
      <c r="Q668" s="51"/>
      <c r="R668" s="51"/>
      <c r="S668" s="51"/>
      <c r="T668" s="51"/>
      <c r="U668" s="51"/>
      <c r="V668" s="51">
        <f t="shared" si="86"/>
        <v>0</v>
      </c>
      <c r="W668" s="2"/>
      <c r="Y668" s="74"/>
      <c r="AB668" s="74"/>
      <c r="AD668" s="74"/>
    </row>
    <row r="669" spans="1:39" s="1" customFormat="1" hidden="1" outlineLevel="1" x14ac:dyDescent="0.25">
      <c r="A669" s="2"/>
      <c r="B669" s="51"/>
      <c r="C669" s="51"/>
      <c r="D669" s="51"/>
      <c r="E669" s="51"/>
      <c r="F669" s="51"/>
      <c r="G669" s="51"/>
      <c r="H669" s="51"/>
      <c r="I669" s="51"/>
      <c r="J669" s="51"/>
      <c r="K669" s="51"/>
      <c r="L669" s="51"/>
      <c r="M669" s="51"/>
      <c r="N669" s="51"/>
      <c r="O669" s="51"/>
      <c r="P669" s="51"/>
      <c r="Q669" s="51"/>
      <c r="R669" s="51"/>
      <c r="S669" s="51"/>
      <c r="T669" s="51"/>
      <c r="U669" s="51"/>
      <c r="V669" s="51">
        <f t="shared" si="86"/>
        <v>0</v>
      </c>
      <c r="W669" s="2"/>
      <c r="Y669" s="74"/>
      <c r="AB669" s="74"/>
      <c r="AD669" s="74"/>
    </row>
    <row r="670" spans="1:39" s="1" customFormat="1" hidden="1" outlineLevel="1" x14ac:dyDescent="0.25">
      <c r="A670" s="2"/>
      <c r="B670" s="51"/>
      <c r="C670" s="51"/>
      <c r="D670" s="51"/>
      <c r="E670" s="51"/>
      <c r="F670" s="51"/>
      <c r="G670" s="51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  <c r="S670" s="51"/>
      <c r="T670" s="51"/>
      <c r="U670" s="51"/>
      <c r="V670" s="51">
        <f t="shared" si="86"/>
        <v>0</v>
      </c>
      <c r="W670" s="2"/>
      <c r="Y670" s="74"/>
      <c r="AB670" s="74"/>
      <c r="AD670" s="74"/>
    </row>
    <row r="671" spans="1:39" s="1" customFormat="1" hidden="1" outlineLevel="1" x14ac:dyDescent="0.25">
      <c r="A671" s="2"/>
      <c r="B671" s="51"/>
      <c r="C671" s="51"/>
      <c r="D671" s="51"/>
      <c r="E671" s="51"/>
      <c r="F671" s="51"/>
      <c r="G671" s="51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  <c r="S671" s="51"/>
      <c r="T671" s="51"/>
      <c r="U671" s="51"/>
      <c r="V671" s="51">
        <f t="shared" si="86"/>
        <v>0</v>
      </c>
      <c r="W671" s="2"/>
      <c r="Y671" s="74"/>
      <c r="AB671" s="74"/>
      <c r="AD671" s="74"/>
    </row>
    <row r="672" spans="1:39" s="1" customFormat="1" hidden="1" outlineLevel="1" x14ac:dyDescent="0.25">
      <c r="A672" s="2"/>
      <c r="B672" s="185" t="s">
        <v>29</v>
      </c>
      <c r="C672" s="185"/>
      <c r="D672" s="185"/>
      <c r="E672" s="185"/>
      <c r="F672" s="185"/>
      <c r="G672" s="185"/>
      <c r="H672" s="185"/>
      <c r="I672" s="185"/>
      <c r="J672" s="185"/>
      <c r="K672" s="185"/>
      <c r="L672" s="185"/>
      <c r="M672" s="185"/>
      <c r="N672" s="185"/>
      <c r="O672" s="185"/>
      <c r="P672" s="185"/>
      <c r="Q672" s="185"/>
      <c r="R672" s="185"/>
      <c r="S672" s="185"/>
      <c r="T672" s="185"/>
      <c r="U672" s="185"/>
      <c r="V672" s="87"/>
      <c r="W672" s="2"/>
      <c r="Y672" s="74"/>
      <c r="AB672" s="74"/>
      <c r="AD672" s="74"/>
    </row>
    <row r="673" spans="1:30" s="1" customFormat="1" hidden="1" outlineLevel="1" x14ac:dyDescent="0.25">
      <c r="A673" s="2"/>
      <c r="B673" s="82"/>
      <c r="C673" s="51"/>
      <c r="D673" s="51"/>
      <c r="E673" s="51"/>
      <c r="F673" s="51"/>
      <c r="G673" s="20"/>
      <c r="H673" s="21"/>
      <c r="I673" s="21"/>
      <c r="J673" s="23"/>
      <c r="K673" s="51"/>
      <c r="L673" s="32"/>
      <c r="M673" s="22"/>
      <c r="N673" s="51"/>
      <c r="O673" s="81"/>
      <c r="P673" s="22"/>
      <c r="Q673" s="51"/>
      <c r="R673" s="51"/>
      <c r="S673" s="51"/>
      <c r="T673" s="51"/>
      <c r="U673" s="51"/>
      <c r="V673" s="51">
        <f t="shared" ref="V673:V689" si="87">SUM(G673:U673)</f>
        <v>0</v>
      </c>
      <c r="W673" s="2"/>
      <c r="Y673" s="74"/>
      <c r="AB673" s="74"/>
      <c r="AD673" s="74"/>
    </row>
    <row r="674" spans="1:30" s="1" customFormat="1" hidden="1" outlineLevel="1" x14ac:dyDescent="0.25">
      <c r="A674" s="2"/>
      <c r="B674" s="82"/>
      <c r="C674" s="51"/>
      <c r="D674" s="51"/>
      <c r="E674" s="51"/>
      <c r="F674" s="51"/>
      <c r="G674" s="20"/>
      <c r="H674" s="21"/>
      <c r="I674" s="21"/>
      <c r="J674" s="23"/>
      <c r="K674" s="51"/>
      <c r="L674" s="32"/>
      <c r="M674" s="22"/>
      <c r="N674" s="51"/>
      <c r="O674" s="81"/>
      <c r="P674" s="22"/>
      <c r="Q674" s="51"/>
      <c r="R674" s="51"/>
      <c r="S674" s="51"/>
      <c r="T674" s="51"/>
      <c r="U674" s="51"/>
      <c r="V674" s="51">
        <f t="shared" si="87"/>
        <v>0</v>
      </c>
      <c r="W674" s="2"/>
      <c r="Y674" s="74"/>
      <c r="AB674" s="74"/>
      <c r="AD674" s="74"/>
    </row>
    <row r="675" spans="1:30" s="1" customFormat="1" hidden="1" outlineLevel="1" x14ac:dyDescent="0.25">
      <c r="A675" s="2"/>
      <c r="B675" s="82"/>
      <c r="C675" s="51"/>
      <c r="D675" s="51"/>
      <c r="E675" s="51"/>
      <c r="F675" s="51"/>
      <c r="G675" s="20"/>
      <c r="H675" s="21"/>
      <c r="I675" s="21"/>
      <c r="J675" s="23"/>
      <c r="K675" s="51"/>
      <c r="L675" s="32"/>
      <c r="M675" s="22"/>
      <c r="N675" s="51"/>
      <c r="O675" s="81"/>
      <c r="P675" s="22"/>
      <c r="Q675" s="51"/>
      <c r="R675" s="51"/>
      <c r="S675" s="51"/>
      <c r="T675" s="51"/>
      <c r="U675" s="51"/>
      <c r="V675" s="51">
        <f t="shared" si="87"/>
        <v>0</v>
      </c>
      <c r="W675" s="2"/>
      <c r="Y675" s="74"/>
      <c r="AB675" s="74"/>
      <c r="AD675" s="74"/>
    </row>
    <row r="676" spans="1:30" s="1" customFormat="1" hidden="1" outlineLevel="1" x14ac:dyDescent="0.25">
      <c r="A676" s="2"/>
      <c r="B676" s="82"/>
      <c r="C676" s="51"/>
      <c r="D676" s="51"/>
      <c r="E676" s="51"/>
      <c r="F676" s="51"/>
      <c r="G676" s="20"/>
      <c r="H676" s="21"/>
      <c r="I676" s="21"/>
      <c r="J676" s="23"/>
      <c r="K676" s="51"/>
      <c r="L676" s="32"/>
      <c r="M676" s="22"/>
      <c r="N676" s="51"/>
      <c r="O676" s="81"/>
      <c r="P676" s="22"/>
      <c r="Q676" s="51"/>
      <c r="R676" s="51"/>
      <c r="S676" s="51"/>
      <c r="T676" s="51"/>
      <c r="U676" s="51"/>
      <c r="V676" s="51">
        <f t="shared" si="87"/>
        <v>0</v>
      </c>
      <c r="W676" s="2"/>
      <c r="Y676" s="74"/>
      <c r="AB676" s="74"/>
      <c r="AD676" s="74"/>
    </row>
    <row r="677" spans="1:30" s="1" customFormat="1" hidden="1" outlineLevel="1" x14ac:dyDescent="0.25">
      <c r="A677" s="2"/>
      <c r="B677" s="51"/>
      <c r="C677" s="51"/>
      <c r="D677" s="51"/>
      <c r="E677" s="51"/>
      <c r="F677" s="51"/>
      <c r="G677" s="51"/>
      <c r="H677" s="80"/>
      <c r="I677" s="51"/>
      <c r="J677" s="51"/>
      <c r="K677" s="51"/>
      <c r="L677" s="51"/>
      <c r="M677" s="51"/>
      <c r="N677" s="81"/>
      <c r="O677" s="51"/>
      <c r="P677" s="51"/>
      <c r="Q677" s="51"/>
      <c r="R677" s="51"/>
      <c r="S677" s="51"/>
      <c r="T677" s="51"/>
      <c r="U677" s="51"/>
      <c r="V677" s="51">
        <f t="shared" si="87"/>
        <v>0</v>
      </c>
      <c r="W677" s="2"/>
      <c r="Y677" s="74"/>
      <c r="AB677" s="74"/>
      <c r="AD677" s="74"/>
    </row>
    <row r="678" spans="1:30" s="1" customFormat="1" hidden="1" outlineLevel="1" x14ac:dyDescent="0.25">
      <c r="A678" s="2"/>
      <c r="B678" s="51"/>
      <c r="C678" s="51"/>
      <c r="D678" s="51"/>
      <c r="E678" s="51"/>
      <c r="F678" s="51"/>
      <c r="G678" s="51"/>
      <c r="H678" s="80"/>
      <c r="I678" s="51"/>
      <c r="J678" s="51"/>
      <c r="K678" s="51"/>
      <c r="L678" s="51"/>
      <c r="M678" s="51"/>
      <c r="N678" s="81"/>
      <c r="O678" s="51"/>
      <c r="P678" s="51"/>
      <c r="Q678" s="51"/>
      <c r="R678" s="51"/>
      <c r="S678" s="51"/>
      <c r="T678" s="51"/>
      <c r="U678" s="51"/>
      <c r="V678" s="51">
        <f t="shared" si="87"/>
        <v>0</v>
      </c>
      <c r="W678" s="2"/>
      <c r="Y678" s="74"/>
      <c r="AB678" s="74"/>
      <c r="AD678" s="74"/>
    </row>
    <row r="679" spans="1:30" s="1" customFormat="1" hidden="1" outlineLevel="1" x14ac:dyDescent="0.25">
      <c r="A679" s="2"/>
      <c r="B679" s="51"/>
      <c r="C679" s="51"/>
      <c r="D679" s="51"/>
      <c r="E679" s="51"/>
      <c r="F679" s="51"/>
      <c r="G679" s="51"/>
      <c r="H679" s="80"/>
      <c r="I679" s="51"/>
      <c r="J679" s="51"/>
      <c r="K679" s="51"/>
      <c r="L679" s="51"/>
      <c r="M679" s="51"/>
      <c r="N679" s="81"/>
      <c r="O679" s="51"/>
      <c r="P679" s="51"/>
      <c r="Q679" s="51"/>
      <c r="R679" s="51"/>
      <c r="S679" s="81"/>
      <c r="T679" s="51"/>
      <c r="U679" s="51"/>
      <c r="V679" s="51">
        <f t="shared" si="87"/>
        <v>0</v>
      </c>
      <c r="W679" s="2"/>
      <c r="Y679" s="74"/>
      <c r="AB679" s="74"/>
      <c r="AD679" s="74"/>
    </row>
    <row r="680" spans="1:30" s="1" customFormat="1" hidden="1" outlineLevel="1" x14ac:dyDescent="0.25">
      <c r="A680" s="2"/>
      <c r="B680" s="51"/>
      <c r="C680" s="51"/>
      <c r="D680" s="51"/>
      <c r="E680" s="51"/>
      <c r="F680" s="51"/>
      <c r="G680" s="51"/>
      <c r="H680" s="80"/>
      <c r="I680" s="51"/>
      <c r="J680" s="51"/>
      <c r="K680" s="51"/>
      <c r="L680" s="51"/>
      <c r="M680" s="51"/>
      <c r="N680" s="81"/>
      <c r="O680" s="51"/>
      <c r="P680" s="51"/>
      <c r="Q680" s="51"/>
      <c r="R680" s="51"/>
      <c r="S680" s="81"/>
      <c r="T680" s="51"/>
      <c r="U680" s="51"/>
      <c r="V680" s="51">
        <f t="shared" si="87"/>
        <v>0</v>
      </c>
      <c r="W680" s="2"/>
      <c r="Y680" s="74"/>
      <c r="AB680" s="74"/>
      <c r="AD680" s="74"/>
    </row>
    <row r="681" spans="1:30" s="1" customFormat="1" hidden="1" outlineLevel="1" x14ac:dyDescent="0.25">
      <c r="A681" s="2"/>
      <c r="B681" s="51"/>
      <c r="C681" s="51"/>
      <c r="D681" s="51"/>
      <c r="E681" s="51"/>
      <c r="F681" s="51"/>
      <c r="G681" s="51"/>
      <c r="H681" s="80"/>
      <c r="I681" s="51"/>
      <c r="J681" s="51"/>
      <c r="K681" s="51"/>
      <c r="L681" s="51"/>
      <c r="M681" s="51"/>
      <c r="N681" s="81"/>
      <c r="O681" s="51"/>
      <c r="P681" s="51"/>
      <c r="Q681" s="51"/>
      <c r="R681" s="51"/>
      <c r="S681" s="81"/>
      <c r="T681" s="51"/>
      <c r="U681" s="51"/>
      <c r="V681" s="51">
        <f t="shared" si="87"/>
        <v>0</v>
      </c>
      <c r="W681" s="2"/>
      <c r="Y681" s="74"/>
      <c r="AB681" s="74"/>
      <c r="AD681" s="74"/>
    </row>
    <row r="682" spans="1:30" s="1" customFormat="1" hidden="1" outlineLevel="1" x14ac:dyDescent="0.25">
      <c r="A682" s="2"/>
      <c r="B682" s="51"/>
      <c r="C682" s="51"/>
      <c r="D682" s="51"/>
      <c r="E682" s="51"/>
      <c r="F682" s="51"/>
      <c r="G682" s="51"/>
      <c r="H682" s="80"/>
      <c r="I682" s="51"/>
      <c r="J682" s="51"/>
      <c r="K682" s="51"/>
      <c r="L682" s="51"/>
      <c r="M682" s="51"/>
      <c r="N682" s="81"/>
      <c r="O682" s="51"/>
      <c r="P682" s="51"/>
      <c r="Q682" s="51"/>
      <c r="R682" s="51"/>
      <c r="S682" s="81"/>
      <c r="T682" s="51"/>
      <c r="U682" s="51"/>
      <c r="V682" s="51">
        <f t="shared" si="87"/>
        <v>0</v>
      </c>
      <c r="W682" s="2"/>
      <c r="Y682" s="74"/>
      <c r="AB682" s="74"/>
      <c r="AD682" s="74"/>
    </row>
    <row r="683" spans="1:30" s="1" customFormat="1" hidden="1" outlineLevel="1" x14ac:dyDescent="0.25">
      <c r="A683" s="2"/>
      <c r="B683" s="51"/>
      <c r="C683" s="51"/>
      <c r="D683" s="51"/>
      <c r="E683" s="51"/>
      <c r="F683" s="51"/>
      <c r="G683" s="51"/>
      <c r="H683" s="80"/>
      <c r="I683" s="51"/>
      <c r="J683" s="51"/>
      <c r="K683" s="51"/>
      <c r="L683" s="51"/>
      <c r="M683" s="51"/>
      <c r="N683" s="81"/>
      <c r="O683" s="51"/>
      <c r="P683" s="51"/>
      <c r="Q683" s="51"/>
      <c r="R683" s="51"/>
      <c r="S683" s="81"/>
      <c r="T683" s="51"/>
      <c r="U683" s="51"/>
      <c r="V683" s="51">
        <f t="shared" si="87"/>
        <v>0</v>
      </c>
      <c r="W683" s="2"/>
      <c r="Y683" s="74"/>
      <c r="AB683" s="74"/>
      <c r="AD683" s="74"/>
    </row>
    <row r="684" spans="1:30" s="1" customFormat="1" hidden="1" outlineLevel="1" x14ac:dyDescent="0.25">
      <c r="A684" s="2"/>
      <c r="B684" s="51"/>
      <c r="C684" s="51"/>
      <c r="D684" s="51"/>
      <c r="E684" s="51"/>
      <c r="F684" s="51"/>
      <c r="G684" s="51"/>
      <c r="H684" s="80"/>
      <c r="I684" s="51"/>
      <c r="J684" s="51"/>
      <c r="K684" s="51"/>
      <c r="L684" s="51"/>
      <c r="M684" s="51"/>
      <c r="N684" s="81"/>
      <c r="O684" s="51"/>
      <c r="P684" s="51"/>
      <c r="Q684" s="51"/>
      <c r="R684" s="51"/>
      <c r="S684" s="81"/>
      <c r="T684" s="51"/>
      <c r="U684" s="51"/>
      <c r="V684" s="51">
        <f t="shared" si="87"/>
        <v>0</v>
      </c>
      <c r="W684" s="2"/>
      <c r="Y684" s="74"/>
      <c r="AB684" s="74"/>
      <c r="AD684" s="74"/>
    </row>
    <row r="685" spans="1:30" s="1" customFormat="1" hidden="1" outlineLevel="1" x14ac:dyDescent="0.25">
      <c r="A685" s="2"/>
      <c r="B685" s="51"/>
      <c r="C685" s="51"/>
      <c r="D685" s="51"/>
      <c r="E685" s="51"/>
      <c r="F685" s="51"/>
      <c r="G685" s="51"/>
      <c r="H685" s="80"/>
      <c r="I685" s="51"/>
      <c r="J685" s="51"/>
      <c r="K685" s="51"/>
      <c r="L685" s="51"/>
      <c r="M685" s="51"/>
      <c r="N685" s="81"/>
      <c r="O685" s="51"/>
      <c r="P685" s="51"/>
      <c r="Q685" s="51"/>
      <c r="R685" s="51"/>
      <c r="S685" s="81"/>
      <c r="T685" s="51"/>
      <c r="U685" s="51"/>
      <c r="V685" s="51">
        <f t="shared" si="87"/>
        <v>0</v>
      </c>
      <c r="W685" s="2"/>
      <c r="Y685" s="74"/>
      <c r="AB685" s="74"/>
      <c r="AD685" s="74"/>
    </row>
    <row r="686" spans="1:30" s="1" customFormat="1" hidden="1" outlineLevel="1" x14ac:dyDescent="0.25">
      <c r="A686" s="2"/>
      <c r="B686" s="51"/>
      <c r="C686" s="51"/>
      <c r="D686" s="51"/>
      <c r="E686" s="51"/>
      <c r="F686" s="51"/>
      <c r="G686" s="51"/>
      <c r="H686" s="80"/>
      <c r="I686" s="51"/>
      <c r="J686" s="51"/>
      <c r="K686" s="51"/>
      <c r="L686" s="51"/>
      <c r="M686" s="51"/>
      <c r="N686" s="81"/>
      <c r="O686" s="51"/>
      <c r="P686" s="51"/>
      <c r="Q686" s="51"/>
      <c r="R686" s="51"/>
      <c r="S686" s="81"/>
      <c r="T686" s="51"/>
      <c r="U686" s="51"/>
      <c r="V686" s="51">
        <f t="shared" si="87"/>
        <v>0</v>
      </c>
      <c r="W686" s="2"/>
      <c r="Y686" s="74"/>
      <c r="AB686" s="74"/>
      <c r="AD686" s="74"/>
    </row>
    <row r="687" spans="1:30" s="1" customFormat="1" hidden="1" outlineLevel="1" x14ac:dyDescent="0.25">
      <c r="A687" s="2"/>
      <c r="B687" s="51"/>
      <c r="C687" s="51"/>
      <c r="D687" s="51"/>
      <c r="E687" s="51"/>
      <c r="F687" s="51"/>
      <c r="G687" s="51"/>
      <c r="H687" s="80"/>
      <c r="I687" s="51"/>
      <c r="J687" s="51"/>
      <c r="K687" s="51"/>
      <c r="L687" s="51"/>
      <c r="M687" s="51"/>
      <c r="N687" s="81"/>
      <c r="O687" s="51"/>
      <c r="P687" s="51"/>
      <c r="Q687" s="51"/>
      <c r="R687" s="51"/>
      <c r="S687" s="81"/>
      <c r="T687" s="51"/>
      <c r="U687" s="51"/>
      <c r="V687" s="51">
        <f t="shared" si="87"/>
        <v>0</v>
      </c>
      <c r="W687" s="2"/>
      <c r="Y687" s="74"/>
      <c r="AB687" s="74"/>
      <c r="AD687" s="74"/>
    </row>
    <row r="688" spans="1:30" s="1" customFormat="1" hidden="1" outlineLevel="1" x14ac:dyDescent="0.25">
      <c r="A688" s="2"/>
      <c r="B688" s="51"/>
      <c r="C688" s="51"/>
      <c r="D688" s="51"/>
      <c r="E688" s="51"/>
      <c r="F688" s="51"/>
      <c r="G688" s="51"/>
      <c r="H688" s="80"/>
      <c r="I688" s="51"/>
      <c r="J688" s="51"/>
      <c r="K688" s="51"/>
      <c r="L688" s="51"/>
      <c r="M688" s="51"/>
      <c r="N688" s="81"/>
      <c r="O688" s="51"/>
      <c r="P688" s="51"/>
      <c r="Q688" s="51"/>
      <c r="R688" s="51"/>
      <c r="S688" s="81"/>
      <c r="T688" s="51"/>
      <c r="U688" s="51"/>
      <c r="V688" s="51">
        <f t="shared" si="87"/>
        <v>0</v>
      </c>
      <c r="W688" s="2"/>
      <c r="Y688" s="74"/>
      <c r="AB688" s="74"/>
      <c r="AD688" s="74"/>
    </row>
    <row r="689" spans="1:39" s="1" customFormat="1" hidden="1" outlineLevel="1" x14ac:dyDescent="0.25">
      <c r="A689" s="2"/>
      <c r="B689" s="51"/>
      <c r="C689" s="51"/>
      <c r="D689" s="51"/>
      <c r="E689" s="51"/>
      <c r="F689" s="51"/>
      <c r="G689" s="51"/>
      <c r="H689" s="80"/>
      <c r="I689" s="51"/>
      <c r="J689" s="51"/>
      <c r="K689" s="51"/>
      <c r="L689" s="51"/>
      <c r="M689" s="51"/>
      <c r="N689" s="81"/>
      <c r="O689" s="51"/>
      <c r="P689" s="51"/>
      <c r="Q689" s="51"/>
      <c r="R689" s="51"/>
      <c r="S689" s="81"/>
      <c r="T689" s="51"/>
      <c r="U689" s="51"/>
      <c r="V689" s="51">
        <f t="shared" si="87"/>
        <v>0</v>
      </c>
      <c r="W689" s="2"/>
      <c r="Y689" s="74"/>
      <c r="AB689" s="74"/>
      <c r="AD689" s="74"/>
    </row>
    <row r="690" spans="1:39" ht="15.75" hidden="1" customHeight="1" outlineLevel="1" thickBot="1" x14ac:dyDescent="0.3">
      <c r="A690" s="2"/>
      <c r="B690" s="75"/>
      <c r="C690" s="75"/>
      <c r="D690" s="76"/>
      <c r="E690" s="76"/>
      <c r="F690" s="76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2"/>
      <c r="R690" s="77"/>
      <c r="S690" s="77"/>
      <c r="T690" s="77"/>
      <c r="U690" s="2"/>
      <c r="V690" s="77"/>
      <c r="W690" s="78"/>
      <c r="Y690" s="74"/>
      <c r="Z690" s="6"/>
      <c r="AA690" s="13"/>
      <c r="AB690" s="74"/>
      <c r="AC690" s="6"/>
      <c r="AD690" s="74"/>
      <c r="AE690" s="6"/>
      <c r="AF690" s="6"/>
      <c r="AG690" s="6"/>
      <c r="AH690" s="6"/>
      <c r="AI690" s="6"/>
      <c r="AM690" s="14"/>
    </row>
    <row r="691" spans="1:39" s="1" customFormat="1" ht="13.8" thickBot="1" x14ac:dyDescent="0.3">
      <c r="A691" s="164"/>
      <c r="B691" s="153" t="s">
        <v>36</v>
      </c>
      <c r="C691" s="153"/>
      <c r="D691" s="156"/>
      <c r="E691" s="90" t="s">
        <v>15</v>
      </c>
      <c r="F691" s="113">
        <f>F9+F40+F71+F102+F133+F164+F195+F226+F257+F288+F319+F350+F381+F412+F443+F474+F505+F536+F567+F598+F629+F660</f>
        <v>2.75</v>
      </c>
      <c r="G691" s="72">
        <f t="shared" ref="G691:V692" si="88">G9+G40+G71+G102+G133+G164+G195+G226+G257+G288+G319+G350+G381+G412+G443+G474+G505+G536+G567+G598+G629+G660</f>
        <v>194</v>
      </c>
      <c r="H691" s="72">
        <f t="shared" si="88"/>
        <v>732</v>
      </c>
      <c r="I691" s="72">
        <f t="shared" si="88"/>
        <v>0</v>
      </c>
      <c r="J691" s="72">
        <f t="shared" si="88"/>
        <v>31</v>
      </c>
      <c r="K691" s="72">
        <f t="shared" si="88"/>
        <v>0</v>
      </c>
      <c r="L691" s="72">
        <f t="shared" si="88"/>
        <v>396</v>
      </c>
      <c r="M691" s="72">
        <f t="shared" si="88"/>
        <v>10</v>
      </c>
      <c r="N691" s="72">
        <f t="shared" si="88"/>
        <v>0</v>
      </c>
      <c r="O691" s="72">
        <f t="shared" si="88"/>
        <v>56.699999999999996</v>
      </c>
      <c r="P691" s="72">
        <f t="shared" si="88"/>
        <v>50.5</v>
      </c>
      <c r="Q691" s="72">
        <f t="shared" si="88"/>
        <v>0</v>
      </c>
      <c r="R691" s="72">
        <f t="shared" si="88"/>
        <v>0</v>
      </c>
      <c r="S691" s="72">
        <f t="shared" si="88"/>
        <v>0</v>
      </c>
      <c r="T691" s="72">
        <f t="shared" si="88"/>
        <v>0</v>
      </c>
      <c r="U691" s="72">
        <f t="shared" si="88"/>
        <v>0</v>
      </c>
      <c r="V691" s="72">
        <f t="shared" si="88"/>
        <v>1470.2</v>
      </c>
      <c r="W691" s="168">
        <f>V691+V692</f>
        <v>2831.3500000000004</v>
      </c>
      <c r="Y691" s="74"/>
    </row>
    <row r="692" spans="1:39" s="1" customFormat="1" ht="13.8" thickBot="1" x14ac:dyDescent="0.3">
      <c r="A692" s="165"/>
      <c r="B692" s="154"/>
      <c r="C692" s="154"/>
      <c r="D692" s="157"/>
      <c r="E692" s="91" t="s">
        <v>33</v>
      </c>
      <c r="F692" s="113">
        <f>F10+F41+F72+F103+F134+F165+F196+F227+F258+F289+F320+F351+F382+F413+F444+F475+F506+F537+F568+F599+F630+F661</f>
        <v>0</v>
      </c>
      <c r="G692" s="73">
        <f t="shared" si="88"/>
        <v>234</v>
      </c>
      <c r="H692" s="79">
        <f t="shared" si="88"/>
        <v>972</v>
      </c>
      <c r="I692" s="79">
        <f t="shared" si="88"/>
        <v>0</v>
      </c>
      <c r="J692" s="73">
        <f t="shared" si="88"/>
        <v>24.3</v>
      </c>
      <c r="K692" s="73">
        <f t="shared" si="88"/>
        <v>0</v>
      </c>
      <c r="L692" s="73">
        <f t="shared" si="88"/>
        <v>0</v>
      </c>
      <c r="M692" s="73">
        <f t="shared" si="88"/>
        <v>16</v>
      </c>
      <c r="N692" s="73">
        <f t="shared" si="88"/>
        <v>0</v>
      </c>
      <c r="O692" s="73">
        <f t="shared" si="88"/>
        <v>35.349999999999994</v>
      </c>
      <c r="P692" s="73">
        <f t="shared" si="88"/>
        <v>79.5</v>
      </c>
      <c r="Q692" s="73">
        <f t="shared" si="88"/>
        <v>0</v>
      </c>
      <c r="R692" s="73">
        <f t="shared" si="88"/>
        <v>0</v>
      </c>
      <c r="S692" s="73">
        <f t="shared" si="88"/>
        <v>0</v>
      </c>
      <c r="T692" s="73">
        <f t="shared" si="88"/>
        <v>0</v>
      </c>
      <c r="U692" s="73">
        <f t="shared" si="88"/>
        <v>0</v>
      </c>
      <c r="V692" s="73">
        <f t="shared" si="88"/>
        <v>1361.15</v>
      </c>
      <c r="W692" s="169"/>
      <c r="Y692" s="74"/>
      <c r="Z692" s="74"/>
    </row>
    <row r="693" spans="1:39" s="1" customFormat="1" ht="13.8" thickBot="1" x14ac:dyDescent="0.3">
      <c r="A693" s="2"/>
      <c r="B693" s="51"/>
      <c r="C693" s="51"/>
      <c r="D693" s="2"/>
      <c r="E693" s="2"/>
      <c r="F693" s="2"/>
      <c r="G693" s="51"/>
      <c r="H693" s="80"/>
      <c r="I693" s="2"/>
      <c r="J693" s="2"/>
      <c r="K693" s="2"/>
      <c r="L693" s="2"/>
      <c r="M693" s="81"/>
      <c r="N693" s="2"/>
      <c r="O693" s="81"/>
      <c r="P693" s="51"/>
      <c r="Q693" s="2"/>
      <c r="R693" s="2"/>
      <c r="S693" s="2"/>
      <c r="T693" s="2"/>
      <c r="U693" s="2"/>
      <c r="V693" s="51"/>
      <c r="W693" s="2"/>
    </row>
    <row r="694" spans="1:39" s="1" customFormat="1" x14ac:dyDescent="0.25">
      <c r="A694" s="164">
        <v>33</v>
      </c>
      <c r="B694" s="153" t="s">
        <v>38</v>
      </c>
      <c r="C694" s="153" t="s">
        <v>7</v>
      </c>
      <c r="D694" s="156"/>
      <c r="E694" s="156" t="s">
        <v>35</v>
      </c>
      <c r="F694" s="92"/>
      <c r="G694" s="72">
        <f>SUM(G696:G697)</f>
        <v>0</v>
      </c>
      <c r="H694" s="72">
        <f>SUM(H696:H697)</f>
        <v>0</v>
      </c>
      <c r="I694" s="72">
        <f t="shared" ref="I694:U694" si="89">SUM(I696:I697)</f>
        <v>0</v>
      </c>
      <c r="J694" s="72">
        <f t="shared" si="89"/>
        <v>0</v>
      </c>
      <c r="K694" s="72">
        <f t="shared" si="89"/>
        <v>0</v>
      </c>
      <c r="L694" s="72">
        <f t="shared" si="89"/>
        <v>0</v>
      </c>
      <c r="M694" s="72">
        <f t="shared" si="89"/>
        <v>0</v>
      </c>
      <c r="N694" s="72">
        <f t="shared" si="89"/>
        <v>0</v>
      </c>
      <c r="O694" s="72">
        <f t="shared" si="89"/>
        <v>0</v>
      </c>
      <c r="P694" s="72">
        <f t="shared" si="89"/>
        <v>0</v>
      </c>
      <c r="Q694" s="72">
        <f t="shared" si="89"/>
        <v>0</v>
      </c>
      <c r="R694" s="72">
        <f t="shared" si="89"/>
        <v>0</v>
      </c>
      <c r="S694" s="72">
        <f t="shared" si="89"/>
        <v>0</v>
      </c>
      <c r="T694" s="72">
        <f t="shared" si="89"/>
        <v>0</v>
      </c>
      <c r="U694" s="72">
        <f t="shared" si="89"/>
        <v>0</v>
      </c>
      <c r="V694" s="72">
        <f>SUM(V696:V697)</f>
        <v>0</v>
      </c>
      <c r="W694" s="168">
        <f>V694+V695</f>
        <v>0</v>
      </c>
    </row>
    <row r="695" spans="1:39" s="1" customFormat="1" ht="13.8" collapsed="1" thickBot="1" x14ac:dyDescent="0.3">
      <c r="A695" s="165"/>
      <c r="B695" s="154"/>
      <c r="C695" s="154"/>
      <c r="D695" s="157"/>
      <c r="E695" s="157"/>
      <c r="F695" s="95">
        <v>1</v>
      </c>
      <c r="G695" s="73">
        <f>SUM(G699:G706)</f>
        <v>0</v>
      </c>
      <c r="H695" s="79">
        <f t="shared" ref="H695:V695" si="90">SUM(H699:H706)</f>
        <v>0</v>
      </c>
      <c r="I695" s="79">
        <f t="shared" si="90"/>
        <v>0</v>
      </c>
      <c r="J695" s="73">
        <f t="shared" si="90"/>
        <v>0</v>
      </c>
      <c r="K695" s="73">
        <f t="shared" si="90"/>
        <v>0</v>
      </c>
      <c r="L695" s="73">
        <f t="shared" si="90"/>
        <v>0</v>
      </c>
      <c r="M695" s="73">
        <f t="shared" si="90"/>
        <v>0</v>
      </c>
      <c r="N695" s="73">
        <f t="shared" si="90"/>
        <v>0</v>
      </c>
      <c r="O695" s="73">
        <f t="shared" si="90"/>
        <v>0</v>
      </c>
      <c r="P695" s="73">
        <f t="shared" si="90"/>
        <v>0</v>
      </c>
      <c r="Q695" s="73">
        <f t="shared" si="90"/>
        <v>0</v>
      </c>
      <c r="R695" s="73">
        <f t="shared" si="90"/>
        <v>0</v>
      </c>
      <c r="S695" s="73">
        <f t="shared" si="90"/>
        <v>0</v>
      </c>
      <c r="T695" s="73">
        <f t="shared" si="90"/>
        <v>0</v>
      </c>
      <c r="U695" s="73">
        <f t="shared" si="90"/>
        <v>0</v>
      </c>
      <c r="V695" s="73">
        <f t="shared" si="90"/>
        <v>0</v>
      </c>
      <c r="W695" s="169"/>
      <c r="Y695" s="74"/>
      <c r="Z695" s="74"/>
    </row>
    <row r="696" spans="1:39" s="1" customFormat="1" hidden="1" outlineLevel="1" x14ac:dyDescent="0.25">
      <c r="B696" s="50"/>
      <c r="C696" s="43"/>
      <c r="G696" s="43"/>
      <c r="H696" s="44"/>
      <c r="M696" s="43"/>
      <c r="P696" s="43"/>
      <c r="V696" s="43">
        <f>SUM(G696:U696)</f>
        <v>0</v>
      </c>
    </row>
    <row r="697" spans="1:39" s="1" customFormat="1" hidden="1" outlineLevel="1" x14ac:dyDescent="0.25">
      <c r="B697" s="43"/>
      <c r="C697" s="43"/>
      <c r="G697" s="43"/>
      <c r="H697" s="44"/>
      <c r="M697" s="43"/>
      <c r="P697" s="43"/>
      <c r="V697" s="43">
        <f>SUM(G697:U697)</f>
        <v>0</v>
      </c>
    </row>
    <row r="698" spans="1:39" s="1" customFormat="1" ht="12.75" hidden="1" customHeight="1" outlineLevel="1" x14ac:dyDescent="0.25">
      <c r="B698" s="190" t="s">
        <v>29</v>
      </c>
      <c r="C698" s="190"/>
      <c r="D698" s="190"/>
      <c r="E698" s="190"/>
      <c r="F698" s="190"/>
      <c r="G698" s="190"/>
      <c r="H698" s="190"/>
      <c r="I698" s="190"/>
      <c r="J698" s="190"/>
      <c r="K698" s="190"/>
      <c r="L698" s="190"/>
      <c r="M698" s="190"/>
      <c r="N698" s="190"/>
      <c r="O698" s="190"/>
      <c r="P698" s="190"/>
      <c r="Q698" s="190"/>
      <c r="R698" s="190"/>
      <c r="S698" s="190"/>
      <c r="T698" s="190"/>
      <c r="U698" s="190"/>
      <c r="V698" s="88"/>
      <c r="W698" s="88"/>
    </row>
    <row r="699" spans="1:39" s="1" customFormat="1" hidden="1" outlineLevel="1" x14ac:dyDescent="0.25">
      <c r="B699" s="43"/>
      <c r="C699" s="43"/>
      <c r="G699" s="43"/>
      <c r="H699" s="44"/>
      <c r="M699" s="43"/>
      <c r="P699" s="43"/>
      <c r="V699" s="43">
        <f>SUM(G699:U699)</f>
        <v>0</v>
      </c>
    </row>
    <row r="700" spans="1:39" s="1" customFormat="1" hidden="1" outlineLevel="1" x14ac:dyDescent="0.25">
      <c r="B700" s="43"/>
      <c r="C700" s="43"/>
      <c r="G700" s="43"/>
      <c r="H700" s="44"/>
      <c r="M700" s="43"/>
      <c r="P700" s="43"/>
      <c r="V700" s="43">
        <f t="shared" ref="V700:V703" si="91">SUM(G700:U700)</f>
        <v>0</v>
      </c>
    </row>
    <row r="701" spans="1:39" s="1" customFormat="1" hidden="1" outlineLevel="1" x14ac:dyDescent="0.25">
      <c r="B701" s="43"/>
      <c r="C701" s="43"/>
      <c r="G701" s="43"/>
      <c r="H701" s="44"/>
      <c r="M701" s="43"/>
      <c r="P701" s="43"/>
      <c r="V701" s="43">
        <f t="shared" si="91"/>
        <v>0</v>
      </c>
    </row>
    <row r="702" spans="1:39" s="1" customFormat="1" hidden="1" outlineLevel="1" x14ac:dyDescent="0.25">
      <c r="B702" s="43"/>
      <c r="C702" s="43"/>
      <c r="G702" s="43"/>
      <c r="H702" s="44"/>
      <c r="M702" s="43"/>
      <c r="P702" s="43"/>
      <c r="V702" s="43">
        <f t="shared" si="91"/>
        <v>0</v>
      </c>
    </row>
    <row r="703" spans="1:39" s="1" customFormat="1" hidden="1" outlineLevel="1" x14ac:dyDescent="0.25">
      <c r="B703" s="43"/>
      <c r="C703" s="43"/>
      <c r="G703" s="43"/>
      <c r="H703" s="44"/>
      <c r="M703" s="43"/>
      <c r="P703" s="43"/>
      <c r="V703" s="43">
        <f t="shared" si="91"/>
        <v>0</v>
      </c>
    </row>
    <row r="704" spans="1:39" s="1" customFormat="1" hidden="1" outlineLevel="1" x14ac:dyDescent="0.25">
      <c r="B704" s="43"/>
      <c r="C704" s="43"/>
      <c r="G704" s="43"/>
      <c r="H704" s="44"/>
      <c r="M704" s="43"/>
      <c r="P704" s="43"/>
      <c r="V704" s="43">
        <f>SUM(G704:U704)</f>
        <v>0</v>
      </c>
    </row>
    <row r="705" spans="1:26" s="1" customFormat="1" hidden="1" outlineLevel="1" x14ac:dyDescent="0.25">
      <c r="B705" s="43"/>
      <c r="C705" s="43"/>
      <c r="G705" s="43"/>
      <c r="H705" s="44"/>
      <c r="M705" s="43"/>
      <c r="P705" s="43"/>
      <c r="V705" s="43">
        <f>SUM(G705:U705)</f>
        <v>0</v>
      </c>
    </row>
    <row r="706" spans="1:26" s="1" customFormat="1" ht="13.8" hidden="1" outlineLevel="1" thickBot="1" x14ac:dyDescent="0.3">
      <c r="B706" s="43"/>
      <c r="C706" s="43"/>
      <c r="G706" s="43"/>
      <c r="H706" s="44"/>
      <c r="M706" s="43"/>
      <c r="P706" s="43"/>
      <c r="V706" s="43">
        <f>SUM(G706:U706)</f>
        <v>0</v>
      </c>
    </row>
    <row r="707" spans="1:26" s="1" customFormat="1" x14ac:dyDescent="0.25">
      <c r="A707" s="164">
        <v>34</v>
      </c>
      <c r="B707" s="153" t="s">
        <v>62</v>
      </c>
      <c r="C707" s="153" t="s">
        <v>7</v>
      </c>
      <c r="D707" s="156" t="s">
        <v>34</v>
      </c>
      <c r="E707" s="156" t="s">
        <v>35</v>
      </c>
      <c r="F707" s="96">
        <v>1</v>
      </c>
      <c r="G707" s="72">
        <f>SUM(G709:G710)</f>
        <v>0</v>
      </c>
      <c r="H707" s="72">
        <f t="shared" ref="H707:U707" si="92">SUM(H709:H710)</f>
        <v>0</v>
      </c>
      <c r="I707" s="72">
        <f t="shared" si="92"/>
        <v>0</v>
      </c>
      <c r="J707" s="72">
        <f t="shared" si="92"/>
        <v>0</v>
      </c>
      <c r="K707" s="72">
        <f t="shared" si="92"/>
        <v>0</v>
      </c>
      <c r="L707" s="72">
        <f t="shared" si="92"/>
        <v>0</v>
      </c>
      <c r="M707" s="72">
        <f t="shared" si="92"/>
        <v>0</v>
      </c>
      <c r="N707" s="72">
        <f t="shared" si="92"/>
        <v>0</v>
      </c>
      <c r="O707" s="72">
        <f t="shared" si="92"/>
        <v>0</v>
      </c>
      <c r="P707" s="72">
        <f t="shared" si="92"/>
        <v>0</v>
      </c>
      <c r="Q707" s="72">
        <f t="shared" si="92"/>
        <v>0</v>
      </c>
      <c r="R707" s="72">
        <f t="shared" si="92"/>
        <v>0</v>
      </c>
      <c r="S707" s="72">
        <f t="shared" si="92"/>
        <v>0</v>
      </c>
      <c r="T707" s="72">
        <f t="shared" si="92"/>
        <v>0</v>
      </c>
      <c r="U707" s="72">
        <f t="shared" si="92"/>
        <v>0</v>
      </c>
      <c r="V707" s="72">
        <f>SUM(V709:V710)</f>
        <v>0</v>
      </c>
      <c r="W707" s="168">
        <f>V707+V708</f>
        <v>155.6</v>
      </c>
    </row>
    <row r="708" spans="1:26" s="1" customFormat="1" ht="13.8" thickBot="1" x14ac:dyDescent="0.3">
      <c r="A708" s="165"/>
      <c r="B708" s="154"/>
      <c r="C708" s="154"/>
      <c r="D708" s="157"/>
      <c r="E708" s="157"/>
      <c r="F708" s="93"/>
      <c r="G708" s="73">
        <f>SUM(G712:G715)</f>
        <v>32</v>
      </c>
      <c r="H708" s="79">
        <f t="shared" ref="H708:U708" si="93">SUM(H712:H715)</f>
        <v>112</v>
      </c>
      <c r="I708" s="79">
        <f t="shared" si="93"/>
        <v>0</v>
      </c>
      <c r="J708" s="73">
        <f t="shared" si="93"/>
        <v>1.6</v>
      </c>
      <c r="K708" s="73">
        <f t="shared" si="93"/>
        <v>0</v>
      </c>
      <c r="L708" s="73">
        <f t="shared" si="93"/>
        <v>0</v>
      </c>
      <c r="M708" s="73">
        <f t="shared" si="93"/>
        <v>2</v>
      </c>
      <c r="N708" s="73">
        <f t="shared" si="93"/>
        <v>0</v>
      </c>
      <c r="O708" s="73">
        <f t="shared" si="93"/>
        <v>0</v>
      </c>
      <c r="P708" s="73">
        <f t="shared" si="93"/>
        <v>8</v>
      </c>
      <c r="Q708" s="73">
        <f t="shared" si="93"/>
        <v>0</v>
      </c>
      <c r="R708" s="73">
        <f t="shared" si="93"/>
        <v>0</v>
      </c>
      <c r="S708" s="73">
        <f t="shared" si="93"/>
        <v>0</v>
      </c>
      <c r="T708" s="73">
        <f t="shared" si="93"/>
        <v>0</v>
      </c>
      <c r="U708" s="73">
        <f t="shared" si="93"/>
        <v>0</v>
      </c>
      <c r="V708" s="73">
        <f>SUM(V712:V715)</f>
        <v>155.6</v>
      </c>
      <c r="W708" s="169"/>
      <c r="Y708" s="74"/>
      <c r="Z708" s="74"/>
    </row>
    <row r="709" spans="1:26" s="1" customFormat="1" ht="12.75" customHeight="1" outlineLevel="1" x14ac:dyDescent="0.25">
      <c r="A709" s="128"/>
      <c r="B709" s="75"/>
      <c r="C709" s="75"/>
      <c r="D709" s="76"/>
      <c r="E709" s="76"/>
      <c r="F709" s="76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51">
        <f>SUM(G709:U709)</f>
        <v>0</v>
      </c>
      <c r="W709" s="78"/>
    </row>
    <row r="710" spans="1:26" s="1" customFormat="1" ht="12.75" customHeight="1" outlineLevel="1" x14ac:dyDescent="0.25">
      <c r="A710" s="87"/>
      <c r="B710" s="75"/>
      <c r="C710" s="75"/>
      <c r="D710" s="76"/>
      <c r="E710" s="76"/>
      <c r="F710" s="76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43">
        <f>SUM(G710:U710)</f>
        <v>0</v>
      </c>
      <c r="W710" s="78"/>
    </row>
    <row r="711" spans="1:26" s="1" customFormat="1" ht="12.75" customHeight="1" outlineLevel="1" x14ac:dyDescent="0.25">
      <c r="B711" s="190" t="s">
        <v>29</v>
      </c>
      <c r="C711" s="190"/>
      <c r="D711" s="190"/>
      <c r="E711" s="190"/>
      <c r="F711" s="190"/>
      <c r="G711" s="190"/>
      <c r="H711" s="190"/>
      <c r="I711" s="190"/>
      <c r="J711" s="190"/>
      <c r="K711" s="190"/>
      <c r="L711" s="190"/>
      <c r="M711" s="190"/>
      <c r="N711" s="190"/>
      <c r="O711" s="190"/>
      <c r="P711" s="190"/>
      <c r="Q711" s="190"/>
      <c r="R711" s="190"/>
      <c r="S711" s="190"/>
      <c r="T711" s="190"/>
      <c r="U711" s="190"/>
      <c r="V711" s="88"/>
      <c r="W711" s="88"/>
    </row>
    <row r="712" spans="1:26" s="1" customFormat="1" ht="12.75" customHeight="1" outlineLevel="1" x14ac:dyDescent="0.25">
      <c r="A712" s="1" t="s">
        <v>223</v>
      </c>
      <c r="B712" s="43" t="s">
        <v>189</v>
      </c>
      <c r="C712" s="43">
        <v>4</v>
      </c>
      <c r="D712" s="43"/>
      <c r="E712" s="43"/>
      <c r="F712" s="43"/>
      <c r="G712" s="43">
        <v>32</v>
      </c>
      <c r="H712" s="43">
        <v>112</v>
      </c>
      <c r="I712" s="43"/>
      <c r="J712" s="43">
        <v>1.6</v>
      </c>
      <c r="K712" s="43"/>
      <c r="L712" s="43"/>
      <c r="M712" s="43">
        <v>2</v>
      </c>
      <c r="N712" s="43"/>
      <c r="O712" s="43"/>
      <c r="P712" s="43">
        <v>8</v>
      </c>
      <c r="Q712" s="43"/>
      <c r="R712" s="43"/>
      <c r="S712" s="43"/>
      <c r="T712" s="43"/>
      <c r="U712" s="43"/>
      <c r="V712" s="43">
        <f>SUM(G712:U712)</f>
        <v>155.6</v>
      </c>
    </row>
    <row r="713" spans="1:26" s="1" customFormat="1" ht="12.75" customHeight="1" outlineLevel="1" x14ac:dyDescent="0.25">
      <c r="B713" s="43"/>
      <c r="C713" s="43"/>
      <c r="D713" s="43"/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>
        <f>SUM(G713:U713)</f>
        <v>0</v>
      </c>
    </row>
    <row r="714" spans="1:26" s="1" customFormat="1" ht="12.75" customHeight="1" outlineLevel="1" x14ac:dyDescent="0.25">
      <c r="B714" s="43"/>
      <c r="C714" s="43"/>
      <c r="G714" s="43"/>
      <c r="H714" s="6"/>
      <c r="J714" s="7"/>
      <c r="M714" s="43"/>
      <c r="O714" s="43"/>
      <c r="P714" s="43"/>
      <c r="V714" s="43">
        <f>SUM(G714:U714)</f>
        <v>0</v>
      </c>
    </row>
    <row r="715" spans="1:26" s="1" customFormat="1" ht="13.8" thickBot="1" x14ac:dyDescent="0.3">
      <c r="A715" s="2"/>
      <c r="B715" s="51"/>
      <c r="C715" s="51"/>
      <c r="D715" s="2"/>
      <c r="E715" s="2"/>
      <c r="F715" s="2"/>
      <c r="G715" s="51"/>
      <c r="H715" s="80"/>
      <c r="I715" s="2"/>
      <c r="J715" s="2"/>
      <c r="K715" s="2"/>
      <c r="L715" s="2"/>
      <c r="M715" s="81"/>
      <c r="N715" s="2"/>
      <c r="O715" s="81"/>
      <c r="P715" s="51"/>
      <c r="Q715" s="2"/>
      <c r="R715" s="2"/>
      <c r="S715" s="2"/>
      <c r="T715" s="2"/>
      <c r="U715" s="2"/>
      <c r="V715" s="51"/>
      <c r="W715" s="2"/>
    </row>
    <row r="716" spans="1:26" s="1" customFormat="1" x14ac:dyDescent="0.25">
      <c r="A716" s="164"/>
      <c r="B716" s="147" t="s">
        <v>2</v>
      </c>
      <c r="C716" s="153"/>
      <c r="D716" s="156"/>
      <c r="E716" s="90" t="s">
        <v>15</v>
      </c>
      <c r="F716" s="92">
        <f>F691</f>
        <v>2.75</v>
      </c>
      <c r="G716" s="72">
        <f>G691+G694+G707</f>
        <v>194</v>
      </c>
      <c r="H716" s="72">
        <f t="shared" ref="H716:U716" si="94">H691+H694+H707</f>
        <v>732</v>
      </c>
      <c r="I716" s="72">
        <f t="shared" si="94"/>
        <v>0</v>
      </c>
      <c r="J716" s="72">
        <f t="shared" si="94"/>
        <v>31</v>
      </c>
      <c r="K716" s="72">
        <f t="shared" si="94"/>
        <v>0</v>
      </c>
      <c r="L716" s="72">
        <f t="shared" si="94"/>
        <v>396</v>
      </c>
      <c r="M716" s="72">
        <f t="shared" si="94"/>
        <v>10</v>
      </c>
      <c r="N716" s="72">
        <f t="shared" si="94"/>
        <v>0</v>
      </c>
      <c r="O716" s="72">
        <f t="shared" si="94"/>
        <v>56.699999999999996</v>
      </c>
      <c r="P716" s="72">
        <f t="shared" si="94"/>
        <v>50.5</v>
      </c>
      <c r="Q716" s="72">
        <f t="shared" si="94"/>
        <v>0</v>
      </c>
      <c r="R716" s="72">
        <f t="shared" si="94"/>
        <v>0</v>
      </c>
      <c r="S716" s="72">
        <f t="shared" si="94"/>
        <v>0</v>
      </c>
      <c r="T716" s="72">
        <f t="shared" si="94"/>
        <v>0</v>
      </c>
      <c r="U716" s="72">
        <f t="shared" si="94"/>
        <v>0</v>
      </c>
      <c r="V716" s="72">
        <f>V691+V707+V694</f>
        <v>1470.2</v>
      </c>
      <c r="W716" s="168">
        <f>V716+V717</f>
        <v>2986.95</v>
      </c>
    </row>
    <row r="717" spans="1:26" s="1" customFormat="1" ht="13.8" thickBot="1" x14ac:dyDescent="0.3">
      <c r="A717" s="165"/>
      <c r="B717" s="148"/>
      <c r="C717" s="154"/>
      <c r="D717" s="157"/>
      <c r="E717" s="91" t="s">
        <v>33</v>
      </c>
      <c r="F717" s="93">
        <f>F692</f>
        <v>0</v>
      </c>
      <c r="G717" s="73">
        <f>G692+G695+G708</f>
        <v>266</v>
      </c>
      <c r="H717" s="79">
        <f t="shared" ref="H717:U717" si="95">H692+H695+H708</f>
        <v>1084</v>
      </c>
      <c r="I717" s="79">
        <f t="shared" si="95"/>
        <v>0</v>
      </c>
      <c r="J717" s="73">
        <f t="shared" si="95"/>
        <v>25.900000000000002</v>
      </c>
      <c r="K717" s="73">
        <f t="shared" si="95"/>
        <v>0</v>
      </c>
      <c r="L717" s="73">
        <f t="shared" si="95"/>
        <v>0</v>
      </c>
      <c r="M717" s="73">
        <f t="shared" si="95"/>
        <v>18</v>
      </c>
      <c r="N717" s="73">
        <f t="shared" si="95"/>
        <v>0</v>
      </c>
      <c r="O717" s="73">
        <f t="shared" si="95"/>
        <v>35.349999999999994</v>
      </c>
      <c r="P717" s="73">
        <f t="shared" si="95"/>
        <v>87.5</v>
      </c>
      <c r="Q717" s="73">
        <f t="shared" si="95"/>
        <v>0</v>
      </c>
      <c r="R717" s="73">
        <f t="shared" si="95"/>
        <v>0</v>
      </c>
      <c r="S717" s="73">
        <f t="shared" si="95"/>
        <v>0</v>
      </c>
      <c r="T717" s="73">
        <f t="shared" si="95"/>
        <v>0</v>
      </c>
      <c r="U717" s="73">
        <f t="shared" si="95"/>
        <v>0</v>
      </c>
      <c r="V717" s="73">
        <f>V692+V708+V695</f>
        <v>1516.75</v>
      </c>
      <c r="W717" s="169"/>
      <c r="Y717" s="74"/>
      <c r="Z717" s="74"/>
    </row>
    <row r="718" spans="1:26" s="1" customFormat="1" x14ac:dyDescent="0.25">
      <c r="A718" s="2"/>
      <c r="B718" s="51" t="s">
        <v>2</v>
      </c>
      <c r="C718" s="51"/>
      <c r="D718" s="2"/>
      <c r="E718" s="2"/>
      <c r="F718" s="51">
        <f>F716+F717</f>
        <v>2.75</v>
      </c>
      <c r="G718" s="51">
        <f>G716+G717</f>
        <v>460</v>
      </c>
      <c r="H718" s="51">
        <f t="shared" ref="H718:V718" si="96">H716+H717</f>
        <v>1816</v>
      </c>
      <c r="I718" s="51">
        <f t="shared" si="96"/>
        <v>0</v>
      </c>
      <c r="J718" s="51">
        <f t="shared" si="96"/>
        <v>56.900000000000006</v>
      </c>
      <c r="K718" s="51">
        <f t="shared" si="96"/>
        <v>0</v>
      </c>
      <c r="L718" s="51">
        <f t="shared" si="96"/>
        <v>396</v>
      </c>
      <c r="M718" s="51">
        <f t="shared" si="96"/>
        <v>28</v>
      </c>
      <c r="N718" s="51">
        <f t="shared" si="96"/>
        <v>0</v>
      </c>
      <c r="O718" s="51">
        <f t="shared" si="96"/>
        <v>92.049999999999983</v>
      </c>
      <c r="P718" s="51">
        <f t="shared" si="96"/>
        <v>138</v>
      </c>
      <c r="Q718" s="51">
        <f t="shared" si="96"/>
        <v>0</v>
      </c>
      <c r="R718" s="51">
        <f t="shared" si="96"/>
        <v>0</v>
      </c>
      <c r="S718" s="51">
        <f t="shared" si="96"/>
        <v>0</v>
      </c>
      <c r="T718" s="51">
        <f t="shared" si="96"/>
        <v>0</v>
      </c>
      <c r="U718" s="51">
        <f t="shared" si="96"/>
        <v>0</v>
      </c>
      <c r="V718" s="51">
        <f t="shared" si="96"/>
        <v>2986.95</v>
      </c>
      <c r="W718" s="2"/>
      <c r="Y718" s="74"/>
    </row>
    <row r="719" spans="1:26" s="1" customFormat="1" x14ac:dyDescent="0.25">
      <c r="A719" s="2"/>
      <c r="B719" s="51"/>
      <c r="C719" s="51"/>
      <c r="D719" s="2"/>
      <c r="E719" s="2"/>
      <c r="F719" s="108"/>
      <c r="G719" s="51"/>
      <c r="H719" s="5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2"/>
    </row>
    <row r="720" spans="1:26" s="1" customFormat="1" hidden="1" x14ac:dyDescent="0.25">
      <c r="A720" s="2"/>
      <c r="B720" s="51"/>
      <c r="C720" s="51"/>
      <c r="D720" s="2"/>
      <c r="E720" s="2"/>
      <c r="F720" s="2"/>
      <c r="G720" s="51"/>
      <c r="H720" s="80"/>
      <c r="I720" s="2"/>
      <c r="J720" s="2"/>
      <c r="K720" s="2"/>
      <c r="L720" s="2"/>
      <c r="M720" s="81"/>
      <c r="N720" s="2"/>
      <c r="O720" s="81"/>
      <c r="P720" s="51"/>
      <c r="Q720" s="2"/>
      <c r="R720" s="2">
        <f>251-'Распределение РФ'!R718</f>
        <v>251</v>
      </c>
      <c r="S720" s="2">
        <f>570-S717</f>
        <v>570</v>
      </c>
      <c r="T720" s="2"/>
      <c r="U720" s="2"/>
      <c r="V720" s="51"/>
      <c r="W720" s="2"/>
    </row>
    <row r="721" spans="1:39" s="1" customFormat="1" x14ac:dyDescent="0.25">
      <c r="A721" s="2"/>
      <c r="B721" s="51"/>
      <c r="C721" s="51"/>
      <c r="D721" s="2"/>
      <c r="E721" s="2"/>
      <c r="F721" s="2"/>
      <c r="G721" s="51"/>
      <c r="H721" s="80"/>
      <c r="I721" s="2"/>
      <c r="J721" s="2"/>
      <c r="K721" s="2"/>
      <c r="L721" s="2"/>
      <c r="M721" s="81"/>
      <c r="N721" s="2"/>
      <c r="O721" s="81"/>
      <c r="P721" s="51"/>
      <c r="Q721" s="2"/>
      <c r="R721" s="2"/>
      <c r="S721" s="2"/>
      <c r="T721" s="2"/>
      <c r="U721" s="2"/>
      <c r="V721" s="51"/>
      <c r="W721" s="2"/>
    </row>
    <row r="722" spans="1:39" ht="15" customHeight="1" x14ac:dyDescent="0.25">
      <c r="A722" s="30"/>
      <c r="B722" s="114"/>
      <c r="C722" s="115"/>
      <c r="D722" s="115"/>
      <c r="E722" s="122"/>
      <c r="F722" s="116" t="s">
        <v>49</v>
      </c>
      <c r="G722" s="115"/>
      <c r="H722" s="121"/>
      <c r="I722" s="121"/>
      <c r="J722" s="117" t="s">
        <v>48</v>
      </c>
      <c r="K722" s="115"/>
      <c r="L722" s="121"/>
      <c r="M722" s="115"/>
      <c r="N722" s="118"/>
      <c r="O722" s="119"/>
      <c r="P722" s="119"/>
      <c r="Q722" s="119"/>
      <c r="R722" s="121"/>
      <c r="S722" s="116" t="s">
        <v>53</v>
      </c>
      <c r="T722" s="121"/>
      <c r="U722" s="115"/>
      <c r="V722" s="120" t="s">
        <v>57</v>
      </c>
      <c r="W722" s="115"/>
      <c r="Y722" s="15"/>
      <c r="Z722" s="16"/>
      <c r="AA722" s="17"/>
      <c r="AB722" s="29"/>
      <c r="AC722" s="29"/>
      <c r="AD722" s="24"/>
      <c r="AE722" s="18"/>
      <c r="AF722" s="19"/>
      <c r="AG722" s="19"/>
      <c r="AH722" s="19"/>
      <c r="AI722" s="17"/>
      <c r="AJ722" s="19"/>
      <c r="AK722" s="16"/>
      <c r="AL722" s="19"/>
      <c r="AM722" s="19"/>
    </row>
    <row r="723" spans="1:39" s="1" customFormat="1" x14ac:dyDescent="0.25">
      <c r="A723" s="2"/>
      <c r="B723" s="51"/>
      <c r="C723" s="51"/>
      <c r="D723" s="2"/>
      <c r="E723" s="2"/>
      <c r="F723" s="2"/>
      <c r="G723" s="51"/>
      <c r="H723" s="80"/>
      <c r="I723" s="2"/>
      <c r="J723" s="2"/>
      <c r="K723" s="2"/>
      <c r="L723" s="2"/>
      <c r="M723" s="81"/>
      <c r="N723" s="2"/>
      <c r="O723" s="81"/>
      <c r="P723" s="51"/>
      <c r="Q723" s="2"/>
      <c r="R723" s="2"/>
      <c r="S723" s="2"/>
      <c r="T723" s="2"/>
      <c r="U723" s="2"/>
      <c r="V723" s="51"/>
      <c r="W723" s="2"/>
    </row>
    <row r="724" spans="1:39" s="1" customFormat="1" x14ac:dyDescent="0.25">
      <c r="A724" s="2"/>
      <c r="B724" s="51"/>
      <c r="C724" s="51"/>
      <c r="D724" s="2"/>
      <c r="E724" s="2"/>
      <c r="F724" s="2"/>
      <c r="G724" s="51"/>
      <c r="H724" s="80"/>
      <c r="I724" s="2"/>
      <c r="J724" s="2"/>
      <c r="K724" s="2"/>
      <c r="L724" s="2"/>
      <c r="M724" s="81"/>
      <c r="N724" s="2"/>
      <c r="O724" s="81"/>
      <c r="P724" s="51"/>
      <c r="Q724" s="2"/>
      <c r="R724" s="2"/>
      <c r="S724" s="2"/>
      <c r="T724" s="2"/>
      <c r="U724" s="2"/>
      <c r="V724" s="51"/>
      <c r="W724" s="2"/>
    </row>
    <row r="725" spans="1:39" s="1" customFormat="1" x14ac:dyDescent="0.25">
      <c r="A725" s="2"/>
      <c r="B725" s="51"/>
      <c r="C725" s="51"/>
      <c r="D725" s="2"/>
      <c r="E725" s="2"/>
      <c r="F725" s="2"/>
      <c r="G725" s="51"/>
      <c r="H725" s="80"/>
      <c r="I725" s="2"/>
      <c r="J725" s="2"/>
      <c r="K725" s="2"/>
      <c r="L725" s="2"/>
      <c r="M725" s="81"/>
      <c r="N725" s="2"/>
      <c r="O725" s="81"/>
      <c r="P725" s="51"/>
      <c r="Q725" s="2"/>
      <c r="R725" s="2"/>
      <c r="S725" s="2"/>
      <c r="T725" s="2"/>
      <c r="U725" s="2"/>
      <c r="V725" s="51"/>
      <c r="W725" s="2"/>
    </row>
    <row r="726" spans="1:39" s="1" customFormat="1" x14ac:dyDescent="0.25">
      <c r="A726" s="2"/>
      <c r="B726" s="51"/>
      <c r="C726" s="51"/>
      <c r="D726" s="2"/>
      <c r="E726" s="2"/>
      <c r="F726" s="2"/>
      <c r="G726" s="51"/>
      <c r="H726" s="80"/>
      <c r="I726" s="2"/>
      <c r="J726" s="2"/>
      <c r="K726" s="2"/>
      <c r="L726" s="2"/>
      <c r="M726" s="81"/>
      <c r="N726" s="2"/>
      <c r="O726" s="81"/>
      <c r="P726" s="51"/>
      <c r="Q726" s="2"/>
      <c r="R726" s="2"/>
      <c r="S726" s="2"/>
      <c r="T726" s="2"/>
      <c r="U726" s="2"/>
      <c r="V726" s="51"/>
      <c r="W726" s="2"/>
    </row>
    <row r="727" spans="1:39" s="1" customFormat="1" x14ac:dyDescent="0.25">
      <c r="A727" s="2"/>
      <c r="B727" s="51"/>
      <c r="C727" s="51"/>
      <c r="D727" s="2"/>
      <c r="E727" s="2"/>
      <c r="F727" s="2"/>
      <c r="G727" s="51"/>
      <c r="H727" s="80"/>
      <c r="I727" s="2"/>
      <c r="J727" s="2"/>
      <c r="K727" s="2"/>
      <c r="L727" s="2"/>
      <c r="M727" s="81"/>
      <c r="N727" s="2"/>
      <c r="O727" s="81"/>
      <c r="P727" s="51"/>
      <c r="Q727" s="2"/>
      <c r="R727" s="2"/>
      <c r="S727" s="2"/>
      <c r="T727" s="2"/>
      <c r="U727" s="2"/>
      <c r="V727" s="51"/>
      <c r="W727" s="2"/>
    </row>
    <row r="728" spans="1:39" s="1" customFormat="1" x14ac:dyDescent="0.25">
      <c r="A728" s="2"/>
      <c r="B728" s="51"/>
      <c r="C728" s="51"/>
      <c r="D728" s="2"/>
      <c r="E728" s="2"/>
      <c r="F728" s="2"/>
      <c r="G728" s="51"/>
      <c r="H728" s="80"/>
      <c r="I728" s="2"/>
      <c r="J728" s="2"/>
      <c r="K728" s="2"/>
      <c r="L728" s="2"/>
      <c r="M728" s="81"/>
      <c r="N728" s="2"/>
      <c r="O728" s="81"/>
      <c r="P728" s="51"/>
      <c r="Q728" s="2"/>
      <c r="R728" s="2"/>
      <c r="S728" s="2"/>
      <c r="T728" s="2"/>
      <c r="U728" s="2"/>
      <c r="V728" s="51"/>
      <c r="W728" s="2"/>
    </row>
    <row r="729" spans="1:39" s="1" customFormat="1" x14ac:dyDescent="0.25">
      <c r="A729" s="2"/>
      <c r="B729" s="51"/>
      <c r="C729" s="51"/>
      <c r="D729" s="2"/>
      <c r="E729" s="2"/>
      <c r="F729" s="2"/>
      <c r="G729" s="51"/>
      <c r="H729" s="80"/>
      <c r="I729" s="2"/>
      <c r="J729" s="2"/>
      <c r="K729" s="2"/>
      <c r="L729" s="2"/>
      <c r="M729" s="81"/>
      <c r="N729" s="2"/>
      <c r="O729" s="81"/>
      <c r="P729" s="51"/>
      <c r="Q729" s="2"/>
      <c r="R729" s="2"/>
      <c r="S729" s="2"/>
      <c r="T729" s="2"/>
      <c r="U729" s="2"/>
      <c r="V729" s="51"/>
      <c r="W729" s="2"/>
    </row>
    <row r="730" spans="1:39" s="1" customFormat="1" x14ac:dyDescent="0.25">
      <c r="A730" s="2"/>
      <c r="B730" s="51"/>
      <c r="C730" s="51"/>
      <c r="D730" s="2"/>
      <c r="E730" s="2"/>
      <c r="F730" s="2"/>
      <c r="G730" s="51"/>
      <c r="H730" s="80"/>
      <c r="I730" s="2"/>
      <c r="J730" s="2"/>
      <c r="K730" s="2"/>
      <c r="L730" s="2"/>
      <c r="M730" s="81"/>
      <c r="N730" s="2"/>
      <c r="O730" s="81"/>
      <c r="P730" s="51"/>
      <c r="Q730" s="2"/>
      <c r="R730" s="2"/>
      <c r="S730" s="2"/>
      <c r="T730" s="2"/>
      <c r="U730" s="2"/>
      <c r="V730" s="51"/>
      <c r="W730" s="2"/>
    </row>
    <row r="731" spans="1:39" s="1" customFormat="1" x14ac:dyDescent="0.25">
      <c r="A731" s="2"/>
      <c r="B731" s="51"/>
      <c r="C731" s="51"/>
      <c r="D731" s="2"/>
      <c r="E731" s="2"/>
      <c r="F731" s="2"/>
      <c r="G731" s="51"/>
      <c r="H731" s="80"/>
      <c r="I731" s="2"/>
      <c r="J731" s="2"/>
      <c r="K731" s="2"/>
      <c r="L731" s="2"/>
      <c r="M731" s="81"/>
      <c r="N731" s="2"/>
      <c r="O731" s="81"/>
      <c r="P731" s="51"/>
      <c r="Q731" s="2"/>
      <c r="R731" s="2"/>
      <c r="S731" s="2"/>
      <c r="T731" s="2"/>
      <c r="U731" s="2"/>
      <c r="V731" s="51"/>
      <c r="W731" s="2"/>
    </row>
    <row r="732" spans="1:39" s="1" customFormat="1" x14ac:dyDescent="0.25">
      <c r="A732" s="2"/>
      <c r="B732" s="51"/>
      <c r="C732" s="51"/>
      <c r="D732" s="2"/>
      <c r="E732" s="2"/>
      <c r="F732" s="2"/>
      <c r="G732" s="51"/>
      <c r="H732" s="80"/>
      <c r="I732" s="2"/>
      <c r="J732" s="2"/>
      <c r="K732" s="2"/>
      <c r="L732" s="2"/>
      <c r="M732" s="81"/>
      <c r="N732" s="2"/>
      <c r="O732" s="81"/>
      <c r="P732" s="51"/>
      <c r="Q732" s="2"/>
      <c r="R732" s="2"/>
      <c r="S732" s="2"/>
      <c r="T732" s="2"/>
      <c r="U732" s="2"/>
      <c r="V732" s="51"/>
      <c r="W732" s="2"/>
    </row>
    <row r="733" spans="1:39" x14ac:dyDescent="0.25">
      <c r="G733" s="20"/>
      <c r="H733" s="20"/>
      <c r="I733" s="20"/>
      <c r="J733" s="21"/>
      <c r="K733" s="23"/>
      <c r="L733" s="23"/>
      <c r="M733" s="23"/>
      <c r="N733" s="23"/>
      <c r="O733" s="23"/>
      <c r="P733" s="20"/>
      <c r="Q733" s="20"/>
      <c r="R733" s="23"/>
      <c r="S733" s="20"/>
      <c r="T733" s="20"/>
      <c r="U733" s="23"/>
      <c r="V733" s="23"/>
      <c r="W733" s="20"/>
      <c r="X733" s="20"/>
      <c r="Y733" s="20"/>
      <c r="Z733" s="23"/>
      <c r="AA733" s="22"/>
      <c r="AB733" s="23"/>
      <c r="AC733" s="23"/>
      <c r="AD733" s="23"/>
      <c r="AE733" s="20"/>
      <c r="AF733" s="23"/>
      <c r="AI733" s="23"/>
    </row>
    <row r="734" spans="1:39" x14ac:dyDescent="0.25">
      <c r="G734" s="20"/>
      <c r="H734" s="20"/>
      <c r="I734" s="20"/>
      <c r="J734" s="21"/>
      <c r="K734" s="23"/>
      <c r="L734" s="23"/>
      <c r="M734" s="23"/>
      <c r="N734" s="23"/>
      <c r="O734" s="23"/>
      <c r="P734" s="20"/>
      <c r="Q734" s="20"/>
      <c r="R734" s="23"/>
      <c r="S734" s="20"/>
      <c r="T734" s="20"/>
      <c r="U734" s="23"/>
      <c r="V734" s="26"/>
      <c r="W734" s="20"/>
      <c r="X734" s="20"/>
      <c r="Y734" s="20"/>
      <c r="Z734" s="23"/>
      <c r="AA734" s="22"/>
      <c r="AB734" s="23"/>
      <c r="AC734" s="23"/>
      <c r="AD734" s="23"/>
      <c r="AE734" s="20"/>
      <c r="AF734" s="23"/>
      <c r="AI734" s="23"/>
    </row>
    <row r="735" spans="1:39" x14ac:dyDescent="0.25">
      <c r="G735" s="5"/>
      <c r="H735" s="5"/>
      <c r="I735" s="5"/>
      <c r="J735" s="25"/>
      <c r="X735" s="5"/>
      <c r="Y735" s="5"/>
    </row>
    <row r="736" spans="1:39" x14ac:dyDescent="0.25">
      <c r="B736" s="31"/>
      <c r="G736" s="5"/>
      <c r="H736" s="5"/>
      <c r="I736" s="5"/>
      <c r="J736" s="25"/>
      <c r="X736" s="5"/>
      <c r="Y736" s="5"/>
      <c r="AL736" s="13"/>
    </row>
    <row r="737" spans="7:25" x14ac:dyDescent="0.25">
      <c r="G737" s="5"/>
      <c r="H737" s="5"/>
      <c r="I737" s="5"/>
      <c r="J737" s="25"/>
      <c r="X737" s="5"/>
      <c r="Y737" s="5"/>
    </row>
    <row r="738" spans="7:25" x14ac:dyDescent="0.25">
      <c r="G738" s="5"/>
      <c r="H738" s="5"/>
      <c r="I738" s="5"/>
      <c r="J738" s="25"/>
      <c r="X738" s="5"/>
      <c r="Y738" s="5"/>
    </row>
    <row r="739" spans="7:25" x14ac:dyDescent="0.25">
      <c r="G739" s="5"/>
      <c r="H739" s="5"/>
      <c r="I739" s="5"/>
      <c r="J739" s="25"/>
      <c r="X739" s="5"/>
      <c r="Y739" s="5"/>
    </row>
    <row r="740" spans="7:25" x14ac:dyDescent="0.25">
      <c r="G740" s="5"/>
      <c r="H740" s="5"/>
      <c r="I740" s="5"/>
      <c r="J740" s="25"/>
      <c r="X740" s="5"/>
      <c r="Y740" s="5"/>
    </row>
    <row r="741" spans="7:25" x14ac:dyDescent="0.25">
      <c r="G741" s="5"/>
      <c r="H741" s="5"/>
      <c r="I741" s="5"/>
      <c r="J741" s="25"/>
      <c r="X741" s="5"/>
      <c r="Y741" s="5"/>
    </row>
    <row r="742" spans="7:25" x14ac:dyDescent="0.25">
      <c r="G742" s="5"/>
      <c r="H742" s="5"/>
      <c r="I742" s="5"/>
      <c r="J742" s="25"/>
      <c r="X742" s="5"/>
      <c r="Y742" s="5"/>
    </row>
    <row r="743" spans="7:25" x14ac:dyDescent="0.25">
      <c r="G743" s="5"/>
      <c r="H743" s="5"/>
      <c r="I743" s="5"/>
      <c r="J743" s="25"/>
      <c r="X743" s="5"/>
      <c r="Y743" s="5"/>
    </row>
    <row r="744" spans="7:25" x14ac:dyDescent="0.25">
      <c r="G744" s="5"/>
      <c r="H744" s="5"/>
      <c r="I744" s="5"/>
      <c r="J744" s="25"/>
      <c r="X744" s="5"/>
      <c r="Y744" s="5"/>
    </row>
    <row r="745" spans="7:25" x14ac:dyDescent="0.25">
      <c r="G745" s="5"/>
      <c r="H745" s="5"/>
      <c r="I745" s="5"/>
      <c r="J745" s="25"/>
      <c r="X745" s="5"/>
      <c r="Y745" s="5"/>
    </row>
    <row r="746" spans="7:25" x14ac:dyDescent="0.25">
      <c r="G746" s="5"/>
      <c r="H746" s="5"/>
      <c r="I746" s="5"/>
      <c r="J746" s="25"/>
      <c r="X746" s="5"/>
      <c r="Y746" s="5"/>
    </row>
    <row r="747" spans="7:25" x14ac:dyDescent="0.25">
      <c r="G747" s="5"/>
      <c r="H747" s="5"/>
      <c r="I747" s="5"/>
      <c r="J747" s="25"/>
      <c r="X747" s="5"/>
      <c r="Y747" s="5"/>
    </row>
    <row r="748" spans="7:25" x14ac:dyDescent="0.25">
      <c r="G748" s="5"/>
      <c r="H748" s="5"/>
      <c r="I748" s="5"/>
      <c r="J748" s="25"/>
      <c r="X748" s="5"/>
      <c r="Y748" s="5"/>
    </row>
    <row r="749" spans="7:25" x14ac:dyDescent="0.25">
      <c r="G749" s="5"/>
      <c r="H749" s="5"/>
      <c r="I749" s="5"/>
      <c r="J749" s="25"/>
      <c r="X749" s="5"/>
      <c r="Y749" s="5"/>
    </row>
    <row r="750" spans="7:25" x14ac:dyDescent="0.25">
      <c r="G750" s="5"/>
      <c r="H750" s="5"/>
      <c r="I750" s="5"/>
      <c r="J750" s="25"/>
      <c r="X750" s="5"/>
      <c r="Y750" s="5"/>
    </row>
    <row r="751" spans="7:25" x14ac:dyDescent="0.25">
      <c r="G751" s="5"/>
      <c r="H751" s="5"/>
      <c r="I751" s="5"/>
      <c r="J751" s="25"/>
      <c r="X751" s="5"/>
      <c r="Y751" s="5"/>
    </row>
    <row r="752" spans="7:25" x14ac:dyDescent="0.25">
      <c r="G752" s="5"/>
      <c r="H752" s="5"/>
      <c r="I752" s="5"/>
      <c r="J752" s="25"/>
      <c r="X752" s="5"/>
      <c r="Y752" s="5"/>
    </row>
    <row r="753" spans="7:25" x14ac:dyDescent="0.25">
      <c r="G753" s="5"/>
      <c r="H753" s="5"/>
      <c r="I753" s="5"/>
      <c r="J753" s="25"/>
      <c r="X753" s="5"/>
      <c r="Y753" s="5"/>
    </row>
    <row r="754" spans="7:25" x14ac:dyDescent="0.25">
      <c r="G754" s="5"/>
      <c r="H754" s="5"/>
      <c r="I754" s="5"/>
      <c r="J754" s="25"/>
      <c r="X754" s="5"/>
      <c r="Y754" s="5"/>
    </row>
    <row r="755" spans="7:25" x14ac:dyDescent="0.25">
      <c r="G755" s="5"/>
      <c r="H755" s="5"/>
      <c r="I755" s="5"/>
      <c r="J755" s="25"/>
      <c r="X755" s="5"/>
      <c r="Y755" s="5"/>
    </row>
    <row r="756" spans="7:25" x14ac:dyDescent="0.25">
      <c r="G756" s="5"/>
      <c r="H756" s="5"/>
      <c r="I756" s="5"/>
      <c r="J756" s="25"/>
      <c r="X756" s="5"/>
      <c r="Y756" s="5"/>
    </row>
    <row r="757" spans="7:25" x14ac:dyDescent="0.25">
      <c r="G757" s="5"/>
      <c r="H757" s="5"/>
      <c r="I757" s="5"/>
      <c r="J757" s="25"/>
      <c r="X757" s="5"/>
      <c r="Y757" s="5"/>
    </row>
    <row r="758" spans="7:25" x14ac:dyDescent="0.25">
      <c r="G758" s="5"/>
      <c r="H758" s="5"/>
      <c r="I758" s="5"/>
      <c r="J758" s="25"/>
      <c r="X758" s="5"/>
      <c r="Y758" s="5"/>
    </row>
    <row r="759" spans="7:25" x14ac:dyDescent="0.25">
      <c r="G759" s="5"/>
      <c r="H759" s="5"/>
      <c r="I759" s="5"/>
      <c r="J759" s="25"/>
      <c r="X759" s="5"/>
      <c r="Y759" s="5"/>
    </row>
    <row r="760" spans="7:25" x14ac:dyDescent="0.25">
      <c r="G760" s="5"/>
      <c r="H760" s="5"/>
      <c r="I760" s="5"/>
      <c r="J760" s="25"/>
      <c r="X760" s="5"/>
      <c r="Y760" s="5"/>
    </row>
    <row r="761" spans="7:25" x14ac:dyDescent="0.25">
      <c r="G761" s="5"/>
      <c r="H761" s="5"/>
      <c r="I761" s="5"/>
      <c r="J761" s="25"/>
      <c r="X761" s="5"/>
      <c r="Y761" s="5"/>
    </row>
    <row r="762" spans="7:25" x14ac:dyDescent="0.25">
      <c r="G762" s="5"/>
      <c r="H762" s="5"/>
      <c r="I762" s="5"/>
      <c r="J762" s="25"/>
      <c r="X762" s="5"/>
      <c r="Y762" s="5"/>
    </row>
    <row r="763" spans="7:25" x14ac:dyDescent="0.25">
      <c r="G763" s="5"/>
      <c r="H763" s="5"/>
      <c r="I763" s="5"/>
      <c r="J763" s="25"/>
      <c r="X763" s="5"/>
      <c r="Y763" s="5"/>
    </row>
    <row r="764" spans="7:25" x14ac:dyDescent="0.25">
      <c r="G764" s="5"/>
      <c r="H764" s="5"/>
      <c r="I764" s="5"/>
      <c r="J764" s="25"/>
      <c r="X764" s="5"/>
      <c r="Y764" s="5"/>
    </row>
    <row r="765" spans="7:25" x14ac:dyDescent="0.25">
      <c r="G765" s="5"/>
      <c r="H765" s="5"/>
      <c r="I765" s="5"/>
      <c r="J765" s="25"/>
      <c r="X765" s="5"/>
      <c r="Y765" s="5"/>
    </row>
    <row r="766" spans="7:25" x14ac:dyDescent="0.25">
      <c r="G766" s="5"/>
      <c r="H766" s="5"/>
      <c r="I766" s="5"/>
      <c r="J766" s="25"/>
      <c r="X766" s="5"/>
      <c r="Y766" s="5"/>
    </row>
    <row r="767" spans="7:25" x14ac:dyDescent="0.25">
      <c r="G767" s="5"/>
      <c r="H767" s="5"/>
      <c r="I767" s="5"/>
      <c r="J767" s="25"/>
      <c r="X767" s="5"/>
      <c r="Y767" s="5"/>
    </row>
    <row r="768" spans="7:25" x14ac:dyDescent="0.25">
      <c r="G768" s="5"/>
      <c r="H768" s="5"/>
      <c r="I768" s="5"/>
      <c r="J768" s="25"/>
      <c r="X768" s="5"/>
      <c r="Y768" s="5"/>
    </row>
    <row r="769" spans="7:25" x14ac:dyDescent="0.25">
      <c r="G769" s="5"/>
      <c r="H769" s="5"/>
      <c r="I769" s="5"/>
      <c r="J769" s="25"/>
      <c r="X769" s="5"/>
      <c r="Y769" s="5"/>
    </row>
    <row r="770" spans="7:25" x14ac:dyDescent="0.25">
      <c r="G770" s="5"/>
      <c r="H770" s="5"/>
      <c r="I770" s="5"/>
      <c r="J770" s="25"/>
      <c r="X770" s="5"/>
      <c r="Y770" s="5"/>
    </row>
    <row r="771" spans="7:25" x14ac:dyDescent="0.25">
      <c r="G771" s="5"/>
      <c r="H771" s="5"/>
      <c r="I771" s="5"/>
      <c r="J771" s="25"/>
      <c r="X771" s="5"/>
      <c r="Y771" s="5"/>
    </row>
    <row r="772" spans="7:25" x14ac:dyDescent="0.25">
      <c r="G772" s="5"/>
      <c r="H772" s="5"/>
      <c r="I772" s="5"/>
      <c r="J772" s="25"/>
      <c r="X772" s="5"/>
      <c r="Y772" s="5"/>
    </row>
    <row r="773" spans="7:25" x14ac:dyDescent="0.25">
      <c r="G773" s="5"/>
      <c r="H773" s="5"/>
      <c r="I773" s="5"/>
      <c r="J773" s="25"/>
      <c r="X773" s="5"/>
      <c r="Y773" s="5"/>
    </row>
    <row r="774" spans="7:25" x14ac:dyDescent="0.25">
      <c r="G774" s="5"/>
      <c r="H774" s="5"/>
      <c r="I774" s="5"/>
      <c r="J774" s="25"/>
      <c r="X774" s="5"/>
      <c r="Y774" s="5"/>
    </row>
    <row r="775" spans="7:25" x14ac:dyDescent="0.25">
      <c r="G775" s="5"/>
      <c r="H775" s="5"/>
      <c r="I775" s="5"/>
      <c r="J775" s="25"/>
      <c r="X775" s="5"/>
      <c r="Y775" s="5"/>
    </row>
    <row r="776" spans="7:25" x14ac:dyDescent="0.25">
      <c r="G776" s="5"/>
      <c r="H776" s="5"/>
      <c r="I776" s="5"/>
      <c r="J776" s="25"/>
      <c r="X776" s="5"/>
      <c r="Y776" s="5"/>
    </row>
    <row r="777" spans="7:25" x14ac:dyDescent="0.25">
      <c r="G777" s="5"/>
      <c r="H777" s="5"/>
      <c r="I777" s="5"/>
      <c r="J777" s="25"/>
      <c r="X777" s="5"/>
      <c r="Y777" s="5"/>
    </row>
    <row r="778" spans="7:25" x14ac:dyDescent="0.25">
      <c r="G778" s="5"/>
      <c r="H778" s="5"/>
      <c r="I778" s="5"/>
      <c r="J778" s="25"/>
      <c r="X778" s="5"/>
      <c r="Y778" s="5"/>
    </row>
    <row r="779" spans="7:25" x14ac:dyDescent="0.25">
      <c r="G779" s="5"/>
      <c r="H779" s="5"/>
      <c r="I779" s="5"/>
      <c r="J779" s="25"/>
      <c r="X779" s="5"/>
      <c r="Y779" s="5"/>
    </row>
    <row r="780" spans="7:25" x14ac:dyDescent="0.25">
      <c r="G780" s="5"/>
      <c r="H780" s="5"/>
      <c r="I780" s="5"/>
      <c r="J780" s="25"/>
      <c r="X780" s="5"/>
      <c r="Y780" s="5"/>
    </row>
    <row r="781" spans="7:25" x14ac:dyDescent="0.25">
      <c r="G781" s="5"/>
      <c r="H781" s="5"/>
      <c r="I781" s="5"/>
      <c r="J781" s="25"/>
      <c r="X781" s="5"/>
      <c r="Y781" s="5"/>
    </row>
    <row r="782" spans="7:25" x14ac:dyDescent="0.25">
      <c r="G782" s="5"/>
      <c r="H782" s="5"/>
      <c r="I782" s="5"/>
      <c r="J782" s="25"/>
      <c r="X782" s="5"/>
      <c r="Y782" s="5"/>
    </row>
    <row r="783" spans="7:25" x14ac:dyDescent="0.25">
      <c r="G783" s="5"/>
      <c r="H783" s="5"/>
      <c r="I783" s="5"/>
      <c r="J783" s="25"/>
      <c r="X783" s="5"/>
      <c r="Y783" s="5"/>
    </row>
    <row r="784" spans="7:25" x14ac:dyDescent="0.25">
      <c r="G784" s="5"/>
      <c r="H784" s="5"/>
      <c r="I784" s="5"/>
      <c r="J784" s="25"/>
      <c r="X784" s="5"/>
      <c r="Y784" s="5"/>
    </row>
    <row r="785" spans="7:25" x14ac:dyDescent="0.25">
      <c r="G785" s="5"/>
      <c r="H785" s="5"/>
      <c r="I785" s="5"/>
      <c r="J785" s="25"/>
      <c r="X785" s="5"/>
      <c r="Y785" s="5"/>
    </row>
    <row r="786" spans="7:25" x14ac:dyDescent="0.25">
      <c r="G786" s="5"/>
      <c r="H786" s="5"/>
      <c r="I786" s="5"/>
      <c r="J786" s="25"/>
      <c r="X786" s="5"/>
      <c r="Y786" s="5"/>
    </row>
    <row r="787" spans="7:25" x14ac:dyDescent="0.25">
      <c r="G787" s="5"/>
      <c r="H787" s="5"/>
      <c r="I787" s="5"/>
      <c r="J787" s="25"/>
      <c r="X787" s="5"/>
      <c r="Y787" s="5"/>
    </row>
    <row r="788" spans="7:25" x14ac:dyDescent="0.25">
      <c r="G788" s="5"/>
      <c r="H788" s="5"/>
      <c r="I788" s="5"/>
      <c r="J788" s="25"/>
      <c r="X788" s="5"/>
      <c r="Y788" s="5"/>
    </row>
    <row r="789" spans="7:25" x14ac:dyDescent="0.25">
      <c r="G789" s="5"/>
      <c r="H789" s="5"/>
      <c r="I789" s="5"/>
      <c r="J789" s="25"/>
      <c r="X789" s="5"/>
      <c r="Y789" s="5"/>
    </row>
    <row r="790" spans="7:25" x14ac:dyDescent="0.25">
      <c r="G790" s="5"/>
      <c r="H790" s="5"/>
      <c r="I790" s="5"/>
      <c r="J790" s="25"/>
      <c r="X790" s="5"/>
      <c r="Y790" s="5"/>
    </row>
    <row r="791" spans="7:25" x14ac:dyDescent="0.25">
      <c r="G791" s="5"/>
      <c r="H791" s="5"/>
      <c r="I791" s="5"/>
      <c r="J791" s="25"/>
      <c r="X791" s="5"/>
      <c r="Y791" s="5"/>
    </row>
    <row r="792" spans="7:25" x14ac:dyDescent="0.25">
      <c r="G792" s="5"/>
      <c r="H792" s="5"/>
      <c r="I792" s="5"/>
      <c r="J792" s="25"/>
      <c r="X792" s="5"/>
      <c r="Y792" s="5"/>
    </row>
    <row r="793" spans="7:25" x14ac:dyDescent="0.25">
      <c r="G793" s="5"/>
      <c r="H793" s="5"/>
      <c r="I793" s="5"/>
      <c r="J793" s="25"/>
      <c r="X793" s="5"/>
      <c r="Y793" s="5"/>
    </row>
    <row r="794" spans="7:25" x14ac:dyDescent="0.25">
      <c r="G794" s="5"/>
      <c r="H794" s="5"/>
      <c r="I794" s="5"/>
      <c r="J794" s="25"/>
      <c r="X794" s="5"/>
      <c r="Y794" s="5"/>
    </row>
    <row r="795" spans="7:25" x14ac:dyDescent="0.25">
      <c r="G795" s="5"/>
      <c r="H795" s="5"/>
      <c r="I795" s="5"/>
      <c r="J795" s="25"/>
      <c r="X795" s="5"/>
      <c r="Y795" s="5"/>
    </row>
    <row r="796" spans="7:25" x14ac:dyDescent="0.25">
      <c r="G796" s="5"/>
      <c r="H796" s="5"/>
      <c r="I796" s="5"/>
      <c r="J796" s="25"/>
      <c r="X796" s="5"/>
      <c r="Y796" s="5"/>
    </row>
    <row r="797" spans="7:25" x14ac:dyDescent="0.25">
      <c r="G797" s="5"/>
      <c r="H797" s="5"/>
      <c r="I797" s="5"/>
      <c r="J797" s="25"/>
      <c r="X797" s="5"/>
      <c r="Y797" s="5"/>
    </row>
    <row r="798" spans="7:25" x14ac:dyDescent="0.25">
      <c r="G798" s="5"/>
      <c r="H798" s="5"/>
      <c r="I798" s="5"/>
      <c r="J798" s="25"/>
      <c r="X798" s="5"/>
      <c r="Y798" s="5"/>
    </row>
    <row r="799" spans="7:25" x14ac:dyDescent="0.25">
      <c r="G799" s="5"/>
      <c r="H799" s="5"/>
      <c r="I799" s="5"/>
      <c r="J799" s="25"/>
      <c r="X799" s="5"/>
      <c r="Y799" s="5"/>
    </row>
    <row r="800" spans="7:25" x14ac:dyDescent="0.25">
      <c r="G800" s="5"/>
      <c r="H800" s="5"/>
      <c r="I800" s="5"/>
      <c r="J800" s="25"/>
      <c r="X800" s="5"/>
      <c r="Y800" s="5"/>
    </row>
    <row r="801" spans="7:25" x14ac:dyDescent="0.25">
      <c r="G801" s="5"/>
      <c r="H801" s="5"/>
      <c r="I801" s="5"/>
      <c r="J801" s="25"/>
      <c r="X801" s="5"/>
      <c r="Y801" s="5"/>
    </row>
    <row r="802" spans="7:25" x14ac:dyDescent="0.25">
      <c r="G802" s="5"/>
      <c r="H802" s="5"/>
      <c r="I802" s="5"/>
      <c r="J802" s="25"/>
      <c r="X802" s="5"/>
      <c r="Y802" s="5"/>
    </row>
    <row r="803" spans="7:25" x14ac:dyDescent="0.25">
      <c r="G803" s="5"/>
      <c r="H803" s="5"/>
      <c r="I803" s="5"/>
      <c r="J803" s="25"/>
      <c r="X803" s="5"/>
      <c r="Y803" s="5"/>
    </row>
    <row r="804" spans="7:25" x14ac:dyDescent="0.25">
      <c r="G804" s="5"/>
      <c r="H804" s="5"/>
      <c r="I804" s="5"/>
      <c r="J804" s="25"/>
      <c r="X804" s="5"/>
      <c r="Y804" s="5"/>
    </row>
    <row r="805" spans="7:25" x14ac:dyDescent="0.25">
      <c r="G805" s="5"/>
      <c r="H805" s="5"/>
      <c r="I805" s="5"/>
      <c r="J805" s="25"/>
      <c r="X805" s="5"/>
      <c r="Y805" s="5"/>
    </row>
    <row r="806" spans="7:25" x14ac:dyDescent="0.25">
      <c r="G806" s="5"/>
      <c r="H806" s="5"/>
      <c r="I806" s="5"/>
      <c r="J806" s="25"/>
      <c r="X806" s="5"/>
      <c r="Y806" s="5"/>
    </row>
    <row r="807" spans="7:25" x14ac:dyDescent="0.25">
      <c r="G807" s="5"/>
      <c r="H807" s="5"/>
      <c r="I807" s="5"/>
      <c r="J807" s="25"/>
      <c r="X807" s="5"/>
      <c r="Y807" s="5"/>
    </row>
    <row r="808" spans="7:25" x14ac:dyDescent="0.25">
      <c r="G808" s="5"/>
      <c r="H808" s="5"/>
      <c r="I808" s="5"/>
      <c r="J808" s="25"/>
      <c r="X808" s="5"/>
      <c r="Y808" s="5"/>
    </row>
    <row r="809" spans="7:25" x14ac:dyDescent="0.25">
      <c r="G809" s="5"/>
      <c r="H809" s="5"/>
      <c r="I809" s="5"/>
      <c r="J809" s="25"/>
      <c r="X809" s="5"/>
      <c r="Y809" s="5"/>
    </row>
    <row r="810" spans="7:25" x14ac:dyDescent="0.25">
      <c r="G810" s="5"/>
      <c r="H810" s="5"/>
      <c r="I810" s="5"/>
      <c r="J810" s="25"/>
      <c r="X810" s="5"/>
      <c r="Y810" s="5"/>
    </row>
    <row r="811" spans="7:25" x14ac:dyDescent="0.25">
      <c r="G811" s="5"/>
      <c r="H811" s="5"/>
      <c r="I811" s="5"/>
      <c r="J811" s="25"/>
      <c r="X811" s="5"/>
      <c r="Y811" s="5"/>
    </row>
    <row r="812" spans="7:25" x14ac:dyDescent="0.25">
      <c r="G812" s="5"/>
      <c r="H812" s="5"/>
      <c r="I812" s="5"/>
      <c r="J812" s="25"/>
      <c r="X812" s="5"/>
      <c r="Y812" s="5"/>
    </row>
    <row r="813" spans="7:25" x14ac:dyDescent="0.25">
      <c r="G813" s="5"/>
      <c r="H813" s="5"/>
      <c r="I813" s="5"/>
      <c r="J813" s="25"/>
      <c r="X813" s="5"/>
      <c r="Y813" s="5"/>
    </row>
    <row r="814" spans="7:25" x14ac:dyDescent="0.25">
      <c r="G814" s="5"/>
      <c r="H814" s="5"/>
      <c r="I814" s="5"/>
      <c r="J814" s="25"/>
      <c r="X814" s="5"/>
      <c r="Y814" s="5"/>
    </row>
    <row r="815" spans="7:25" x14ac:dyDescent="0.25">
      <c r="G815" s="5"/>
      <c r="H815" s="5"/>
      <c r="I815" s="5"/>
      <c r="J815" s="25"/>
      <c r="X815" s="5"/>
      <c r="Y815" s="5"/>
    </row>
    <row r="816" spans="7:25" x14ac:dyDescent="0.25">
      <c r="G816" s="5"/>
      <c r="H816" s="5"/>
      <c r="I816" s="5"/>
      <c r="J816" s="25"/>
      <c r="X816" s="5"/>
      <c r="Y816" s="5"/>
    </row>
    <row r="817" spans="7:25" x14ac:dyDescent="0.25">
      <c r="G817" s="5"/>
      <c r="H817" s="5"/>
      <c r="I817" s="5"/>
      <c r="J817" s="25"/>
      <c r="X817" s="5"/>
      <c r="Y817" s="5"/>
    </row>
    <row r="818" spans="7:25" x14ac:dyDescent="0.25">
      <c r="G818" s="5"/>
      <c r="H818" s="5"/>
      <c r="I818" s="5"/>
      <c r="J818" s="25"/>
      <c r="X818" s="5"/>
      <c r="Y818" s="5"/>
    </row>
    <row r="819" spans="7:25" x14ac:dyDescent="0.25">
      <c r="G819" s="5"/>
      <c r="H819" s="5"/>
      <c r="I819" s="5"/>
      <c r="J819" s="25"/>
      <c r="X819" s="5"/>
      <c r="Y819" s="5"/>
    </row>
    <row r="820" spans="7:25" x14ac:dyDescent="0.25">
      <c r="G820" s="5"/>
      <c r="H820" s="5"/>
      <c r="I820" s="5"/>
      <c r="J820" s="25"/>
      <c r="X820" s="5"/>
      <c r="Y820" s="5"/>
    </row>
    <row r="821" spans="7:25" x14ac:dyDescent="0.25">
      <c r="G821" s="5"/>
      <c r="H821" s="5"/>
      <c r="I821" s="5"/>
      <c r="J821" s="25"/>
      <c r="X821" s="5"/>
      <c r="Y821" s="5"/>
    </row>
    <row r="822" spans="7:25" x14ac:dyDescent="0.25">
      <c r="G822" s="5"/>
      <c r="H822" s="5"/>
      <c r="I822" s="5"/>
      <c r="J822" s="25"/>
      <c r="X822" s="5"/>
      <c r="Y822" s="5"/>
    </row>
    <row r="823" spans="7:25" x14ac:dyDescent="0.25">
      <c r="G823" s="5"/>
      <c r="H823" s="5"/>
      <c r="I823" s="5"/>
      <c r="J823" s="25"/>
      <c r="X823" s="5"/>
      <c r="Y823" s="5"/>
    </row>
    <row r="824" spans="7:25" x14ac:dyDescent="0.25">
      <c r="G824" s="5"/>
      <c r="H824" s="5"/>
      <c r="I824" s="5"/>
      <c r="J824" s="25"/>
      <c r="X824" s="5"/>
      <c r="Y824" s="5"/>
    </row>
    <row r="825" spans="7:25" x14ac:dyDescent="0.25">
      <c r="G825" s="5"/>
      <c r="H825" s="5"/>
      <c r="I825" s="5"/>
      <c r="J825" s="25"/>
      <c r="X825" s="5"/>
      <c r="Y825" s="5"/>
    </row>
    <row r="826" spans="7:25" x14ac:dyDescent="0.25">
      <c r="G826" s="5"/>
      <c r="H826" s="5"/>
      <c r="I826" s="5"/>
      <c r="J826" s="25"/>
      <c r="X826" s="5"/>
      <c r="Y826" s="5"/>
    </row>
    <row r="827" spans="7:25" x14ac:dyDescent="0.25">
      <c r="G827" s="5"/>
      <c r="H827" s="5"/>
      <c r="I827" s="5"/>
      <c r="J827" s="25"/>
      <c r="X827" s="5"/>
      <c r="Y827" s="5"/>
    </row>
    <row r="828" spans="7:25" x14ac:dyDescent="0.25">
      <c r="G828" s="5"/>
      <c r="H828" s="5"/>
      <c r="I828" s="5"/>
      <c r="J828" s="25"/>
      <c r="X828" s="5"/>
      <c r="Y828" s="5"/>
    </row>
    <row r="829" spans="7:25" x14ac:dyDescent="0.25">
      <c r="G829" s="5"/>
      <c r="H829" s="5"/>
      <c r="I829" s="5"/>
      <c r="J829" s="25"/>
      <c r="X829" s="5"/>
      <c r="Y829" s="5"/>
    </row>
    <row r="830" spans="7:25" x14ac:dyDescent="0.25">
      <c r="G830" s="5"/>
      <c r="H830" s="5"/>
      <c r="I830" s="5"/>
      <c r="J830" s="25"/>
      <c r="X830" s="5"/>
      <c r="Y830" s="5"/>
    </row>
    <row r="831" spans="7:25" x14ac:dyDescent="0.25">
      <c r="G831" s="5"/>
      <c r="H831" s="5"/>
      <c r="I831" s="5"/>
      <c r="J831" s="25"/>
      <c r="X831" s="5"/>
      <c r="Y831" s="5"/>
    </row>
    <row r="832" spans="7:25" x14ac:dyDescent="0.25">
      <c r="G832" s="5"/>
      <c r="H832" s="5"/>
      <c r="I832" s="5"/>
      <c r="J832" s="25"/>
      <c r="X832" s="5"/>
      <c r="Y832" s="5"/>
    </row>
    <row r="833" spans="7:25" x14ac:dyDescent="0.25">
      <c r="G833" s="5"/>
      <c r="H833" s="5"/>
      <c r="I833" s="5"/>
      <c r="J833" s="25"/>
      <c r="X833" s="5"/>
      <c r="Y833" s="5"/>
    </row>
    <row r="834" spans="7:25" x14ac:dyDescent="0.25">
      <c r="G834" s="5"/>
      <c r="H834" s="5"/>
      <c r="I834" s="5"/>
      <c r="J834" s="25"/>
      <c r="X834" s="5"/>
      <c r="Y834" s="5"/>
    </row>
    <row r="835" spans="7:25" x14ac:dyDescent="0.25">
      <c r="G835" s="5"/>
      <c r="H835" s="5"/>
      <c r="I835" s="5"/>
      <c r="J835" s="25"/>
      <c r="X835" s="5"/>
      <c r="Y835" s="5"/>
    </row>
    <row r="836" spans="7:25" x14ac:dyDescent="0.25">
      <c r="G836" s="5"/>
      <c r="H836" s="5"/>
      <c r="I836" s="5"/>
      <c r="J836" s="25"/>
      <c r="X836" s="5"/>
      <c r="Y836" s="5"/>
    </row>
    <row r="837" spans="7:25" x14ac:dyDescent="0.25">
      <c r="G837" s="5"/>
      <c r="H837" s="5"/>
      <c r="I837" s="5"/>
      <c r="J837" s="25"/>
      <c r="X837" s="5"/>
      <c r="Y837" s="5"/>
    </row>
    <row r="838" spans="7:25" x14ac:dyDescent="0.25">
      <c r="G838" s="5"/>
      <c r="H838" s="5"/>
      <c r="I838" s="5"/>
      <c r="J838" s="25"/>
      <c r="X838" s="5"/>
      <c r="Y838" s="5"/>
    </row>
    <row r="839" spans="7:25" x14ac:dyDescent="0.25">
      <c r="G839" s="5"/>
      <c r="H839" s="5"/>
      <c r="I839" s="5"/>
      <c r="J839" s="25"/>
      <c r="X839" s="5"/>
      <c r="Y839" s="5"/>
    </row>
    <row r="840" spans="7:25" x14ac:dyDescent="0.25">
      <c r="G840" s="5"/>
      <c r="H840" s="5"/>
      <c r="I840" s="5"/>
      <c r="J840" s="25"/>
      <c r="X840" s="5"/>
      <c r="Y840" s="5"/>
    </row>
    <row r="841" spans="7:25" x14ac:dyDescent="0.25">
      <c r="G841" s="5"/>
      <c r="H841" s="5"/>
      <c r="I841" s="5"/>
      <c r="J841" s="25"/>
      <c r="X841" s="5"/>
      <c r="Y841" s="5"/>
    </row>
    <row r="842" spans="7:25" x14ac:dyDescent="0.25">
      <c r="G842" s="5"/>
      <c r="H842" s="5"/>
      <c r="I842" s="5"/>
      <c r="J842" s="25"/>
      <c r="X842" s="5"/>
      <c r="Y842" s="5"/>
    </row>
    <row r="843" spans="7:25" x14ac:dyDescent="0.25">
      <c r="G843" s="5"/>
      <c r="H843" s="5"/>
      <c r="I843" s="5"/>
      <c r="J843" s="25"/>
      <c r="X843" s="5"/>
      <c r="Y843" s="5"/>
    </row>
    <row r="844" spans="7:25" x14ac:dyDescent="0.25">
      <c r="G844" s="5"/>
      <c r="H844" s="5"/>
      <c r="I844" s="5"/>
      <c r="J844" s="25"/>
      <c r="X844" s="5"/>
      <c r="Y844" s="5"/>
    </row>
    <row r="845" spans="7:25" x14ac:dyDescent="0.25">
      <c r="G845" s="5"/>
      <c r="H845" s="5"/>
      <c r="I845" s="5"/>
      <c r="J845" s="25"/>
      <c r="X845" s="5"/>
      <c r="Y845" s="5"/>
    </row>
    <row r="846" spans="7:25" x14ac:dyDescent="0.25">
      <c r="G846" s="5"/>
      <c r="H846" s="5"/>
      <c r="I846" s="5"/>
      <c r="J846" s="25"/>
      <c r="X846" s="5"/>
      <c r="Y846" s="5"/>
    </row>
    <row r="847" spans="7:25" x14ac:dyDescent="0.25">
      <c r="G847" s="5"/>
      <c r="H847" s="5"/>
      <c r="I847" s="5"/>
      <c r="J847" s="25"/>
      <c r="X847" s="5"/>
      <c r="Y847" s="5"/>
    </row>
    <row r="848" spans="7:25" x14ac:dyDescent="0.25">
      <c r="G848" s="5"/>
      <c r="H848" s="5"/>
      <c r="I848" s="5"/>
      <c r="J848" s="25"/>
      <c r="X848" s="5"/>
      <c r="Y848" s="5"/>
    </row>
    <row r="849" spans="7:25" x14ac:dyDescent="0.25">
      <c r="G849" s="5"/>
      <c r="H849" s="5"/>
      <c r="I849" s="5"/>
      <c r="J849" s="25"/>
      <c r="X849" s="5"/>
      <c r="Y849" s="5"/>
    </row>
    <row r="850" spans="7:25" x14ac:dyDescent="0.25">
      <c r="G850" s="5"/>
      <c r="H850" s="5"/>
      <c r="I850" s="5"/>
      <c r="J850" s="25"/>
      <c r="X850" s="5"/>
      <c r="Y850" s="5"/>
    </row>
    <row r="851" spans="7:25" x14ac:dyDescent="0.25">
      <c r="G851" s="5"/>
      <c r="H851" s="5"/>
      <c r="I851" s="5"/>
      <c r="J851" s="25"/>
      <c r="X851" s="5"/>
      <c r="Y851" s="5"/>
    </row>
    <row r="852" spans="7:25" x14ac:dyDescent="0.25">
      <c r="G852" s="5"/>
      <c r="H852" s="5"/>
      <c r="I852" s="5"/>
      <c r="J852" s="25"/>
      <c r="X852" s="5"/>
      <c r="Y852" s="5"/>
    </row>
    <row r="853" spans="7:25" x14ac:dyDescent="0.25">
      <c r="G853" s="5"/>
      <c r="H853" s="5"/>
      <c r="I853" s="5"/>
      <c r="J853" s="25"/>
      <c r="X853" s="5"/>
      <c r="Y853" s="5"/>
    </row>
    <row r="854" spans="7:25" x14ac:dyDescent="0.25">
      <c r="G854" s="5"/>
      <c r="H854" s="5"/>
      <c r="I854" s="5"/>
      <c r="J854" s="25"/>
      <c r="X854" s="5"/>
      <c r="Y854" s="5"/>
    </row>
    <row r="855" spans="7:25" x14ac:dyDescent="0.25">
      <c r="G855" s="5"/>
      <c r="H855" s="5"/>
      <c r="I855" s="5"/>
      <c r="J855" s="25"/>
      <c r="X855" s="5"/>
      <c r="Y855" s="5"/>
    </row>
    <row r="856" spans="7:25" x14ac:dyDescent="0.25">
      <c r="G856" s="5"/>
      <c r="H856" s="5"/>
      <c r="I856" s="5"/>
      <c r="J856" s="25"/>
      <c r="X856" s="5"/>
      <c r="Y856" s="5"/>
    </row>
    <row r="857" spans="7:25" x14ac:dyDescent="0.25">
      <c r="G857" s="5"/>
      <c r="H857" s="5"/>
      <c r="I857" s="5"/>
      <c r="J857" s="25"/>
      <c r="X857" s="5"/>
      <c r="Y857" s="5"/>
    </row>
    <row r="858" spans="7:25" x14ac:dyDescent="0.25">
      <c r="G858" s="5"/>
      <c r="H858" s="5"/>
      <c r="I858" s="5"/>
      <c r="J858" s="25"/>
      <c r="X858" s="5"/>
      <c r="Y858" s="5"/>
    </row>
    <row r="859" spans="7:25" x14ac:dyDescent="0.25">
      <c r="G859" s="5"/>
      <c r="H859" s="5"/>
      <c r="I859" s="5"/>
      <c r="J859" s="25"/>
      <c r="X859" s="5"/>
      <c r="Y859" s="5"/>
    </row>
    <row r="860" spans="7:25" x14ac:dyDescent="0.25">
      <c r="G860" s="5"/>
      <c r="H860" s="5"/>
      <c r="I860" s="5"/>
      <c r="J860" s="25"/>
      <c r="X860" s="5"/>
      <c r="Y860" s="5"/>
    </row>
    <row r="861" spans="7:25" x14ac:dyDescent="0.25">
      <c r="G861" s="5"/>
      <c r="H861" s="5"/>
      <c r="I861" s="5"/>
      <c r="J861" s="25"/>
      <c r="X861" s="5"/>
      <c r="Y861" s="5"/>
    </row>
    <row r="862" spans="7:25" x14ac:dyDescent="0.25">
      <c r="G862" s="5"/>
      <c r="H862" s="5"/>
      <c r="I862" s="5"/>
      <c r="J862" s="25"/>
      <c r="X862" s="5"/>
      <c r="Y862" s="5"/>
    </row>
    <row r="863" spans="7:25" x14ac:dyDescent="0.25">
      <c r="G863" s="5"/>
      <c r="H863" s="5"/>
      <c r="I863" s="5"/>
      <c r="J863" s="25"/>
      <c r="X863" s="5"/>
      <c r="Y863" s="5"/>
    </row>
    <row r="864" spans="7:25" x14ac:dyDescent="0.25">
      <c r="G864" s="5"/>
      <c r="H864" s="5"/>
      <c r="I864" s="5"/>
      <c r="J864" s="25"/>
      <c r="X864" s="5"/>
      <c r="Y864" s="5"/>
    </row>
    <row r="865" spans="7:25" x14ac:dyDescent="0.25">
      <c r="G865" s="5"/>
      <c r="H865" s="5"/>
      <c r="I865" s="5"/>
      <c r="J865" s="25"/>
      <c r="X865" s="5"/>
      <c r="Y865" s="5"/>
    </row>
    <row r="866" spans="7:25" x14ac:dyDescent="0.25">
      <c r="G866" s="5"/>
      <c r="H866" s="5"/>
      <c r="I866" s="5"/>
      <c r="J866" s="25"/>
      <c r="X866" s="5"/>
      <c r="Y866" s="5"/>
    </row>
    <row r="867" spans="7:25" x14ac:dyDescent="0.25">
      <c r="G867" s="5"/>
      <c r="H867" s="5"/>
      <c r="I867" s="5"/>
      <c r="J867" s="25"/>
      <c r="X867" s="5"/>
      <c r="Y867" s="5"/>
    </row>
    <row r="868" spans="7:25" x14ac:dyDescent="0.25">
      <c r="G868" s="5"/>
      <c r="H868" s="5"/>
      <c r="I868" s="5"/>
      <c r="J868" s="25"/>
      <c r="X868" s="5"/>
      <c r="Y868" s="5"/>
    </row>
    <row r="869" spans="7:25" x14ac:dyDescent="0.25">
      <c r="G869" s="5"/>
      <c r="H869" s="5"/>
      <c r="I869" s="5"/>
      <c r="J869" s="25"/>
      <c r="X869" s="5"/>
      <c r="Y869" s="5"/>
    </row>
    <row r="870" spans="7:25" x14ac:dyDescent="0.25">
      <c r="G870" s="5"/>
      <c r="H870" s="5"/>
      <c r="I870" s="5"/>
      <c r="J870" s="25"/>
      <c r="X870" s="5"/>
      <c r="Y870" s="5"/>
    </row>
    <row r="871" spans="7:25" x14ac:dyDescent="0.25">
      <c r="G871" s="5"/>
      <c r="H871" s="5"/>
      <c r="I871" s="5"/>
      <c r="J871" s="25"/>
      <c r="X871" s="5"/>
      <c r="Y871" s="5"/>
    </row>
    <row r="872" spans="7:25" x14ac:dyDescent="0.25">
      <c r="G872" s="5"/>
      <c r="H872" s="5"/>
      <c r="I872" s="5"/>
      <c r="J872" s="25"/>
      <c r="X872" s="5"/>
      <c r="Y872" s="5"/>
    </row>
  </sheetData>
  <mergeCells count="181">
    <mergeCell ref="A1:B1"/>
    <mergeCell ref="A2:D2"/>
    <mergeCell ref="C629:C630"/>
    <mergeCell ref="D629:D630"/>
    <mergeCell ref="B610:U610"/>
    <mergeCell ref="A567:A568"/>
    <mergeCell ref="C567:C568"/>
    <mergeCell ref="A598:A599"/>
    <mergeCell ref="A4:B4"/>
    <mergeCell ref="A9:A10"/>
    <mergeCell ref="A71:A72"/>
    <mergeCell ref="A40:A41"/>
    <mergeCell ref="A5:A8"/>
    <mergeCell ref="B598:B599"/>
    <mergeCell ref="C9:C10"/>
    <mergeCell ref="B5:B8"/>
    <mergeCell ref="C5:C8"/>
    <mergeCell ref="E5:E8"/>
    <mergeCell ref="M5:M6"/>
    <mergeCell ref="Q5:R5"/>
    <mergeCell ref="J5:J6"/>
    <mergeCell ref="K5:K6"/>
    <mergeCell ref="L5:L6"/>
    <mergeCell ref="T5:T6"/>
    <mergeCell ref="A716:A717"/>
    <mergeCell ref="D716:D717"/>
    <mergeCell ref="B716:B717"/>
    <mergeCell ref="C716:C717"/>
    <mergeCell ref="W629:W630"/>
    <mergeCell ref="B660:B661"/>
    <mergeCell ref="B629:B630"/>
    <mergeCell ref="D691:D692"/>
    <mergeCell ref="D694:D695"/>
    <mergeCell ref="C691:C692"/>
    <mergeCell ref="B672:U672"/>
    <mergeCell ref="B641:U641"/>
    <mergeCell ref="A629:A630"/>
    <mergeCell ref="A691:A692"/>
    <mergeCell ref="A694:A695"/>
    <mergeCell ref="C660:C661"/>
    <mergeCell ref="A660:A661"/>
    <mergeCell ref="A707:A708"/>
    <mergeCell ref="B707:B708"/>
    <mergeCell ref="C707:C708"/>
    <mergeCell ref="D707:D708"/>
    <mergeCell ref="C694:C695"/>
    <mergeCell ref="V3:W3"/>
    <mergeCell ref="W716:W717"/>
    <mergeCell ref="W694:W695"/>
    <mergeCell ref="B711:U711"/>
    <mergeCell ref="B691:B692"/>
    <mergeCell ref="B694:B695"/>
    <mergeCell ref="E707:E708"/>
    <mergeCell ref="W691:W692"/>
    <mergeCell ref="E694:E695"/>
    <mergeCell ref="W707:W708"/>
    <mergeCell ref="B698:U698"/>
    <mergeCell ref="D5:D8"/>
    <mergeCell ref="D660:D661"/>
    <mergeCell ref="W660:W661"/>
    <mergeCell ref="W598:W599"/>
    <mergeCell ref="D598:D599"/>
    <mergeCell ref="B567:B568"/>
    <mergeCell ref="C598:C599"/>
    <mergeCell ref="W5:W8"/>
    <mergeCell ref="F5:F8"/>
    <mergeCell ref="G5:G6"/>
    <mergeCell ref="H5:H6"/>
    <mergeCell ref="V5:V6"/>
    <mergeCell ref="U5:U6"/>
    <mergeCell ref="W567:W568"/>
    <mergeCell ref="D567:D568"/>
    <mergeCell ref="B21:U21"/>
    <mergeCell ref="B52:U52"/>
    <mergeCell ref="B83:U83"/>
    <mergeCell ref="B71:B72"/>
    <mergeCell ref="C40:C41"/>
    <mergeCell ref="D40:D41"/>
    <mergeCell ref="B145:U145"/>
    <mergeCell ref="B238:U238"/>
    <mergeCell ref="B40:B41"/>
    <mergeCell ref="C71:C72"/>
    <mergeCell ref="W164:W165"/>
    <mergeCell ref="W319:W320"/>
    <mergeCell ref="D257:D258"/>
    <mergeCell ref="W257:W258"/>
    <mergeCell ref="B269:U269"/>
    <mergeCell ref="B362:U362"/>
    <mergeCell ref="B548:U548"/>
    <mergeCell ref="B486:U486"/>
    <mergeCell ref="B288:B289"/>
    <mergeCell ref="C288:C289"/>
    <mergeCell ref="D288:D289"/>
    <mergeCell ref="W288:W289"/>
    <mergeCell ref="I5:I6"/>
    <mergeCell ref="N5:N6"/>
    <mergeCell ref="O5:O6"/>
    <mergeCell ref="P5:P6"/>
    <mergeCell ref="S5:S6"/>
    <mergeCell ref="A133:A134"/>
    <mergeCell ref="B579:U579"/>
    <mergeCell ref="D71:D72"/>
    <mergeCell ref="B133:B134"/>
    <mergeCell ref="C133:C134"/>
    <mergeCell ref="D9:D10"/>
    <mergeCell ref="C164:C165"/>
    <mergeCell ref="D164:D165"/>
    <mergeCell ref="B176:U176"/>
    <mergeCell ref="A319:A320"/>
    <mergeCell ref="B319:B320"/>
    <mergeCell ref="C319:C320"/>
    <mergeCell ref="D319:D320"/>
    <mergeCell ref="B331:U331"/>
    <mergeCell ref="B300:U300"/>
    <mergeCell ref="A257:A258"/>
    <mergeCell ref="B257:B258"/>
    <mergeCell ref="C257:C258"/>
    <mergeCell ref="A288:A289"/>
    <mergeCell ref="W9:W10"/>
    <mergeCell ref="W71:W72"/>
    <mergeCell ref="W40:W41"/>
    <mergeCell ref="B9:B10"/>
    <mergeCell ref="B207:U207"/>
    <mergeCell ref="A226:A227"/>
    <mergeCell ref="B226:B227"/>
    <mergeCell ref="C226:C227"/>
    <mergeCell ref="D226:D227"/>
    <mergeCell ref="W226:W227"/>
    <mergeCell ref="A102:A103"/>
    <mergeCell ref="B102:B103"/>
    <mergeCell ref="C102:C103"/>
    <mergeCell ref="D102:D103"/>
    <mergeCell ref="W102:W103"/>
    <mergeCell ref="B114:U114"/>
    <mergeCell ref="A195:A196"/>
    <mergeCell ref="B195:B196"/>
    <mergeCell ref="C195:C196"/>
    <mergeCell ref="D195:D196"/>
    <mergeCell ref="W195:W196"/>
    <mergeCell ref="W133:W134"/>
    <mergeCell ref="A164:A165"/>
    <mergeCell ref="B164:B165"/>
    <mergeCell ref="A350:A351"/>
    <mergeCell ref="B350:B351"/>
    <mergeCell ref="C350:C351"/>
    <mergeCell ref="D350:D351"/>
    <mergeCell ref="W350:W351"/>
    <mergeCell ref="A381:A382"/>
    <mergeCell ref="B381:B382"/>
    <mergeCell ref="C381:C382"/>
    <mergeCell ref="D381:D382"/>
    <mergeCell ref="W381:W382"/>
    <mergeCell ref="B455:U455"/>
    <mergeCell ref="A474:A475"/>
    <mergeCell ref="B474:B475"/>
    <mergeCell ref="C474:C475"/>
    <mergeCell ref="D474:D475"/>
    <mergeCell ref="W474:W475"/>
    <mergeCell ref="B393:U393"/>
    <mergeCell ref="A412:A413"/>
    <mergeCell ref="B412:B413"/>
    <mergeCell ref="C412:C413"/>
    <mergeCell ref="D412:D413"/>
    <mergeCell ref="W412:W413"/>
    <mergeCell ref="B424:U424"/>
    <mergeCell ref="A443:A444"/>
    <mergeCell ref="B443:B444"/>
    <mergeCell ref="C443:C444"/>
    <mergeCell ref="D443:D444"/>
    <mergeCell ref="W443:W444"/>
    <mergeCell ref="A505:A506"/>
    <mergeCell ref="B505:B506"/>
    <mergeCell ref="C505:C506"/>
    <mergeCell ref="D505:D506"/>
    <mergeCell ref="W505:W506"/>
    <mergeCell ref="B517:U517"/>
    <mergeCell ref="A536:A537"/>
    <mergeCell ref="B536:B537"/>
    <mergeCell ref="C536:C537"/>
    <mergeCell ref="D536:D537"/>
    <mergeCell ref="W536:W537"/>
  </mergeCells>
  <phoneticPr fontId="0" type="noConversion"/>
  <pageMargins left="0.78740157480314965" right="0.78740157480314965" top="1.1811023622047245" bottom="0" header="0.23622047244094491" footer="0"/>
  <pageSetup paperSize="9" scale="81" orientation="landscape" r:id="rId1"/>
  <headerFooter alignWithMargins="0"/>
  <rowBreaks count="1" manualBreakCount="1">
    <brk id="690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XFD303"/>
  <sheetViews>
    <sheetView tabSelected="1" topLeftCell="A85" workbookViewId="0">
      <selection activeCell="G89" sqref="A89:XFD89"/>
    </sheetView>
  </sheetViews>
  <sheetFormatPr defaultColWidth="9.109375" defaultRowHeight="13.2" x14ac:dyDescent="0.25"/>
  <cols>
    <col min="1" max="1" width="3.88671875" style="110" customWidth="1"/>
    <col min="2" max="2" width="30.33203125" style="112" customWidth="1"/>
    <col min="3" max="3" width="9.109375" style="125"/>
    <col min="4" max="5" width="9.109375" style="110"/>
    <col min="6" max="6" width="22.33203125" style="126" customWidth="1"/>
    <col min="7" max="8" width="9.109375" style="110"/>
    <col min="9" max="9" width="23.5546875" style="126" customWidth="1"/>
    <col min="10" max="10" width="8" style="110" customWidth="1"/>
    <col min="11" max="11" width="9.109375" style="110"/>
    <col min="12" max="12" width="21.5546875" style="111" customWidth="1"/>
    <col min="13" max="13" width="11.88671875" style="110" customWidth="1"/>
    <col min="14" max="16384" width="9.109375" style="110"/>
  </cols>
  <sheetData>
    <row r="1" spans="1:13" x14ac:dyDescent="0.25">
      <c r="A1" s="129"/>
      <c r="B1" s="216" t="s">
        <v>250</v>
      </c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129"/>
    </row>
    <row r="2" spans="1:13" x14ac:dyDescent="0.25">
      <c r="A2" s="129"/>
      <c r="B2" s="216" t="s">
        <v>262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129"/>
    </row>
    <row r="3" spans="1:13" x14ac:dyDescent="0.25">
      <c r="A3" s="129"/>
      <c r="B3" s="130" t="s">
        <v>251</v>
      </c>
      <c r="C3" s="131"/>
      <c r="D3" s="129"/>
      <c r="E3" s="129"/>
      <c r="F3" s="132"/>
      <c r="G3" s="129"/>
      <c r="H3" s="129"/>
      <c r="I3" s="132"/>
      <c r="J3" s="129"/>
      <c r="K3" s="129"/>
      <c r="L3" s="133"/>
      <c r="M3" s="129"/>
    </row>
    <row r="4" spans="1:13" ht="27" thickBot="1" x14ac:dyDescent="0.3">
      <c r="A4" s="129"/>
      <c r="B4" s="130" t="s">
        <v>252</v>
      </c>
      <c r="C4" s="131"/>
      <c r="D4" s="129"/>
      <c r="E4" s="129"/>
      <c r="F4" s="132"/>
      <c r="G4" s="129"/>
      <c r="H4" s="129"/>
      <c r="I4" s="132"/>
      <c r="J4" s="129"/>
      <c r="K4" s="129"/>
      <c r="L4" s="133"/>
      <c r="M4" s="129"/>
    </row>
    <row r="5" spans="1:13" s="112" customFormat="1" ht="27" thickBot="1" x14ac:dyDescent="0.3">
      <c r="A5" s="134" t="s">
        <v>227</v>
      </c>
      <c r="B5" s="135" t="s">
        <v>253</v>
      </c>
      <c r="C5" s="135" t="s">
        <v>254</v>
      </c>
      <c r="D5" s="135" t="s">
        <v>255</v>
      </c>
      <c r="E5" s="135" t="s">
        <v>256</v>
      </c>
      <c r="F5" s="135" t="s">
        <v>257</v>
      </c>
      <c r="G5" s="135" t="s">
        <v>258</v>
      </c>
      <c r="H5" s="135" t="s">
        <v>256</v>
      </c>
      <c r="I5" s="135" t="s">
        <v>257</v>
      </c>
      <c r="J5" s="135" t="s">
        <v>259</v>
      </c>
      <c r="K5" s="135" t="s">
        <v>256</v>
      </c>
      <c r="L5" s="135" t="s">
        <v>257</v>
      </c>
      <c r="M5" s="136" t="s">
        <v>260</v>
      </c>
    </row>
    <row r="6" spans="1:13" ht="13.5" customHeight="1" x14ac:dyDescent="0.25">
      <c r="A6" s="204"/>
      <c r="B6" s="208" t="s">
        <v>239</v>
      </c>
      <c r="C6" s="208"/>
      <c r="D6" s="210"/>
      <c r="E6" s="212"/>
      <c r="F6" s="214"/>
      <c r="G6" s="137"/>
      <c r="H6" s="138"/>
      <c r="I6" s="139"/>
      <c r="J6" s="137"/>
      <c r="K6" s="138"/>
      <c r="L6" s="140"/>
      <c r="M6" s="138"/>
    </row>
    <row r="7" spans="1:13" ht="13.8" thickBot="1" x14ac:dyDescent="0.3">
      <c r="A7" s="205"/>
      <c r="B7" s="209"/>
      <c r="C7" s="209"/>
      <c r="D7" s="211"/>
      <c r="E7" s="213"/>
      <c r="F7" s="215"/>
      <c r="G7" s="141"/>
      <c r="H7" s="142"/>
      <c r="I7" s="143"/>
      <c r="J7" s="141"/>
      <c r="K7" s="142"/>
      <c r="L7" s="144"/>
      <c r="M7" s="142"/>
    </row>
    <row r="8" spans="1:13" ht="13.5" customHeight="1" x14ac:dyDescent="0.25">
      <c r="A8" s="204">
        <v>1</v>
      </c>
      <c r="B8" s="206" t="s">
        <v>228</v>
      </c>
      <c r="C8" s="208" t="s">
        <v>264</v>
      </c>
      <c r="D8" s="210">
        <v>2</v>
      </c>
      <c r="E8" s="212"/>
      <c r="F8" s="214" t="s">
        <v>240</v>
      </c>
      <c r="G8" s="137" t="s">
        <v>265</v>
      </c>
      <c r="H8" s="138"/>
      <c r="I8" s="139" t="s">
        <v>240</v>
      </c>
      <c r="J8" s="137"/>
      <c r="K8" s="138"/>
      <c r="L8" s="140"/>
      <c r="M8" s="138"/>
    </row>
    <row r="9" spans="1:13" ht="13.8" thickBot="1" x14ac:dyDescent="0.3">
      <c r="A9" s="205"/>
      <c r="B9" s="207"/>
      <c r="C9" s="209"/>
      <c r="D9" s="211"/>
      <c r="E9" s="213"/>
      <c r="F9" s="215"/>
      <c r="G9" s="141" t="s">
        <v>265</v>
      </c>
      <c r="H9" s="142"/>
      <c r="I9" s="143" t="s">
        <v>240</v>
      </c>
      <c r="J9" s="141"/>
      <c r="K9" s="142"/>
      <c r="L9" s="144"/>
      <c r="M9" s="142"/>
    </row>
    <row r="10" spans="1:13" ht="13.5" customHeight="1" x14ac:dyDescent="0.25">
      <c r="A10" s="204">
        <v>2</v>
      </c>
      <c r="B10" s="206" t="s">
        <v>229</v>
      </c>
      <c r="C10" s="208" t="s">
        <v>264</v>
      </c>
      <c r="D10" s="210">
        <v>2</v>
      </c>
      <c r="E10" s="212"/>
      <c r="F10" s="214" t="s">
        <v>241</v>
      </c>
      <c r="G10" s="137">
        <v>1</v>
      </c>
      <c r="H10" s="138"/>
      <c r="I10" s="139" t="s">
        <v>241</v>
      </c>
      <c r="J10" s="137"/>
      <c r="K10" s="138"/>
      <c r="L10" s="140"/>
      <c r="M10" s="138"/>
    </row>
    <row r="11" spans="1:13" ht="13.8" thickBot="1" x14ac:dyDescent="0.3">
      <c r="A11" s="205"/>
      <c r="B11" s="207"/>
      <c r="C11" s="209"/>
      <c r="D11" s="211"/>
      <c r="E11" s="213"/>
      <c r="F11" s="215"/>
      <c r="G11" s="141">
        <v>1</v>
      </c>
      <c r="H11" s="142"/>
      <c r="I11" s="143" t="s">
        <v>241</v>
      </c>
      <c r="J11" s="141"/>
      <c r="K11" s="142"/>
      <c r="L11" s="144"/>
      <c r="M11" s="142"/>
    </row>
    <row r="12" spans="1:13" ht="13.5" customHeight="1" x14ac:dyDescent="0.25">
      <c r="A12" s="204">
        <v>3</v>
      </c>
      <c r="B12" s="206" t="s">
        <v>235</v>
      </c>
      <c r="C12" s="208" t="s">
        <v>264</v>
      </c>
      <c r="D12" s="210">
        <v>1</v>
      </c>
      <c r="E12" s="212"/>
      <c r="F12" s="214" t="s">
        <v>240</v>
      </c>
      <c r="G12" s="137">
        <v>1</v>
      </c>
      <c r="H12" s="138"/>
      <c r="I12" s="139" t="s">
        <v>240</v>
      </c>
      <c r="J12" s="137">
        <v>1</v>
      </c>
      <c r="K12" s="138"/>
      <c r="L12" s="140" t="s">
        <v>240</v>
      </c>
      <c r="M12" s="138"/>
    </row>
    <row r="13" spans="1:13" ht="27" customHeight="1" thickBot="1" x14ac:dyDescent="0.3">
      <c r="A13" s="205"/>
      <c r="B13" s="207"/>
      <c r="C13" s="209"/>
      <c r="D13" s="211"/>
      <c r="E13" s="213"/>
      <c r="F13" s="215"/>
      <c r="G13" s="141">
        <v>1</v>
      </c>
      <c r="H13" s="142"/>
      <c r="I13" s="143" t="s">
        <v>240</v>
      </c>
      <c r="J13" s="141"/>
      <c r="K13" s="142"/>
      <c r="L13" s="144"/>
      <c r="M13" s="142"/>
    </row>
    <row r="14" spans="1:13" ht="21" customHeight="1" x14ac:dyDescent="0.25">
      <c r="A14" s="204">
        <v>4</v>
      </c>
      <c r="B14" s="206" t="s">
        <v>237</v>
      </c>
      <c r="C14" s="208" t="s">
        <v>268</v>
      </c>
      <c r="D14" s="210">
        <v>2</v>
      </c>
      <c r="E14" s="212"/>
      <c r="F14" s="214" t="s">
        <v>267</v>
      </c>
      <c r="G14" s="137">
        <v>2</v>
      </c>
      <c r="H14" s="138"/>
      <c r="I14" s="139" t="s">
        <v>267</v>
      </c>
      <c r="J14" s="137"/>
      <c r="K14" s="138"/>
      <c r="L14" s="140"/>
      <c r="M14" s="138"/>
    </row>
    <row r="15" spans="1:13" ht="29.25" customHeight="1" thickBot="1" x14ac:dyDescent="0.3">
      <c r="A15" s="205"/>
      <c r="B15" s="207"/>
      <c r="C15" s="209"/>
      <c r="D15" s="211"/>
      <c r="E15" s="213"/>
      <c r="F15" s="215"/>
      <c r="G15" s="141">
        <v>2</v>
      </c>
      <c r="H15" s="142"/>
      <c r="I15" s="143" t="s">
        <v>267</v>
      </c>
      <c r="J15" s="141"/>
      <c r="K15" s="142"/>
      <c r="L15" s="144"/>
      <c r="M15" s="142"/>
    </row>
    <row r="16" spans="1:13" ht="13.5" customHeight="1" x14ac:dyDescent="0.25">
      <c r="A16" s="204">
        <v>5</v>
      </c>
      <c r="B16" s="206" t="s">
        <v>74</v>
      </c>
      <c r="C16" s="208" t="s">
        <v>269</v>
      </c>
      <c r="D16" s="210">
        <v>2</v>
      </c>
      <c r="E16" s="212"/>
      <c r="F16" s="214" t="s">
        <v>242</v>
      </c>
      <c r="G16" s="137">
        <v>1</v>
      </c>
      <c r="H16" s="138"/>
      <c r="I16" s="139" t="s">
        <v>242</v>
      </c>
      <c r="J16" s="137"/>
      <c r="K16" s="138"/>
      <c r="L16" s="140"/>
      <c r="M16" s="138"/>
    </row>
    <row r="17" spans="1:13" ht="13.8" thickBot="1" x14ac:dyDescent="0.3">
      <c r="A17" s="205"/>
      <c r="B17" s="207"/>
      <c r="C17" s="209"/>
      <c r="D17" s="211"/>
      <c r="E17" s="213"/>
      <c r="F17" s="215"/>
      <c r="G17" s="141">
        <v>1</v>
      </c>
      <c r="H17" s="142"/>
      <c r="I17" s="143" t="s">
        <v>242</v>
      </c>
      <c r="J17" s="141"/>
      <c r="K17" s="142"/>
      <c r="L17" s="144"/>
      <c r="M17" s="142"/>
    </row>
    <row r="18" spans="1:13" ht="13.5" customHeight="1" x14ac:dyDescent="0.25">
      <c r="A18" s="204">
        <v>6</v>
      </c>
      <c r="B18" s="206" t="s">
        <v>75</v>
      </c>
      <c r="C18" s="208" t="s">
        <v>270</v>
      </c>
      <c r="D18" s="210">
        <v>2</v>
      </c>
      <c r="E18" s="212"/>
      <c r="F18" s="214" t="s">
        <v>242</v>
      </c>
      <c r="G18" s="137">
        <v>1</v>
      </c>
      <c r="H18" s="138"/>
      <c r="I18" s="139" t="s">
        <v>242</v>
      </c>
      <c r="J18" s="137"/>
      <c r="K18" s="138"/>
      <c r="L18" s="140"/>
      <c r="M18" s="138"/>
    </row>
    <row r="19" spans="1:13" ht="13.8" thickBot="1" x14ac:dyDescent="0.3">
      <c r="A19" s="205"/>
      <c r="B19" s="207"/>
      <c r="C19" s="209"/>
      <c r="D19" s="211"/>
      <c r="E19" s="213"/>
      <c r="F19" s="215"/>
      <c r="G19" s="141"/>
      <c r="H19" s="142"/>
      <c r="I19" s="143"/>
      <c r="J19" s="141"/>
      <c r="K19" s="142"/>
      <c r="L19" s="144"/>
      <c r="M19" s="142"/>
    </row>
    <row r="20" spans="1:13" ht="13.5" customHeight="1" x14ac:dyDescent="0.25">
      <c r="A20" s="204">
        <v>7</v>
      </c>
      <c r="B20" s="206" t="s">
        <v>76</v>
      </c>
      <c r="C20" s="208" t="s">
        <v>271</v>
      </c>
      <c r="D20" s="210">
        <v>2</v>
      </c>
      <c r="E20" s="212"/>
      <c r="F20" s="214" t="s">
        <v>243</v>
      </c>
      <c r="G20" s="137">
        <v>1</v>
      </c>
      <c r="H20" s="138"/>
      <c r="I20" s="139" t="s">
        <v>243</v>
      </c>
      <c r="J20" s="137"/>
      <c r="K20" s="138"/>
      <c r="L20" s="140"/>
      <c r="M20" s="138"/>
    </row>
    <row r="21" spans="1:13" ht="13.8" thickBot="1" x14ac:dyDescent="0.3">
      <c r="A21" s="205"/>
      <c r="B21" s="207"/>
      <c r="C21" s="209"/>
      <c r="D21" s="211"/>
      <c r="E21" s="213"/>
      <c r="F21" s="215"/>
      <c r="G21" s="141">
        <v>1</v>
      </c>
      <c r="H21" s="142"/>
      <c r="I21" s="143" t="s">
        <v>243</v>
      </c>
      <c r="J21" s="141"/>
      <c r="K21" s="142"/>
      <c r="L21" s="144"/>
      <c r="M21" s="142"/>
    </row>
    <row r="22" spans="1:13" ht="13.5" customHeight="1" x14ac:dyDescent="0.25">
      <c r="A22" s="204">
        <v>8</v>
      </c>
      <c r="B22" s="206" t="s">
        <v>77</v>
      </c>
      <c r="C22" s="208" t="s">
        <v>273</v>
      </c>
      <c r="D22" s="210">
        <v>1</v>
      </c>
      <c r="E22" s="210">
        <v>1</v>
      </c>
      <c r="F22" s="214" t="s">
        <v>272</v>
      </c>
      <c r="G22" s="137">
        <v>3</v>
      </c>
      <c r="H22" s="138"/>
      <c r="I22" s="139" t="s">
        <v>272</v>
      </c>
      <c r="J22" s="137"/>
      <c r="K22" s="138"/>
      <c r="L22" s="140"/>
      <c r="M22" s="138"/>
    </row>
    <row r="23" spans="1:13" ht="13.8" thickBot="1" x14ac:dyDescent="0.3">
      <c r="A23" s="205"/>
      <c r="B23" s="207"/>
      <c r="C23" s="209"/>
      <c r="D23" s="211"/>
      <c r="E23" s="211"/>
      <c r="F23" s="215"/>
      <c r="G23" s="141">
        <v>3</v>
      </c>
      <c r="H23" s="142"/>
      <c r="I23" s="143" t="s">
        <v>272</v>
      </c>
      <c r="J23" s="141"/>
      <c r="K23" s="142"/>
      <c r="L23" s="144"/>
      <c r="M23" s="142"/>
    </row>
    <row r="24" spans="1:13" ht="13.5" customHeight="1" x14ac:dyDescent="0.25">
      <c r="A24" s="204">
        <v>9</v>
      </c>
      <c r="B24" s="206" t="s">
        <v>78</v>
      </c>
      <c r="C24" s="208" t="s">
        <v>274</v>
      </c>
      <c r="D24" s="210">
        <v>2</v>
      </c>
      <c r="E24" s="212"/>
      <c r="F24" s="214" t="s">
        <v>244</v>
      </c>
      <c r="G24" s="137">
        <v>2</v>
      </c>
      <c r="H24" s="138"/>
      <c r="I24" s="139" t="s">
        <v>244</v>
      </c>
      <c r="J24" s="137"/>
      <c r="K24" s="138"/>
      <c r="L24" s="140"/>
      <c r="M24" s="138"/>
    </row>
    <row r="25" spans="1:13" ht="13.8" thickBot="1" x14ac:dyDescent="0.3">
      <c r="A25" s="205"/>
      <c r="B25" s="207"/>
      <c r="C25" s="209"/>
      <c r="D25" s="211"/>
      <c r="E25" s="213"/>
      <c r="F25" s="215"/>
      <c r="G25" s="141">
        <v>2</v>
      </c>
      <c r="H25" s="142"/>
      <c r="I25" s="143" t="s">
        <v>244</v>
      </c>
      <c r="J25" s="141"/>
      <c r="K25" s="142"/>
      <c r="L25" s="144"/>
      <c r="M25" s="142"/>
    </row>
    <row r="26" spans="1:13" ht="13.5" customHeight="1" x14ac:dyDescent="0.25">
      <c r="A26" s="204">
        <v>10</v>
      </c>
      <c r="B26" s="206" t="s">
        <v>79</v>
      </c>
      <c r="C26" s="208" t="s">
        <v>275</v>
      </c>
      <c r="D26" s="210">
        <v>2</v>
      </c>
      <c r="E26" s="212"/>
      <c r="F26" s="214" t="s">
        <v>244</v>
      </c>
      <c r="G26" s="137">
        <v>2</v>
      </c>
      <c r="H26" s="138"/>
      <c r="I26" s="139" t="s">
        <v>244</v>
      </c>
      <c r="J26" s="137"/>
      <c r="K26" s="138"/>
      <c r="L26" s="140"/>
      <c r="M26" s="138"/>
    </row>
    <row r="27" spans="1:13" ht="13.8" thickBot="1" x14ac:dyDescent="0.3">
      <c r="A27" s="205"/>
      <c r="B27" s="207"/>
      <c r="C27" s="209"/>
      <c r="D27" s="211"/>
      <c r="E27" s="213"/>
      <c r="F27" s="215"/>
      <c r="G27" s="141"/>
      <c r="H27" s="142"/>
      <c r="I27" s="143"/>
      <c r="J27" s="141"/>
      <c r="K27" s="142"/>
      <c r="L27" s="144"/>
      <c r="M27" s="142"/>
    </row>
    <row r="28" spans="1:13" ht="13.5" customHeight="1" x14ac:dyDescent="0.25">
      <c r="A28" s="204"/>
      <c r="B28" s="217" t="s">
        <v>245</v>
      </c>
      <c r="C28" s="208"/>
      <c r="D28" s="210"/>
      <c r="E28" s="212"/>
      <c r="F28" s="214"/>
      <c r="G28" s="137"/>
      <c r="H28" s="138"/>
      <c r="I28" s="139"/>
      <c r="J28" s="137"/>
      <c r="K28" s="138"/>
      <c r="L28" s="140"/>
      <c r="M28" s="138"/>
    </row>
    <row r="29" spans="1:13" ht="13.8" thickBot="1" x14ac:dyDescent="0.3">
      <c r="A29" s="205"/>
      <c r="B29" s="207"/>
      <c r="C29" s="209"/>
      <c r="D29" s="211"/>
      <c r="E29" s="213"/>
      <c r="F29" s="215"/>
      <c r="G29" s="141"/>
      <c r="H29" s="142"/>
      <c r="I29" s="143"/>
      <c r="J29" s="141"/>
      <c r="K29" s="142"/>
      <c r="L29" s="144"/>
      <c r="M29" s="142"/>
    </row>
    <row r="30" spans="1:13" ht="13.5" customHeight="1" x14ac:dyDescent="0.25">
      <c r="A30" s="204">
        <v>11</v>
      </c>
      <c r="B30" s="206" t="s">
        <v>64</v>
      </c>
      <c r="C30" s="208" t="s">
        <v>276</v>
      </c>
      <c r="D30" s="210">
        <v>3</v>
      </c>
      <c r="E30" s="212"/>
      <c r="F30" s="214" t="s">
        <v>246</v>
      </c>
      <c r="G30" s="137">
        <v>2</v>
      </c>
      <c r="H30" s="138"/>
      <c r="I30" s="139" t="s">
        <v>246</v>
      </c>
      <c r="J30" s="137"/>
      <c r="K30" s="138"/>
      <c r="L30" s="140"/>
      <c r="M30" s="138"/>
    </row>
    <row r="31" spans="1:13" ht="26.25" customHeight="1" thickBot="1" x14ac:dyDescent="0.3">
      <c r="A31" s="205"/>
      <c r="B31" s="207"/>
      <c r="C31" s="209"/>
      <c r="D31" s="211"/>
      <c r="E31" s="213"/>
      <c r="F31" s="215"/>
      <c r="G31" s="141">
        <v>2</v>
      </c>
      <c r="H31" s="142"/>
      <c r="I31" s="143" t="s">
        <v>246</v>
      </c>
      <c r="J31" s="141"/>
      <c r="K31" s="142"/>
      <c r="L31" s="144"/>
      <c r="M31" s="142"/>
    </row>
    <row r="32" spans="1:13" ht="13.5" customHeight="1" x14ac:dyDescent="0.25">
      <c r="A32" s="204">
        <v>12</v>
      </c>
      <c r="B32" s="206" t="s">
        <v>65</v>
      </c>
      <c r="C32" s="208" t="s">
        <v>276</v>
      </c>
      <c r="D32" s="210">
        <v>2</v>
      </c>
      <c r="E32" s="212"/>
      <c r="F32" s="214" t="s">
        <v>242</v>
      </c>
      <c r="G32" s="137">
        <v>2</v>
      </c>
      <c r="H32" s="138"/>
      <c r="I32" s="139" t="s">
        <v>242</v>
      </c>
      <c r="J32" s="137"/>
      <c r="K32" s="138"/>
      <c r="L32" s="140"/>
      <c r="M32" s="138"/>
    </row>
    <row r="33" spans="1:13" ht="25.5" customHeight="1" thickBot="1" x14ac:dyDescent="0.3">
      <c r="A33" s="205"/>
      <c r="B33" s="207"/>
      <c r="C33" s="209"/>
      <c r="D33" s="211"/>
      <c r="E33" s="213"/>
      <c r="F33" s="215"/>
      <c r="G33" s="141">
        <v>2</v>
      </c>
      <c r="H33" s="142"/>
      <c r="I33" s="143" t="s">
        <v>242</v>
      </c>
      <c r="J33" s="141"/>
      <c r="K33" s="142"/>
      <c r="L33" s="144"/>
      <c r="M33" s="142"/>
    </row>
    <row r="34" spans="1:13" ht="13.5" customHeight="1" x14ac:dyDescent="0.25">
      <c r="A34" s="204">
        <v>13</v>
      </c>
      <c r="B34" s="206" t="s">
        <v>70</v>
      </c>
      <c r="C34" s="208" t="s">
        <v>278</v>
      </c>
      <c r="D34" s="210">
        <v>2</v>
      </c>
      <c r="E34" s="212"/>
      <c r="F34" s="214" t="s">
        <v>277</v>
      </c>
      <c r="G34" s="137">
        <v>2</v>
      </c>
      <c r="H34" s="138"/>
      <c r="I34" s="139" t="s">
        <v>279</v>
      </c>
      <c r="J34" s="137"/>
      <c r="K34" s="138"/>
      <c r="L34" s="140"/>
      <c r="M34" s="138"/>
    </row>
    <row r="35" spans="1:13" ht="27" thickBot="1" x14ac:dyDescent="0.3">
      <c r="A35" s="205"/>
      <c r="B35" s="207"/>
      <c r="C35" s="209"/>
      <c r="D35" s="211"/>
      <c r="E35" s="213"/>
      <c r="F35" s="215"/>
      <c r="G35" s="141">
        <v>2</v>
      </c>
      <c r="H35" s="142"/>
      <c r="I35" s="143" t="s">
        <v>277</v>
      </c>
      <c r="J35" s="141"/>
      <c r="K35" s="142"/>
      <c r="L35" s="144"/>
      <c r="M35" s="142"/>
    </row>
    <row r="36" spans="1:13" ht="13.5" customHeight="1" x14ac:dyDescent="0.25">
      <c r="A36" s="204">
        <v>14</v>
      </c>
      <c r="B36" s="206" t="s">
        <v>71</v>
      </c>
      <c r="C36" s="208" t="s">
        <v>278</v>
      </c>
      <c r="D36" s="210">
        <v>2</v>
      </c>
      <c r="E36" s="212"/>
      <c r="F36" s="214" t="s">
        <v>241</v>
      </c>
      <c r="G36" s="137">
        <v>1</v>
      </c>
      <c r="H36" s="138"/>
      <c r="I36" s="139" t="s">
        <v>241</v>
      </c>
      <c r="J36" s="137"/>
      <c r="K36" s="138"/>
      <c r="L36" s="140"/>
      <c r="M36" s="138"/>
    </row>
    <row r="37" spans="1:13" ht="13.8" thickBot="1" x14ac:dyDescent="0.3">
      <c r="A37" s="205"/>
      <c r="B37" s="207"/>
      <c r="C37" s="209"/>
      <c r="D37" s="211"/>
      <c r="E37" s="213"/>
      <c r="F37" s="215"/>
      <c r="G37" s="141">
        <v>1</v>
      </c>
      <c r="H37" s="142"/>
      <c r="I37" s="143" t="s">
        <v>241</v>
      </c>
      <c r="J37" s="141"/>
      <c r="K37" s="142"/>
      <c r="L37" s="144"/>
      <c r="M37" s="142"/>
    </row>
    <row r="38" spans="1:13" ht="13.5" customHeight="1" x14ac:dyDescent="0.25">
      <c r="A38" s="204">
        <v>15</v>
      </c>
      <c r="B38" s="206" t="s">
        <v>72</v>
      </c>
      <c r="C38" s="208" t="s">
        <v>281</v>
      </c>
      <c r="D38" s="210">
        <v>2</v>
      </c>
      <c r="E38" s="212"/>
      <c r="F38" s="214" t="s">
        <v>280</v>
      </c>
      <c r="G38" s="137"/>
      <c r="H38" s="138"/>
      <c r="I38" s="139"/>
      <c r="J38" s="137">
        <v>1</v>
      </c>
      <c r="K38" s="138"/>
      <c r="L38" s="140" t="s">
        <v>280</v>
      </c>
      <c r="M38" s="138"/>
    </row>
    <row r="39" spans="1:13" ht="13.8" thickBot="1" x14ac:dyDescent="0.3">
      <c r="A39" s="205"/>
      <c r="B39" s="207"/>
      <c r="C39" s="209"/>
      <c r="D39" s="211"/>
      <c r="E39" s="213"/>
      <c r="F39" s="215"/>
      <c r="G39" s="141"/>
      <c r="H39" s="142"/>
      <c r="I39" s="143"/>
      <c r="J39" s="141"/>
      <c r="K39" s="142"/>
      <c r="L39" s="144"/>
      <c r="M39" s="142"/>
    </row>
    <row r="40" spans="1:13" ht="13.5" customHeight="1" x14ac:dyDescent="0.25">
      <c r="A40" s="204"/>
      <c r="B40" s="217" t="s">
        <v>247</v>
      </c>
      <c r="C40" s="208"/>
      <c r="D40" s="210"/>
      <c r="E40" s="212"/>
      <c r="F40" s="214"/>
      <c r="G40" s="137"/>
      <c r="H40" s="138"/>
      <c r="I40" s="139"/>
      <c r="J40" s="137"/>
      <c r="K40" s="138"/>
      <c r="L40" s="140"/>
      <c r="M40" s="138"/>
    </row>
    <row r="41" spans="1:13" ht="27" customHeight="1" thickBot="1" x14ac:dyDescent="0.3">
      <c r="A41" s="205"/>
      <c r="B41" s="207"/>
      <c r="C41" s="209"/>
      <c r="D41" s="211"/>
      <c r="E41" s="213"/>
      <c r="F41" s="215"/>
      <c r="G41" s="141"/>
      <c r="H41" s="142"/>
      <c r="I41" s="143"/>
      <c r="J41" s="141"/>
      <c r="K41" s="142"/>
      <c r="L41" s="144"/>
      <c r="M41" s="142"/>
    </row>
    <row r="42" spans="1:13" ht="21" customHeight="1" x14ac:dyDescent="0.25">
      <c r="A42" s="204">
        <v>16</v>
      </c>
      <c r="B42" s="206" t="s">
        <v>66</v>
      </c>
      <c r="C42" s="208" t="s">
        <v>282</v>
      </c>
      <c r="D42" s="210">
        <v>2</v>
      </c>
      <c r="E42" s="212"/>
      <c r="F42" s="214" t="s">
        <v>272</v>
      </c>
      <c r="G42" s="137">
        <v>2</v>
      </c>
      <c r="H42" s="138"/>
      <c r="I42" s="139" t="s">
        <v>272</v>
      </c>
      <c r="J42" s="137"/>
      <c r="K42" s="138"/>
      <c r="L42" s="140"/>
      <c r="M42" s="138"/>
    </row>
    <row r="43" spans="1:13" ht="13.8" thickBot="1" x14ac:dyDescent="0.3">
      <c r="A43" s="205"/>
      <c r="B43" s="207"/>
      <c r="C43" s="209"/>
      <c r="D43" s="211"/>
      <c r="E43" s="213"/>
      <c r="F43" s="215"/>
      <c r="G43" s="141">
        <v>2</v>
      </c>
      <c r="H43" s="142"/>
      <c r="I43" s="143" t="s">
        <v>272</v>
      </c>
      <c r="J43" s="141"/>
      <c r="K43" s="142"/>
      <c r="L43" s="144"/>
      <c r="M43" s="142"/>
    </row>
    <row r="44" spans="1:13" ht="13.5" customHeight="1" x14ac:dyDescent="0.25">
      <c r="A44" s="204"/>
      <c r="B44" s="217"/>
      <c r="C44" s="208" t="s">
        <v>283</v>
      </c>
      <c r="D44" s="210"/>
      <c r="E44" s="212"/>
      <c r="F44" s="214"/>
      <c r="G44" s="137">
        <v>2</v>
      </c>
      <c r="H44" s="138"/>
      <c r="I44" s="139" t="s">
        <v>272</v>
      </c>
      <c r="J44" s="137"/>
      <c r="K44" s="138"/>
      <c r="L44" s="140"/>
      <c r="M44" s="138"/>
    </row>
    <row r="45" spans="1:13" ht="25.5" customHeight="1" thickBot="1" x14ac:dyDescent="0.3">
      <c r="A45" s="205"/>
      <c r="B45" s="207"/>
      <c r="C45" s="209"/>
      <c r="D45" s="211"/>
      <c r="E45" s="213"/>
      <c r="F45" s="215"/>
      <c r="G45" s="141"/>
      <c r="H45" s="142"/>
      <c r="I45" s="143"/>
      <c r="J45" s="141"/>
      <c r="K45" s="142"/>
      <c r="L45" s="144"/>
      <c r="M45" s="142"/>
    </row>
    <row r="46" spans="1:13" ht="23.25" customHeight="1" x14ac:dyDescent="0.25">
      <c r="A46" s="204">
        <v>17</v>
      </c>
      <c r="B46" s="206" t="s">
        <v>73</v>
      </c>
      <c r="C46" s="208" t="s">
        <v>285</v>
      </c>
      <c r="D46" s="210">
        <v>2</v>
      </c>
      <c r="E46" s="212"/>
      <c r="F46" s="214" t="s">
        <v>284</v>
      </c>
      <c r="G46" s="137">
        <v>2</v>
      </c>
      <c r="H46" s="138"/>
      <c r="I46" s="139" t="s">
        <v>267</v>
      </c>
      <c r="J46" s="137"/>
      <c r="K46" s="138"/>
      <c r="L46" s="140"/>
      <c r="M46" s="138"/>
    </row>
    <row r="47" spans="1:13" ht="27" thickBot="1" x14ac:dyDescent="0.3">
      <c r="A47" s="205"/>
      <c r="B47" s="207"/>
      <c r="C47" s="209"/>
      <c r="D47" s="211"/>
      <c r="E47" s="213"/>
      <c r="F47" s="215"/>
      <c r="G47" s="141">
        <v>2</v>
      </c>
      <c r="H47" s="142"/>
      <c r="I47" s="143" t="s">
        <v>267</v>
      </c>
      <c r="J47" s="141"/>
      <c r="K47" s="142"/>
      <c r="L47" s="144"/>
      <c r="M47" s="142"/>
    </row>
    <row r="48" spans="1:13" ht="13.5" customHeight="1" x14ac:dyDescent="0.25">
      <c r="A48" s="204"/>
      <c r="B48" s="217" t="s">
        <v>248</v>
      </c>
      <c r="C48" s="208"/>
      <c r="D48" s="210"/>
      <c r="E48" s="212"/>
      <c r="F48" s="214"/>
      <c r="G48" s="137"/>
      <c r="H48" s="138"/>
      <c r="I48" s="139"/>
      <c r="J48" s="137"/>
      <c r="K48" s="138"/>
      <c r="L48" s="140"/>
      <c r="M48" s="138"/>
    </row>
    <row r="49" spans="1:13" ht="13.8" thickBot="1" x14ac:dyDescent="0.3">
      <c r="A49" s="205"/>
      <c r="B49" s="207"/>
      <c r="C49" s="209"/>
      <c r="D49" s="211"/>
      <c r="E49" s="213"/>
      <c r="F49" s="215"/>
      <c r="G49" s="141"/>
      <c r="H49" s="142"/>
      <c r="I49" s="143"/>
      <c r="J49" s="141"/>
      <c r="K49" s="142"/>
      <c r="L49" s="144"/>
      <c r="M49" s="142"/>
    </row>
    <row r="50" spans="1:13" ht="13.5" customHeight="1" x14ac:dyDescent="0.25">
      <c r="A50" s="204">
        <v>18</v>
      </c>
      <c r="B50" s="206" t="s">
        <v>67</v>
      </c>
      <c r="C50" s="208" t="s">
        <v>286</v>
      </c>
      <c r="D50" s="210">
        <v>4</v>
      </c>
      <c r="E50" s="212"/>
      <c r="F50" s="214" t="s">
        <v>277</v>
      </c>
      <c r="G50" s="137">
        <v>3</v>
      </c>
      <c r="H50" s="138"/>
      <c r="I50" s="139" t="s">
        <v>279</v>
      </c>
      <c r="J50" s="137"/>
      <c r="K50" s="138"/>
      <c r="L50" s="140"/>
      <c r="M50" s="138"/>
    </row>
    <row r="51" spans="1:13" ht="26.25" customHeight="1" thickBot="1" x14ac:dyDescent="0.3">
      <c r="A51" s="205"/>
      <c r="B51" s="207"/>
      <c r="C51" s="209"/>
      <c r="D51" s="211"/>
      <c r="E51" s="213"/>
      <c r="F51" s="215"/>
      <c r="G51" s="141">
        <v>3</v>
      </c>
      <c r="H51" s="142"/>
      <c r="I51" s="143" t="s">
        <v>279</v>
      </c>
      <c r="J51" s="141"/>
      <c r="K51" s="142"/>
      <c r="L51" s="144"/>
      <c r="M51" s="142"/>
    </row>
    <row r="52" spans="1:13" ht="13.5" customHeight="1" x14ac:dyDescent="0.25">
      <c r="A52" s="204"/>
      <c r="B52" s="217"/>
      <c r="C52" s="208" t="s">
        <v>287</v>
      </c>
      <c r="D52" s="210"/>
      <c r="E52" s="212"/>
      <c r="F52" s="214"/>
      <c r="G52" s="137">
        <v>3</v>
      </c>
      <c r="H52" s="138"/>
      <c r="I52" s="139" t="s">
        <v>277</v>
      </c>
      <c r="J52" s="137"/>
      <c r="K52" s="138"/>
      <c r="L52" s="140"/>
      <c r="M52" s="138"/>
    </row>
    <row r="53" spans="1:13" ht="27.75" customHeight="1" thickBot="1" x14ac:dyDescent="0.3">
      <c r="A53" s="205"/>
      <c r="B53" s="207"/>
      <c r="C53" s="209"/>
      <c r="D53" s="211"/>
      <c r="E53" s="213"/>
      <c r="F53" s="215"/>
      <c r="G53" s="141"/>
      <c r="H53" s="142"/>
      <c r="I53" s="143"/>
      <c r="J53" s="141"/>
      <c r="K53" s="142"/>
      <c r="L53" s="144"/>
      <c r="M53" s="142"/>
    </row>
    <row r="54" spans="1:13" ht="25.5" customHeight="1" x14ac:dyDescent="0.25">
      <c r="A54" s="204">
        <v>19</v>
      </c>
      <c r="B54" s="206" t="s">
        <v>68</v>
      </c>
      <c r="C54" s="208" t="s">
        <v>286</v>
      </c>
      <c r="D54" s="210">
        <v>2</v>
      </c>
      <c r="E54" s="212"/>
      <c r="F54" s="214" t="s">
        <v>288</v>
      </c>
      <c r="G54" s="137">
        <v>2</v>
      </c>
      <c r="H54" s="138"/>
      <c r="I54" s="139" t="s">
        <v>289</v>
      </c>
      <c r="J54" s="137"/>
      <c r="K54" s="138"/>
      <c r="L54" s="140"/>
      <c r="M54" s="138"/>
    </row>
    <row r="55" spans="1:13" ht="13.8" thickBot="1" x14ac:dyDescent="0.3">
      <c r="A55" s="205"/>
      <c r="B55" s="207"/>
      <c r="C55" s="209"/>
      <c r="D55" s="211"/>
      <c r="E55" s="213"/>
      <c r="F55" s="215"/>
      <c r="G55" s="141">
        <v>2</v>
      </c>
      <c r="H55" s="142"/>
      <c r="I55" s="143" t="s">
        <v>289</v>
      </c>
      <c r="J55" s="141"/>
      <c r="K55" s="142"/>
      <c r="L55" s="144"/>
      <c r="M55" s="142"/>
    </row>
    <row r="56" spans="1:13" ht="25.5" customHeight="1" x14ac:dyDescent="0.25">
      <c r="A56" s="204"/>
      <c r="B56" s="217"/>
      <c r="C56" s="208" t="s">
        <v>287</v>
      </c>
      <c r="D56" s="210"/>
      <c r="E56" s="212"/>
      <c r="F56" s="214"/>
      <c r="G56" s="137">
        <v>2</v>
      </c>
      <c r="H56" s="138"/>
      <c r="I56" s="139" t="s">
        <v>288</v>
      </c>
      <c r="J56" s="137"/>
      <c r="K56" s="138"/>
      <c r="L56" s="140"/>
      <c r="M56" s="138"/>
    </row>
    <row r="57" spans="1:13" ht="13.8" thickBot="1" x14ac:dyDescent="0.3">
      <c r="A57" s="205"/>
      <c r="B57" s="207"/>
      <c r="C57" s="209"/>
      <c r="D57" s="211"/>
      <c r="E57" s="213"/>
      <c r="F57" s="215"/>
      <c r="G57" s="141"/>
      <c r="H57" s="142"/>
      <c r="I57" s="143"/>
      <c r="J57" s="141"/>
      <c r="K57" s="142"/>
      <c r="L57" s="144"/>
      <c r="M57" s="142"/>
    </row>
    <row r="58" spans="1:13" ht="25.5" customHeight="1" x14ac:dyDescent="0.25">
      <c r="A58" s="204">
        <v>20</v>
      </c>
      <c r="B58" s="206" t="s">
        <v>69</v>
      </c>
      <c r="C58" s="208" t="s">
        <v>286</v>
      </c>
      <c r="D58" s="210">
        <v>3</v>
      </c>
      <c r="E58" s="212"/>
      <c r="F58" s="214" t="s">
        <v>249</v>
      </c>
      <c r="G58" s="137">
        <v>2</v>
      </c>
      <c r="H58" s="138"/>
      <c r="I58" s="139" t="s">
        <v>249</v>
      </c>
      <c r="J58" s="137"/>
      <c r="K58" s="138"/>
      <c r="L58" s="140"/>
      <c r="M58" s="138"/>
    </row>
    <row r="59" spans="1:13" ht="27" thickBot="1" x14ac:dyDescent="0.3">
      <c r="A59" s="205"/>
      <c r="B59" s="207"/>
      <c r="C59" s="209"/>
      <c r="D59" s="211"/>
      <c r="E59" s="213"/>
      <c r="F59" s="215"/>
      <c r="G59" s="141">
        <v>2</v>
      </c>
      <c r="H59" s="142"/>
      <c r="I59" s="143" t="s">
        <v>249</v>
      </c>
      <c r="J59" s="141"/>
      <c r="K59" s="142"/>
      <c r="L59" s="144"/>
      <c r="M59" s="142"/>
    </row>
    <row r="60" spans="1:13" ht="25.5" customHeight="1" x14ac:dyDescent="0.25">
      <c r="A60" s="204"/>
      <c r="B60" s="217"/>
      <c r="C60" s="208" t="s">
        <v>287</v>
      </c>
      <c r="D60" s="210"/>
      <c r="E60" s="212"/>
      <c r="F60" s="214"/>
      <c r="G60" s="137">
        <v>2</v>
      </c>
      <c r="H60" s="138"/>
      <c r="I60" s="139" t="s">
        <v>249</v>
      </c>
      <c r="J60" s="137"/>
      <c r="K60" s="138"/>
      <c r="L60" s="140"/>
      <c r="M60" s="138"/>
    </row>
    <row r="61" spans="1:13" ht="13.8" thickBot="1" x14ac:dyDescent="0.3">
      <c r="A61" s="205"/>
      <c r="B61" s="207"/>
      <c r="C61" s="209"/>
      <c r="D61" s="211"/>
      <c r="E61" s="213"/>
      <c r="F61" s="215"/>
      <c r="G61" s="141"/>
      <c r="H61" s="142"/>
      <c r="I61" s="143"/>
      <c r="J61" s="141"/>
      <c r="K61" s="142"/>
      <c r="L61" s="144"/>
      <c r="M61" s="142"/>
    </row>
    <row r="62" spans="1:13" ht="25.5" customHeight="1" x14ac:dyDescent="0.25">
      <c r="A62" s="204"/>
      <c r="B62" s="217"/>
      <c r="C62" s="208"/>
      <c r="D62" s="210"/>
      <c r="E62" s="212"/>
      <c r="F62" s="214"/>
      <c r="G62" s="137"/>
      <c r="H62" s="138"/>
      <c r="I62" s="139"/>
      <c r="J62" s="137"/>
      <c r="K62" s="138"/>
      <c r="L62" s="140"/>
      <c r="M62" s="138"/>
    </row>
    <row r="63" spans="1:13" ht="13.8" thickBot="1" x14ac:dyDescent="0.3">
      <c r="A63" s="205"/>
      <c r="B63" s="207"/>
      <c r="C63" s="209"/>
      <c r="D63" s="211"/>
      <c r="E63" s="213"/>
      <c r="F63" s="215"/>
      <c r="G63" s="141"/>
      <c r="H63" s="142"/>
      <c r="I63" s="143"/>
      <c r="J63" s="141"/>
      <c r="K63" s="142"/>
      <c r="L63" s="144"/>
      <c r="M63" s="142"/>
    </row>
    <row r="64" spans="1:13" ht="25.5" customHeight="1" x14ac:dyDescent="0.25">
      <c r="A64" s="204"/>
      <c r="B64" s="217" t="s">
        <v>239</v>
      </c>
      <c r="C64" s="208"/>
      <c r="D64" s="210"/>
      <c r="E64" s="212"/>
      <c r="F64" s="214"/>
      <c r="G64" s="137"/>
      <c r="H64" s="138"/>
      <c r="I64" s="139"/>
      <c r="J64" s="137"/>
      <c r="K64" s="138"/>
      <c r="L64" s="140"/>
      <c r="M64" s="138"/>
    </row>
    <row r="65" spans="1:13" ht="13.8" thickBot="1" x14ac:dyDescent="0.3">
      <c r="A65" s="205"/>
      <c r="B65" s="207"/>
      <c r="C65" s="209"/>
      <c r="D65" s="211"/>
      <c r="E65" s="213"/>
      <c r="F65" s="215"/>
      <c r="G65" s="141"/>
      <c r="H65" s="142"/>
      <c r="I65" s="143"/>
      <c r="J65" s="141"/>
      <c r="K65" s="142"/>
      <c r="L65" s="144"/>
      <c r="M65" s="142"/>
    </row>
    <row r="66" spans="1:13" ht="25.5" customHeight="1" x14ac:dyDescent="0.25">
      <c r="A66" s="204">
        <v>1</v>
      </c>
      <c r="B66" s="206" t="s">
        <v>145</v>
      </c>
      <c r="C66" s="208" t="s">
        <v>290</v>
      </c>
      <c r="D66" s="210" t="s">
        <v>265</v>
      </c>
      <c r="E66" s="212"/>
      <c r="F66" s="214" t="s">
        <v>243</v>
      </c>
      <c r="G66" s="137" t="s">
        <v>265</v>
      </c>
      <c r="H66" s="138"/>
      <c r="I66" s="139" t="s">
        <v>243</v>
      </c>
      <c r="J66" s="137">
        <v>1</v>
      </c>
      <c r="K66" s="138"/>
      <c r="L66" s="140" t="s">
        <v>243</v>
      </c>
      <c r="M66" s="138"/>
    </row>
    <row r="67" spans="1:13" ht="13.8" thickBot="1" x14ac:dyDescent="0.3">
      <c r="A67" s="205"/>
      <c r="B67" s="207"/>
      <c r="C67" s="209"/>
      <c r="D67" s="211"/>
      <c r="E67" s="213"/>
      <c r="F67" s="215"/>
      <c r="G67" s="141"/>
      <c r="H67" s="142"/>
      <c r="I67" s="143"/>
      <c r="J67" s="141"/>
      <c r="K67" s="142"/>
      <c r="L67" s="144"/>
      <c r="M67" s="142"/>
    </row>
    <row r="68" spans="1:13" ht="25.5" customHeight="1" x14ac:dyDescent="0.25">
      <c r="A68" s="204">
        <v>2</v>
      </c>
      <c r="B68" s="206" t="s">
        <v>146</v>
      </c>
      <c r="C68" s="208" t="s">
        <v>266</v>
      </c>
      <c r="D68" s="210">
        <v>1</v>
      </c>
      <c r="E68" s="212"/>
      <c r="F68" s="214" t="s">
        <v>288</v>
      </c>
      <c r="G68" s="137"/>
      <c r="H68" s="138"/>
      <c r="I68" s="139"/>
      <c r="J68" s="137">
        <v>1</v>
      </c>
      <c r="K68" s="138"/>
      <c r="L68" s="140" t="s">
        <v>288</v>
      </c>
      <c r="M68" s="138"/>
    </row>
    <row r="69" spans="1:13" ht="13.8" thickBot="1" x14ac:dyDescent="0.3">
      <c r="A69" s="205"/>
      <c r="B69" s="207"/>
      <c r="C69" s="209"/>
      <c r="D69" s="211"/>
      <c r="E69" s="213"/>
      <c r="F69" s="215"/>
      <c r="G69" s="141"/>
      <c r="H69" s="142"/>
      <c r="I69" s="143"/>
      <c r="J69" s="141"/>
      <c r="K69" s="142"/>
      <c r="L69" s="144"/>
      <c r="M69" s="142"/>
    </row>
    <row r="70" spans="1:13" ht="25.5" customHeight="1" x14ac:dyDescent="0.25">
      <c r="A70" s="204">
        <v>3</v>
      </c>
      <c r="B70" s="206" t="s">
        <v>148</v>
      </c>
      <c r="C70" s="208" t="s">
        <v>290</v>
      </c>
      <c r="D70" s="210">
        <v>2</v>
      </c>
      <c r="E70" s="212"/>
      <c r="F70" s="214" t="s">
        <v>284</v>
      </c>
      <c r="G70" s="137" t="s">
        <v>265</v>
      </c>
      <c r="H70" s="138"/>
      <c r="I70" s="139" t="s">
        <v>284</v>
      </c>
      <c r="J70" s="137"/>
      <c r="K70" s="138"/>
      <c r="L70" s="140"/>
      <c r="M70" s="138"/>
    </row>
    <row r="71" spans="1:13" ht="13.8" thickBot="1" x14ac:dyDescent="0.3">
      <c r="A71" s="205"/>
      <c r="B71" s="207"/>
      <c r="C71" s="209"/>
      <c r="D71" s="211"/>
      <c r="E71" s="213"/>
      <c r="F71" s="215"/>
      <c r="G71" s="141"/>
      <c r="H71" s="142"/>
      <c r="I71" s="143"/>
      <c r="J71" s="141"/>
      <c r="K71" s="142"/>
      <c r="L71" s="144"/>
      <c r="M71" s="142"/>
    </row>
    <row r="72" spans="1:13" ht="25.5" customHeight="1" x14ac:dyDescent="0.25">
      <c r="A72" s="204">
        <v>4</v>
      </c>
      <c r="B72" s="206" t="s">
        <v>233</v>
      </c>
      <c r="C72" s="208" t="s">
        <v>290</v>
      </c>
      <c r="D72" s="210" t="s">
        <v>265</v>
      </c>
      <c r="E72" s="212"/>
      <c r="F72" s="214" t="s">
        <v>288</v>
      </c>
      <c r="G72" s="137">
        <v>2</v>
      </c>
      <c r="H72" s="138"/>
      <c r="I72" s="139" t="s">
        <v>288</v>
      </c>
      <c r="J72" s="137"/>
      <c r="K72" s="138"/>
      <c r="L72" s="140"/>
      <c r="M72" s="138"/>
    </row>
    <row r="73" spans="1:13" ht="13.8" thickBot="1" x14ac:dyDescent="0.3">
      <c r="A73" s="205"/>
      <c r="B73" s="207"/>
      <c r="C73" s="209"/>
      <c r="D73" s="211"/>
      <c r="E73" s="213"/>
      <c r="F73" s="215"/>
      <c r="G73" s="141"/>
      <c r="H73" s="142"/>
      <c r="I73" s="143"/>
      <c r="J73" s="141"/>
      <c r="K73" s="142"/>
      <c r="L73" s="144"/>
      <c r="M73" s="142"/>
    </row>
    <row r="74" spans="1:13" ht="25.5" customHeight="1" x14ac:dyDescent="0.25">
      <c r="A74" s="204">
        <v>5</v>
      </c>
      <c r="B74" s="206" t="s">
        <v>234</v>
      </c>
      <c r="C74" s="208" t="s">
        <v>290</v>
      </c>
      <c r="D74" s="210" t="s">
        <v>265</v>
      </c>
      <c r="E74" s="212"/>
      <c r="F74" s="214" t="s">
        <v>291</v>
      </c>
      <c r="G74" s="137">
        <v>1</v>
      </c>
      <c r="H74" s="138"/>
      <c r="I74" s="139" t="s">
        <v>291</v>
      </c>
      <c r="J74" s="137" t="s">
        <v>292</v>
      </c>
      <c r="K74" s="138"/>
      <c r="L74" s="140" t="s">
        <v>291</v>
      </c>
      <c r="M74" s="138"/>
    </row>
    <row r="75" spans="1:13" ht="13.8" thickBot="1" x14ac:dyDescent="0.3">
      <c r="A75" s="205"/>
      <c r="B75" s="207"/>
      <c r="C75" s="209"/>
      <c r="D75" s="211"/>
      <c r="E75" s="213"/>
      <c r="F75" s="215"/>
      <c r="G75" s="141"/>
      <c r="H75" s="142"/>
      <c r="I75" s="143"/>
      <c r="J75" s="141"/>
      <c r="K75" s="142"/>
      <c r="L75" s="144"/>
      <c r="M75" s="142"/>
    </row>
    <row r="76" spans="1:13" ht="25.5" customHeight="1" x14ac:dyDescent="0.25">
      <c r="A76" s="204"/>
      <c r="B76" s="217" t="s">
        <v>245</v>
      </c>
      <c r="C76" s="208"/>
      <c r="D76" s="210"/>
      <c r="E76" s="212"/>
      <c r="F76" s="214"/>
      <c r="G76" s="137"/>
      <c r="H76" s="138"/>
      <c r="I76" s="139"/>
      <c r="J76" s="137"/>
      <c r="K76" s="138"/>
      <c r="L76" s="140"/>
      <c r="M76" s="138"/>
    </row>
    <row r="77" spans="1:13" ht="13.8" thickBot="1" x14ac:dyDescent="0.3">
      <c r="A77" s="205"/>
      <c r="B77" s="207"/>
      <c r="C77" s="209"/>
      <c r="D77" s="211"/>
      <c r="E77" s="213"/>
      <c r="F77" s="215"/>
      <c r="G77" s="141"/>
      <c r="H77" s="142"/>
      <c r="I77" s="143"/>
      <c r="J77" s="141"/>
      <c r="K77" s="142"/>
      <c r="L77" s="144"/>
      <c r="M77" s="142"/>
    </row>
    <row r="78" spans="1:13" ht="25.5" customHeight="1" x14ac:dyDescent="0.25">
      <c r="A78" s="204">
        <v>6</v>
      </c>
      <c r="B78" s="206" t="s">
        <v>149</v>
      </c>
      <c r="C78" s="208" t="s">
        <v>293</v>
      </c>
      <c r="D78" s="210" t="s">
        <v>265</v>
      </c>
      <c r="E78" s="212"/>
      <c r="F78" s="214" t="s">
        <v>280</v>
      </c>
      <c r="G78" s="137" t="s">
        <v>265</v>
      </c>
      <c r="H78" s="138"/>
      <c r="I78" s="139" t="s">
        <v>280</v>
      </c>
      <c r="J78" s="137"/>
      <c r="K78" s="138"/>
      <c r="L78" s="140"/>
      <c r="M78" s="138"/>
    </row>
    <row r="79" spans="1:13" ht="13.8" thickBot="1" x14ac:dyDescent="0.3">
      <c r="A79" s="205"/>
      <c r="B79" s="207"/>
      <c r="C79" s="209"/>
      <c r="D79" s="211"/>
      <c r="E79" s="213"/>
      <c r="F79" s="215"/>
      <c r="G79" s="141"/>
      <c r="H79" s="142"/>
      <c r="I79" s="143"/>
      <c r="J79" s="141"/>
      <c r="K79" s="142"/>
      <c r="L79" s="144"/>
      <c r="M79" s="142"/>
    </row>
    <row r="80" spans="1:13" ht="25.5" customHeight="1" x14ac:dyDescent="0.25">
      <c r="A80" s="204">
        <v>7</v>
      </c>
      <c r="B80" s="206" t="s">
        <v>151</v>
      </c>
      <c r="C80" s="208" t="s">
        <v>293</v>
      </c>
      <c r="D80" s="210">
        <v>2</v>
      </c>
      <c r="E80" s="212"/>
      <c r="F80" s="214" t="s">
        <v>246</v>
      </c>
      <c r="G80" s="137">
        <v>2</v>
      </c>
      <c r="H80" s="138"/>
      <c r="I80" s="139" t="s">
        <v>246</v>
      </c>
      <c r="J80" s="137"/>
      <c r="K80" s="138"/>
      <c r="L80" s="140"/>
      <c r="M80" s="138"/>
    </row>
    <row r="81" spans="1:13" ht="13.8" thickBot="1" x14ac:dyDescent="0.3">
      <c r="A81" s="205"/>
      <c r="B81" s="207"/>
      <c r="C81" s="209"/>
      <c r="D81" s="211"/>
      <c r="E81" s="213"/>
      <c r="F81" s="215"/>
      <c r="G81" s="141"/>
      <c r="H81" s="142"/>
      <c r="I81" s="143"/>
      <c r="J81" s="141"/>
      <c r="K81" s="142"/>
      <c r="L81" s="144"/>
      <c r="M81" s="142"/>
    </row>
    <row r="82" spans="1:13" ht="25.5" customHeight="1" x14ac:dyDescent="0.25">
      <c r="A82" s="204"/>
      <c r="B82" s="217"/>
      <c r="C82" s="208"/>
      <c r="D82" s="210"/>
      <c r="E82" s="212"/>
      <c r="F82" s="214"/>
      <c r="G82" s="137"/>
      <c r="H82" s="138"/>
      <c r="I82" s="139"/>
      <c r="J82" s="137"/>
      <c r="K82" s="138"/>
      <c r="L82" s="140"/>
      <c r="M82" s="138"/>
    </row>
    <row r="83" spans="1:13" ht="13.8" thickBot="1" x14ac:dyDescent="0.3">
      <c r="A83" s="205"/>
      <c r="B83" s="207"/>
      <c r="C83" s="209"/>
      <c r="D83" s="211"/>
      <c r="E83" s="213"/>
      <c r="F83" s="215"/>
      <c r="G83" s="141"/>
      <c r="H83" s="142"/>
      <c r="I83" s="143"/>
      <c r="J83" s="141"/>
      <c r="K83" s="142"/>
      <c r="L83" s="144"/>
      <c r="M83" s="142"/>
    </row>
    <row r="84" spans="1:13" ht="25.5" customHeight="1" x14ac:dyDescent="0.25">
      <c r="A84" s="204"/>
      <c r="B84" s="217" t="s">
        <v>239</v>
      </c>
      <c r="C84" s="208"/>
      <c r="D84" s="210"/>
      <c r="E84" s="212"/>
      <c r="F84" s="214"/>
      <c r="G84" s="137"/>
      <c r="H84" s="138"/>
      <c r="I84" s="139"/>
      <c r="J84" s="137"/>
      <c r="K84" s="138"/>
      <c r="L84" s="140"/>
      <c r="M84" s="138"/>
    </row>
    <row r="85" spans="1:13" ht="13.8" thickBot="1" x14ac:dyDescent="0.3">
      <c r="A85" s="205"/>
      <c r="B85" s="207"/>
      <c r="C85" s="209"/>
      <c r="D85" s="211"/>
      <c r="E85" s="213"/>
      <c r="F85" s="215"/>
      <c r="G85" s="141"/>
      <c r="H85" s="142"/>
      <c r="I85" s="143"/>
      <c r="J85" s="141"/>
      <c r="K85" s="142"/>
      <c r="L85" s="144"/>
      <c r="M85" s="142"/>
    </row>
    <row r="86" spans="1:13" ht="25.5" customHeight="1" x14ac:dyDescent="0.25">
      <c r="A86" s="204">
        <v>1</v>
      </c>
      <c r="B86" s="206" t="s">
        <v>174</v>
      </c>
      <c r="C86" s="208" t="s">
        <v>294</v>
      </c>
      <c r="D86" s="210">
        <v>1</v>
      </c>
      <c r="E86" s="212"/>
      <c r="F86" s="214" t="s">
        <v>241</v>
      </c>
      <c r="G86" s="137">
        <v>1</v>
      </c>
      <c r="H86" s="138"/>
      <c r="I86" s="139" t="s">
        <v>241</v>
      </c>
      <c r="J86" s="137"/>
      <c r="K86" s="138"/>
      <c r="L86" s="140"/>
      <c r="M86" s="138"/>
    </row>
    <row r="87" spans="1:13" ht="13.8" thickBot="1" x14ac:dyDescent="0.3">
      <c r="A87" s="205"/>
      <c r="B87" s="207"/>
      <c r="C87" s="209"/>
      <c r="D87" s="211"/>
      <c r="E87" s="213"/>
      <c r="F87" s="215"/>
      <c r="G87" s="141">
        <v>1</v>
      </c>
      <c r="H87" s="142"/>
      <c r="I87" s="143" t="s">
        <v>241</v>
      </c>
      <c r="J87" s="141"/>
      <c r="K87" s="142"/>
      <c r="L87" s="144"/>
      <c r="M87" s="142"/>
    </row>
    <row r="88" spans="1:13" ht="25.5" customHeight="1" x14ac:dyDescent="0.25">
      <c r="A88" s="204"/>
      <c r="B88" s="217"/>
      <c r="C88" s="208" t="s">
        <v>295</v>
      </c>
      <c r="D88" s="210"/>
      <c r="E88" s="212"/>
      <c r="F88" s="214"/>
      <c r="G88" s="137">
        <v>1</v>
      </c>
      <c r="H88" s="138"/>
      <c r="I88" s="139" t="s">
        <v>241</v>
      </c>
      <c r="J88" s="137"/>
      <c r="K88" s="138"/>
      <c r="L88" s="140"/>
      <c r="M88" s="138"/>
    </row>
    <row r="89" spans="1:13" ht="13.8" thickBot="1" x14ac:dyDescent="0.3">
      <c r="A89" s="205"/>
      <c r="B89" s="207"/>
      <c r="C89" s="209"/>
      <c r="D89" s="211"/>
      <c r="E89" s="213"/>
      <c r="F89" s="215"/>
      <c r="G89" s="141"/>
      <c r="H89" s="142"/>
      <c r="I89" s="143"/>
      <c r="J89" s="141"/>
      <c r="K89" s="142"/>
      <c r="L89" s="144"/>
      <c r="M89" s="142"/>
    </row>
    <row r="90" spans="1:13" ht="25.5" customHeight="1" x14ac:dyDescent="0.25">
      <c r="A90" s="204">
        <v>2</v>
      </c>
      <c r="B90" s="206" t="s">
        <v>181</v>
      </c>
      <c r="C90" s="208" t="s">
        <v>296</v>
      </c>
      <c r="D90" s="210">
        <v>1</v>
      </c>
      <c r="E90" s="212"/>
      <c r="F90" s="214" t="s">
        <v>241</v>
      </c>
      <c r="G90" s="137">
        <v>1</v>
      </c>
      <c r="H90" s="138"/>
      <c r="I90" s="139" t="s">
        <v>241</v>
      </c>
      <c r="J90" s="137"/>
      <c r="K90" s="138"/>
      <c r="L90" s="140"/>
      <c r="M90" s="138"/>
    </row>
    <row r="91" spans="1:13" ht="13.8" thickBot="1" x14ac:dyDescent="0.3">
      <c r="A91" s="205"/>
      <c r="B91" s="207"/>
      <c r="C91" s="209"/>
      <c r="D91" s="211"/>
      <c r="E91" s="213"/>
      <c r="F91" s="215"/>
      <c r="G91" s="141">
        <v>1</v>
      </c>
      <c r="H91" s="142"/>
      <c r="I91" s="143" t="s">
        <v>241</v>
      </c>
      <c r="J91" s="141"/>
      <c r="K91" s="142"/>
      <c r="L91" s="144"/>
      <c r="M91" s="142"/>
    </row>
    <row r="92" spans="1:13" ht="25.5" customHeight="1" x14ac:dyDescent="0.25">
      <c r="A92" s="204"/>
      <c r="B92" s="217" t="s">
        <v>245</v>
      </c>
      <c r="C92" s="208"/>
      <c r="D92" s="210"/>
      <c r="E92" s="212"/>
      <c r="F92" s="214"/>
      <c r="G92" s="137"/>
      <c r="H92" s="138"/>
      <c r="I92" s="139"/>
      <c r="J92" s="137"/>
      <c r="K92" s="138"/>
      <c r="L92" s="140"/>
      <c r="M92" s="138"/>
    </row>
    <row r="93" spans="1:13" ht="13.8" thickBot="1" x14ac:dyDescent="0.3">
      <c r="A93" s="205"/>
      <c r="B93" s="207"/>
      <c r="C93" s="209"/>
      <c r="D93" s="211"/>
      <c r="E93" s="213"/>
      <c r="F93" s="215"/>
      <c r="G93" s="141"/>
      <c r="H93" s="142"/>
      <c r="I93" s="143"/>
      <c r="J93" s="141"/>
      <c r="K93" s="142"/>
      <c r="L93" s="144"/>
      <c r="M93" s="142"/>
    </row>
    <row r="94" spans="1:13" ht="25.5" customHeight="1" x14ac:dyDescent="0.25">
      <c r="A94" s="204">
        <v>3</v>
      </c>
      <c r="B94" s="206" t="s">
        <v>176</v>
      </c>
      <c r="C94" s="208" t="s">
        <v>297</v>
      </c>
      <c r="D94" s="210">
        <v>2</v>
      </c>
      <c r="E94" s="212"/>
      <c r="F94" s="214" t="s">
        <v>289</v>
      </c>
      <c r="G94" s="137">
        <v>2</v>
      </c>
      <c r="H94" s="138"/>
      <c r="I94" s="139" t="s">
        <v>289</v>
      </c>
      <c r="J94" s="137"/>
      <c r="K94" s="138"/>
      <c r="L94" s="140"/>
      <c r="M94" s="138"/>
    </row>
    <row r="95" spans="1:13" ht="13.8" thickBot="1" x14ac:dyDescent="0.3">
      <c r="A95" s="205"/>
      <c r="B95" s="207"/>
      <c r="C95" s="209"/>
      <c r="D95" s="211"/>
      <c r="E95" s="213"/>
      <c r="F95" s="215"/>
      <c r="G95" s="141">
        <v>2</v>
      </c>
      <c r="H95" s="142"/>
      <c r="I95" s="143" t="s">
        <v>289</v>
      </c>
      <c r="J95" s="141"/>
      <c r="K95" s="142"/>
      <c r="L95" s="144"/>
      <c r="M95" s="142"/>
    </row>
    <row r="96" spans="1:13" ht="25.5" customHeight="1" x14ac:dyDescent="0.25">
      <c r="A96" s="204">
        <v>4</v>
      </c>
      <c r="B96" s="206" t="s">
        <v>236</v>
      </c>
      <c r="C96" s="208" t="s">
        <v>298</v>
      </c>
      <c r="D96" s="210">
        <v>0</v>
      </c>
      <c r="E96" s="212"/>
      <c r="F96" s="214"/>
      <c r="G96" s="137">
        <v>2</v>
      </c>
      <c r="H96" s="138"/>
      <c r="I96" s="139" t="s">
        <v>289</v>
      </c>
      <c r="J96" s="137"/>
      <c r="K96" s="138"/>
      <c r="L96" s="140"/>
      <c r="M96" s="138"/>
    </row>
    <row r="97" spans="1:13" ht="13.8" thickBot="1" x14ac:dyDescent="0.3">
      <c r="A97" s="205"/>
      <c r="B97" s="207"/>
      <c r="C97" s="209"/>
      <c r="D97" s="211"/>
      <c r="E97" s="213"/>
      <c r="F97" s="215"/>
      <c r="G97" s="141">
        <v>2</v>
      </c>
      <c r="H97" s="142"/>
      <c r="I97" s="143" t="s">
        <v>289</v>
      </c>
      <c r="J97" s="141"/>
      <c r="K97" s="142"/>
      <c r="L97" s="144"/>
      <c r="M97" s="142"/>
    </row>
    <row r="98" spans="1:13" ht="25.5" customHeight="1" x14ac:dyDescent="0.25">
      <c r="A98" s="204"/>
      <c r="B98" s="217" t="s">
        <v>247</v>
      </c>
      <c r="C98" s="208"/>
      <c r="D98" s="210"/>
      <c r="E98" s="212"/>
      <c r="F98" s="214"/>
      <c r="G98" s="137"/>
      <c r="H98" s="138"/>
      <c r="I98" s="139"/>
      <c r="J98" s="137"/>
      <c r="K98" s="138"/>
      <c r="L98" s="140"/>
      <c r="M98" s="138"/>
    </row>
    <row r="99" spans="1:13" ht="13.8" thickBot="1" x14ac:dyDescent="0.3">
      <c r="A99" s="205"/>
      <c r="B99" s="207"/>
      <c r="C99" s="209"/>
      <c r="D99" s="211"/>
      <c r="E99" s="213"/>
      <c r="F99" s="215"/>
      <c r="G99" s="141"/>
      <c r="H99" s="142"/>
      <c r="I99" s="143"/>
      <c r="J99" s="141"/>
      <c r="K99" s="142"/>
      <c r="L99" s="144"/>
      <c r="M99" s="142"/>
    </row>
    <row r="100" spans="1:13" ht="25.5" customHeight="1" x14ac:dyDescent="0.25">
      <c r="A100" s="204">
        <v>5</v>
      </c>
      <c r="B100" s="206" t="s">
        <v>177</v>
      </c>
      <c r="C100" s="208" t="s">
        <v>299</v>
      </c>
      <c r="D100" s="210">
        <v>2</v>
      </c>
      <c r="E100" s="212"/>
      <c r="F100" s="214" t="s">
        <v>241</v>
      </c>
      <c r="G100" s="137">
        <v>3</v>
      </c>
      <c r="H100" s="138"/>
      <c r="I100" s="139" t="s">
        <v>279</v>
      </c>
      <c r="J100" s="137"/>
      <c r="K100" s="138"/>
      <c r="L100" s="140"/>
      <c r="M100" s="138"/>
    </row>
    <row r="101" spans="1:13" ht="13.8" thickBot="1" x14ac:dyDescent="0.3">
      <c r="A101" s="205"/>
      <c r="B101" s="207"/>
      <c r="C101" s="209"/>
      <c r="D101" s="211"/>
      <c r="E101" s="213"/>
      <c r="F101" s="215"/>
      <c r="G101" s="141">
        <v>3</v>
      </c>
      <c r="H101" s="142"/>
      <c r="I101" s="143" t="s">
        <v>279</v>
      </c>
      <c r="J101" s="141"/>
      <c r="K101" s="142"/>
      <c r="L101" s="144"/>
      <c r="M101" s="142"/>
    </row>
    <row r="102" spans="1:13" ht="25.5" customHeight="1" x14ac:dyDescent="0.25">
      <c r="A102" s="204">
        <v>6</v>
      </c>
      <c r="B102" s="206" t="s">
        <v>178</v>
      </c>
      <c r="C102" s="208" t="s">
        <v>299</v>
      </c>
      <c r="D102" s="210">
        <v>2</v>
      </c>
      <c r="E102" s="212"/>
      <c r="F102" s="214" t="s">
        <v>289</v>
      </c>
      <c r="G102" s="137">
        <v>2</v>
      </c>
      <c r="H102" s="138"/>
      <c r="I102" s="139" t="s">
        <v>289</v>
      </c>
      <c r="J102" s="137"/>
      <c r="K102" s="138"/>
      <c r="L102" s="140"/>
      <c r="M102" s="138"/>
    </row>
    <row r="103" spans="1:13" ht="13.8" thickBot="1" x14ac:dyDescent="0.3">
      <c r="A103" s="205"/>
      <c r="B103" s="207"/>
      <c r="C103" s="209"/>
      <c r="D103" s="211"/>
      <c r="E103" s="213"/>
      <c r="F103" s="215"/>
      <c r="G103" s="141">
        <v>2</v>
      </c>
      <c r="H103" s="142"/>
      <c r="I103" s="143" t="s">
        <v>289</v>
      </c>
      <c r="J103" s="141"/>
      <c r="K103" s="142"/>
      <c r="L103" s="144"/>
      <c r="M103" s="142"/>
    </row>
    <row r="104" spans="1:13" ht="25.5" customHeight="1" x14ac:dyDescent="0.25">
      <c r="A104" s="204">
        <v>7</v>
      </c>
      <c r="B104" s="206" t="s">
        <v>183</v>
      </c>
      <c r="C104" s="208" t="s">
        <v>300</v>
      </c>
      <c r="D104" s="210">
        <v>0</v>
      </c>
      <c r="E104" s="212"/>
      <c r="F104" s="214"/>
      <c r="G104" s="137">
        <v>2</v>
      </c>
      <c r="H104" s="138"/>
      <c r="I104" s="139" t="s">
        <v>289</v>
      </c>
      <c r="J104" s="137"/>
      <c r="K104" s="138"/>
      <c r="L104" s="140"/>
      <c r="M104" s="138"/>
    </row>
    <row r="105" spans="1:13" ht="13.8" thickBot="1" x14ac:dyDescent="0.3">
      <c r="A105" s="205"/>
      <c r="B105" s="207"/>
      <c r="C105" s="209"/>
      <c r="D105" s="211"/>
      <c r="E105" s="213"/>
      <c r="F105" s="215"/>
      <c r="G105" s="141">
        <v>2</v>
      </c>
      <c r="H105" s="142"/>
      <c r="I105" s="143" t="s">
        <v>289</v>
      </c>
      <c r="J105" s="141"/>
      <c r="K105" s="142"/>
      <c r="L105" s="144"/>
      <c r="M105" s="142"/>
    </row>
    <row r="106" spans="1:13" ht="25.5" customHeight="1" x14ac:dyDescent="0.25">
      <c r="A106" s="204">
        <v>8</v>
      </c>
      <c r="B106" s="206" t="s">
        <v>184</v>
      </c>
      <c r="C106" s="208" t="s">
        <v>300</v>
      </c>
      <c r="D106" s="210">
        <v>0</v>
      </c>
      <c r="E106" s="212"/>
      <c r="F106" s="214"/>
      <c r="G106" s="137">
        <v>3</v>
      </c>
      <c r="H106" s="138"/>
      <c r="I106" s="139" t="s">
        <v>279</v>
      </c>
      <c r="J106" s="137"/>
      <c r="K106" s="138"/>
      <c r="L106" s="140"/>
      <c r="M106" s="138"/>
    </row>
    <row r="107" spans="1:13" ht="13.8" thickBot="1" x14ac:dyDescent="0.3">
      <c r="A107" s="205"/>
      <c r="B107" s="207"/>
      <c r="C107" s="209"/>
      <c r="D107" s="211"/>
      <c r="E107" s="213"/>
      <c r="F107" s="215"/>
      <c r="G107" s="141">
        <v>3</v>
      </c>
      <c r="H107" s="142"/>
      <c r="I107" s="143" t="s">
        <v>279</v>
      </c>
      <c r="J107" s="141"/>
      <c r="K107" s="142"/>
      <c r="L107" s="144"/>
      <c r="M107" s="142"/>
    </row>
    <row r="108" spans="1:13" ht="25.5" customHeight="1" x14ac:dyDescent="0.25">
      <c r="A108" s="204"/>
      <c r="B108" s="217" t="s">
        <v>248</v>
      </c>
      <c r="C108" s="208"/>
      <c r="D108" s="210"/>
      <c r="E108" s="212"/>
      <c r="F108" s="214"/>
      <c r="G108" s="137"/>
      <c r="H108" s="138"/>
      <c r="I108" s="139"/>
      <c r="J108" s="137"/>
      <c r="K108" s="138"/>
      <c r="L108" s="140"/>
      <c r="M108" s="138"/>
    </row>
    <row r="109" spans="1:13" ht="13.8" thickBot="1" x14ac:dyDescent="0.3">
      <c r="A109" s="205"/>
      <c r="B109" s="207"/>
      <c r="C109" s="209"/>
      <c r="D109" s="211"/>
      <c r="E109" s="213"/>
      <c r="F109" s="215"/>
      <c r="G109" s="141"/>
      <c r="H109" s="142"/>
      <c r="I109" s="143"/>
      <c r="J109" s="141"/>
      <c r="K109" s="142"/>
      <c r="L109" s="144"/>
      <c r="M109" s="142"/>
    </row>
    <row r="110" spans="1:13" ht="25.5" customHeight="1" x14ac:dyDescent="0.25">
      <c r="A110" s="204">
        <v>9</v>
      </c>
      <c r="B110" s="206" t="s">
        <v>179</v>
      </c>
      <c r="C110" s="208" t="s">
        <v>301</v>
      </c>
      <c r="D110" s="210">
        <v>3</v>
      </c>
      <c r="E110" s="212"/>
      <c r="F110" s="214" t="s">
        <v>244</v>
      </c>
      <c r="G110" s="137">
        <v>3</v>
      </c>
      <c r="H110" s="138"/>
      <c r="I110" s="139" t="s">
        <v>244</v>
      </c>
      <c r="J110" s="137"/>
      <c r="K110" s="138"/>
      <c r="L110" s="140"/>
      <c r="M110" s="138"/>
    </row>
    <row r="111" spans="1:13" ht="13.8" thickBot="1" x14ac:dyDescent="0.3">
      <c r="A111" s="205"/>
      <c r="B111" s="207"/>
      <c r="C111" s="209"/>
      <c r="D111" s="211"/>
      <c r="E111" s="213"/>
      <c r="F111" s="215"/>
      <c r="G111" s="141">
        <v>3</v>
      </c>
      <c r="H111" s="142"/>
      <c r="I111" s="143" t="s">
        <v>244</v>
      </c>
      <c r="J111" s="141"/>
      <c r="K111" s="142"/>
      <c r="L111" s="144"/>
      <c r="M111" s="142"/>
    </row>
    <row r="112" spans="1:13" ht="25.5" customHeight="1" x14ac:dyDescent="0.25">
      <c r="A112" s="204">
        <v>10</v>
      </c>
      <c r="B112" s="206" t="s">
        <v>180</v>
      </c>
      <c r="C112" s="208" t="s">
        <v>301</v>
      </c>
      <c r="D112" s="210">
        <v>3</v>
      </c>
      <c r="E112" s="212"/>
      <c r="F112" s="214" t="s">
        <v>280</v>
      </c>
      <c r="G112" s="137">
        <v>3</v>
      </c>
      <c r="H112" s="138"/>
      <c r="I112" s="139" t="s">
        <v>280</v>
      </c>
      <c r="J112" s="137"/>
      <c r="K112" s="138"/>
      <c r="L112" s="140"/>
      <c r="M112" s="138"/>
    </row>
    <row r="113" spans="1:13" ht="13.8" thickBot="1" x14ac:dyDescent="0.3">
      <c r="A113" s="205"/>
      <c r="B113" s="207"/>
      <c r="C113" s="209"/>
      <c r="D113" s="211"/>
      <c r="E113" s="213"/>
      <c r="F113" s="215"/>
      <c r="G113" s="141">
        <v>3</v>
      </c>
      <c r="H113" s="142"/>
      <c r="I113" s="143" t="s">
        <v>280</v>
      </c>
      <c r="J113" s="141"/>
      <c r="K113" s="142"/>
      <c r="L113" s="144"/>
      <c r="M113" s="142"/>
    </row>
    <row r="114" spans="1:13" ht="25.5" customHeight="1" x14ac:dyDescent="0.25">
      <c r="A114" s="204">
        <v>11</v>
      </c>
      <c r="B114" s="206" t="s">
        <v>185</v>
      </c>
      <c r="C114" s="208" t="s">
        <v>302</v>
      </c>
      <c r="D114" s="210">
        <v>0</v>
      </c>
      <c r="E114" s="212"/>
      <c r="F114" s="214"/>
      <c r="G114" s="137">
        <v>3</v>
      </c>
      <c r="H114" s="138"/>
      <c r="I114" s="139" t="s">
        <v>280</v>
      </c>
      <c r="J114" s="137"/>
      <c r="K114" s="138"/>
      <c r="L114" s="140"/>
      <c r="M114" s="138"/>
    </row>
    <row r="115" spans="1:13" ht="13.8" thickBot="1" x14ac:dyDescent="0.3">
      <c r="A115" s="205"/>
      <c r="B115" s="207"/>
      <c r="C115" s="209"/>
      <c r="D115" s="211"/>
      <c r="E115" s="213"/>
      <c r="F115" s="215"/>
      <c r="G115" s="141">
        <v>3</v>
      </c>
      <c r="H115" s="142"/>
      <c r="I115" s="143" t="s">
        <v>280</v>
      </c>
      <c r="J115" s="141"/>
      <c r="K115" s="142"/>
      <c r="L115" s="144"/>
      <c r="M115" s="142"/>
    </row>
    <row r="116" spans="1:13" ht="25.5" customHeight="1" x14ac:dyDescent="0.25">
      <c r="A116" s="204"/>
      <c r="B116" s="217"/>
      <c r="C116" s="208"/>
      <c r="D116" s="210"/>
      <c r="E116" s="212"/>
      <c r="F116" s="214"/>
      <c r="G116" s="137"/>
      <c r="H116" s="138"/>
      <c r="I116" s="139"/>
      <c r="J116" s="137"/>
      <c r="K116" s="138"/>
      <c r="L116" s="140"/>
      <c r="M116" s="138"/>
    </row>
    <row r="117" spans="1:13" ht="13.8" thickBot="1" x14ac:dyDescent="0.3">
      <c r="A117" s="205"/>
      <c r="B117" s="207"/>
      <c r="C117" s="209"/>
      <c r="D117" s="211"/>
      <c r="E117" s="213"/>
      <c r="F117" s="215"/>
      <c r="G117" s="141"/>
      <c r="H117" s="142"/>
      <c r="I117" s="143"/>
      <c r="J117" s="141"/>
      <c r="K117" s="142"/>
      <c r="L117" s="144"/>
      <c r="M117" s="142"/>
    </row>
    <row r="118" spans="1:13" ht="25.5" customHeight="1" x14ac:dyDescent="0.25">
      <c r="A118" s="204"/>
      <c r="B118" s="217"/>
      <c r="C118" s="208"/>
      <c r="D118" s="210"/>
      <c r="E118" s="212"/>
      <c r="F118" s="214"/>
      <c r="G118" s="137"/>
      <c r="H118" s="138"/>
      <c r="I118" s="139"/>
      <c r="J118" s="137"/>
      <c r="K118" s="138"/>
      <c r="L118" s="140"/>
      <c r="M118" s="138"/>
    </row>
    <row r="119" spans="1:13" ht="13.8" thickBot="1" x14ac:dyDescent="0.3">
      <c r="A119" s="205"/>
      <c r="B119" s="207"/>
      <c r="C119" s="209"/>
      <c r="D119" s="211"/>
      <c r="E119" s="213"/>
      <c r="F119" s="215"/>
      <c r="G119" s="141"/>
      <c r="H119" s="142"/>
      <c r="I119" s="143"/>
      <c r="J119" s="141"/>
      <c r="K119" s="142"/>
      <c r="L119" s="144"/>
      <c r="M119" s="142"/>
    </row>
    <row r="120" spans="1:13" ht="25.5" customHeight="1" x14ac:dyDescent="0.25">
      <c r="A120" s="204"/>
      <c r="B120" s="217"/>
      <c r="C120" s="208"/>
      <c r="D120" s="210"/>
      <c r="E120" s="212"/>
      <c r="F120" s="214"/>
      <c r="G120" s="137"/>
      <c r="H120" s="138"/>
      <c r="I120" s="139"/>
      <c r="J120" s="137"/>
      <c r="K120" s="138"/>
      <c r="L120" s="140"/>
      <c r="M120" s="138"/>
    </row>
    <row r="121" spans="1:13" ht="13.8" thickBot="1" x14ac:dyDescent="0.3">
      <c r="A121" s="205"/>
      <c r="B121" s="207"/>
      <c r="C121" s="209"/>
      <c r="D121" s="211"/>
      <c r="E121" s="213"/>
      <c r="F121" s="215"/>
      <c r="G121" s="141"/>
      <c r="H121" s="142"/>
      <c r="I121" s="143"/>
      <c r="J121" s="141"/>
      <c r="K121" s="142"/>
      <c r="L121" s="144"/>
      <c r="M121" s="142"/>
    </row>
    <row r="122" spans="1:13" ht="25.5" customHeight="1" x14ac:dyDescent="0.25">
      <c r="A122" s="204"/>
      <c r="B122" s="217"/>
      <c r="C122" s="208"/>
      <c r="D122" s="210"/>
      <c r="E122" s="212"/>
      <c r="F122" s="214"/>
      <c r="G122" s="137"/>
      <c r="H122" s="138"/>
      <c r="I122" s="139"/>
      <c r="J122" s="137"/>
      <c r="K122" s="138"/>
      <c r="L122" s="140"/>
      <c r="M122" s="138"/>
    </row>
    <row r="123" spans="1:13" ht="13.8" thickBot="1" x14ac:dyDescent="0.3">
      <c r="A123" s="205"/>
      <c r="B123" s="207"/>
      <c r="C123" s="209"/>
      <c r="D123" s="211"/>
      <c r="E123" s="213"/>
      <c r="F123" s="215"/>
      <c r="G123" s="141"/>
      <c r="H123" s="142"/>
      <c r="I123" s="143"/>
      <c r="J123" s="141"/>
      <c r="K123" s="142"/>
      <c r="L123" s="144"/>
      <c r="M123" s="142"/>
    </row>
    <row r="124" spans="1:13" ht="25.5" customHeight="1" x14ac:dyDescent="0.25">
      <c r="A124" s="204"/>
      <c r="B124" s="217"/>
      <c r="C124" s="208"/>
      <c r="D124" s="210"/>
      <c r="E124" s="212"/>
      <c r="F124" s="214"/>
      <c r="G124" s="137"/>
      <c r="H124" s="138"/>
      <c r="I124" s="139"/>
      <c r="J124" s="137"/>
      <c r="K124" s="138"/>
      <c r="L124" s="140"/>
      <c r="M124" s="138"/>
    </row>
    <row r="125" spans="1:13" ht="13.8" thickBot="1" x14ac:dyDescent="0.3">
      <c r="A125" s="205"/>
      <c r="B125" s="207"/>
      <c r="C125" s="209"/>
      <c r="D125" s="211"/>
      <c r="E125" s="213"/>
      <c r="F125" s="215"/>
      <c r="G125" s="141"/>
      <c r="H125" s="142"/>
      <c r="I125" s="143"/>
      <c r="J125" s="141"/>
      <c r="K125" s="142"/>
      <c r="L125" s="144"/>
      <c r="M125" s="142"/>
    </row>
    <row r="126" spans="1:13" ht="25.5" customHeight="1" x14ac:dyDescent="0.25">
      <c r="A126" s="204"/>
      <c r="B126" s="217"/>
      <c r="C126" s="208"/>
      <c r="D126" s="210"/>
      <c r="E126" s="212"/>
      <c r="F126" s="214"/>
      <c r="G126" s="137"/>
      <c r="H126" s="138"/>
      <c r="I126" s="139"/>
      <c r="J126" s="137"/>
      <c r="K126" s="138"/>
      <c r="L126" s="140"/>
      <c r="M126" s="138"/>
    </row>
    <row r="127" spans="1:13" ht="13.8" thickBot="1" x14ac:dyDescent="0.3">
      <c r="A127" s="205"/>
      <c r="B127" s="207"/>
      <c r="C127" s="209"/>
      <c r="D127" s="211"/>
      <c r="E127" s="213"/>
      <c r="F127" s="215"/>
      <c r="G127" s="141"/>
      <c r="H127" s="142"/>
      <c r="I127" s="143"/>
      <c r="J127" s="141"/>
      <c r="K127" s="142"/>
      <c r="L127" s="144"/>
      <c r="M127" s="142"/>
    </row>
    <row r="128" spans="1:13" ht="25.5" customHeight="1" x14ac:dyDescent="0.25">
      <c r="A128" s="204"/>
      <c r="B128" s="217"/>
      <c r="C128" s="208"/>
      <c r="D128" s="210"/>
      <c r="E128" s="212"/>
      <c r="F128" s="214"/>
      <c r="G128" s="137"/>
      <c r="H128" s="138"/>
      <c r="I128" s="139"/>
      <c r="J128" s="137"/>
      <c r="K128" s="138"/>
      <c r="L128" s="140"/>
      <c r="M128" s="138"/>
    </row>
    <row r="129" spans="1:13" ht="13.8" thickBot="1" x14ac:dyDescent="0.3">
      <c r="A129" s="205"/>
      <c r="B129" s="207"/>
      <c r="C129" s="209"/>
      <c r="D129" s="211"/>
      <c r="E129" s="213"/>
      <c r="F129" s="215"/>
      <c r="G129" s="141"/>
      <c r="H129" s="142"/>
      <c r="I129" s="143"/>
      <c r="J129" s="141"/>
      <c r="K129" s="142"/>
      <c r="L129" s="144"/>
      <c r="M129" s="142"/>
    </row>
    <row r="130" spans="1:13" ht="25.5" customHeight="1" x14ac:dyDescent="0.25">
      <c r="A130" s="204"/>
      <c r="B130" s="217"/>
      <c r="C130" s="208"/>
      <c r="D130" s="210"/>
      <c r="E130" s="212"/>
      <c r="F130" s="214"/>
      <c r="G130" s="137"/>
      <c r="H130" s="138"/>
      <c r="I130" s="139"/>
      <c r="J130" s="137"/>
      <c r="K130" s="138"/>
      <c r="L130" s="140"/>
      <c r="M130" s="138"/>
    </row>
    <row r="131" spans="1:13" ht="13.8" thickBot="1" x14ac:dyDescent="0.3">
      <c r="A131" s="205"/>
      <c r="B131" s="207"/>
      <c r="C131" s="209"/>
      <c r="D131" s="211"/>
      <c r="E131" s="213"/>
      <c r="F131" s="215"/>
      <c r="G131" s="141"/>
      <c r="H131" s="142"/>
      <c r="I131" s="143"/>
      <c r="J131" s="141"/>
      <c r="K131" s="142"/>
      <c r="L131" s="144"/>
      <c r="M131" s="142"/>
    </row>
    <row r="132" spans="1:13" ht="25.5" customHeight="1" x14ac:dyDescent="0.25">
      <c r="A132" s="204"/>
      <c r="B132" s="217"/>
      <c r="C132" s="208"/>
      <c r="D132" s="210"/>
      <c r="E132" s="212"/>
      <c r="F132" s="214"/>
      <c r="G132" s="137"/>
      <c r="H132" s="138"/>
      <c r="I132" s="139"/>
      <c r="J132" s="137"/>
      <c r="K132" s="138"/>
      <c r="L132" s="140"/>
      <c r="M132" s="138"/>
    </row>
    <row r="133" spans="1:13" ht="13.8" thickBot="1" x14ac:dyDescent="0.3">
      <c r="A133" s="205"/>
      <c r="B133" s="207"/>
      <c r="C133" s="209"/>
      <c r="D133" s="211"/>
      <c r="E133" s="213"/>
      <c r="F133" s="215"/>
      <c r="G133" s="141"/>
      <c r="H133" s="142"/>
      <c r="I133" s="143"/>
      <c r="J133" s="141"/>
      <c r="K133" s="142"/>
      <c r="L133" s="144"/>
      <c r="M133" s="142"/>
    </row>
    <row r="134" spans="1:13" ht="25.5" customHeight="1" x14ac:dyDescent="0.25">
      <c r="A134" s="204"/>
      <c r="B134" s="217"/>
      <c r="C134" s="208"/>
      <c r="D134" s="210"/>
      <c r="E134" s="212"/>
      <c r="F134" s="214"/>
      <c r="G134" s="137"/>
      <c r="H134" s="138"/>
      <c r="I134" s="139"/>
      <c r="J134" s="137"/>
      <c r="K134" s="138"/>
      <c r="L134" s="140"/>
      <c r="M134" s="138"/>
    </row>
    <row r="135" spans="1:13" ht="13.8" thickBot="1" x14ac:dyDescent="0.3">
      <c r="A135" s="205"/>
      <c r="B135" s="207"/>
      <c r="C135" s="209"/>
      <c r="D135" s="211"/>
      <c r="E135" s="213"/>
      <c r="F135" s="215"/>
      <c r="G135" s="141"/>
      <c r="H135" s="142"/>
      <c r="I135" s="143"/>
      <c r="J135" s="141"/>
      <c r="K135" s="142"/>
      <c r="L135" s="144"/>
      <c r="M135" s="142"/>
    </row>
    <row r="136" spans="1:13" ht="25.5" customHeight="1" x14ac:dyDescent="0.25">
      <c r="A136" s="204"/>
      <c r="B136" s="217"/>
      <c r="C136" s="208"/>
      <c r="D136" s="210"/>
      <c r="E136" s="212"/>
      <c r="F136" s="214"/>
      <c r="G136" s="137"/>
      <c r="H136" s="138"/>
      <c r="I136" s="139"/>
      <c r="J136" s="137"/>
      <c r="K136" s="138"/>
      <c r="L136" s="140"/>
      <c r="M136" s="138"/>
    </row>
    <row r="137" spans="1:13" ht="13.8" thickBot="1" x14ac:dyDescent="0.3">
      <c r="A137" s="205"/>
      <c r="B137" s="207"/>
      <c r="C137" s="209"/>
      <c r="D137" s="211"/>
      <c r="E137" s="213"/>
      <c r="F137" s="215"/>
      <c r="G137" s="141"/>
      <c r="H137" s="142"/>
      <c r="I137" s="143"/>
      <c r="J137" s="141"/>
      <c r="K137" s="142"/>
      <c r="L137" s="144"/>
      <c r="M137" s="142"/>
    </row>
    <row r="138" spans="1:13" ht="25.5" customHeight="1" x14ac:dyDescent="0.25">
      <c r="A138" s="204"/>
      <c r="B138" s="217"/>
      <c r="C138" s="208"/>
      <c r="D138" s="210"/>
      <c r="E138" s="212"/>
      <c r="F138" s="214"/>
      <c r="G138" s="137"/>
      <c r="H138" s="138"/>
      <c r="I138" s="139"/>
      <c r="J138" s="137"/>
      <c r="K138" s="138"/>
      <c r="L138" s="140"/>
      <c r="M138" s="138"/>
    </row>
    <row r="139" spans="1:13" ht="13.8" thickBot="1" x14ac:dyDescent="0.3">
      <c r="A139" s="205"/>
      <c r="B139" s="207"/>
      <c r="C139" s="209"/>
      <c r="D139" s="211"/>
      <c r="E139" s="213"/>
      <c r="F139" s="215"/>
      <c r="G139" s="141"/>
      <c r="H139" s="142"/>
      <c r="I139" s="143"/>
      <c r="J139" s="141"/>
      <c r="K139" s="142"/>
      <c r="L139" s="144"/>
      <c r="M139" s="142"/>
    </row>
    <row r="140" spans="1:13" ht="25.5" customHeight="1" x14ac:dyDescent="0.25">
      <c r="A140" s="204"/>
      <c r="B140" s="217"/>
      <c r="C140" s="208"/>
      <c r="D140" s="210"/>
      <c r="E140" s="212"/>
      <c r="F140" s="214"/>
      <c r="G140" s="137"/>
      <c r="H140" s="138"/>
      <c r="I140" s="139"/>
      <c r="J140" s="137"/>
      <c r="K140" s="138"/>
      <c r="L140" s="140"/>
      <c r="M140" s="138"/>
    </row>
    <row r="141" spans="1:13" ht="13.8" thickBot="1" x14ac:dyDescent="0.3">
      <c r="A141" s="205"/>
      <c r="B141" s="207"/>
      <c r="C141" s="209"/>
      <c r="D141" s="211"/>
      <c r="E141" s="213"/>
      <c r="F141" s="215"/>
      <c r="G141" s="141"/>
      <c r="H141" s="142"/>
      <c r="I141" s="143"/>
      <c r="J141" s="141"/>
      <c r="K141" s="142"/>
      <c r="L141" s="144"/>
      <c r="M141" s="142"/>
    </row>
    <row r="142" spans="1:13" ht="25.5" customHeight="1" x14ac:dyDescent="0.25">
      <c r="A142" s="204"/>
      <c r="B142" s="217"/>
      <c r="C142" s="208"/>
      <c r="D142" s="210"/>
      <c r="E142" s="212"/>
      <c r="F142" s="214"/>
      <c r="G142" s="137"/>
      <c r="H142" s="138"/>
      <c r="I142" s="139"/>
      <c r="J142" s="137"/>
      <c r="K142" s="138"/>
      <c r="L142" s="140"/>
      <c r="M142" s="138"/>
    </row>
    <row r="143" spans="1:13" ht="13.8" thickBot="1" x14ac:dyDescent="0.3">
      <c r="A143" s="205"/>
      <c r="B143" s="207"/>
      <c r="C143" s="209"/>
      <c r="D143" s="211"/>
      <c r="E143" s="213"/>
      <c r="F143" s="215"/>
      <c r="G143" s="141"/>
      <c r="H143" s="142"/>
      <c r="I143" s="143"/>
      <c r="J143" s="141"/>
      <c r="K143" s="142"/>
      <c r="L143" s="144"/>
      <c r="M143" s="142"/>
    </row>
    <row r="144" spans="1:13" ht="25.5" customHeight="1" x14ac:dyDescent="0.25">
      <c r="A144" s="204"/>
      <c r="B144" s="217"/>
      <c r="C144" s="208"/>
      <c r="D144" s="210"/>
      <c r="E144" s="212"/>
      <c r="F144" s="214"/>
      <c r="G144" s="137"/>
      <c r="H144" s="138"/>
      <c r="I144" s="139"/>
      <c r="J144" s="137"/>
      <c r="K144" s="138"/>
      <c r="L144" s="140"/>
      <c r="M144" s="138"/>
    </row>
    <row r="145" spans="1:13" ht="13.8" thickBot="1" x14ac:dyDescent="0.3">
      <c r="A145" s="205"/>
      <c r="B145" s="207"/>
      <c r="C145" s="209"/>
      <c r="D145" s="211"/>
      <c r="E145" s="213"/>
      <c r="F145" s="215"/>
      <c r="G145" s="141"/>
      <c r="H145" s="142"/>
      <c r="I145" s="143"/>
      <c r="J145" s="141"/>
      <c r="K145" s="142"/>
      <c r="L145" s="144"/>
      <c r="M145" s="142"/>
    </row>
    <row r="146" spans="1:13" ht="25.5" customHeight="1" x14ac:dyDescent="0.25">
      <c r="A146" s="204"/>
      <c r="B146" s="217"/>
      <c r="C146" s="208"/>
      <c r="D146" s="210"/>
      <c r="E146" s="212"/>
      <c r="F146" s="214"/>
      <c r="G146" s="137"/>
      <c r="H146" s="138"/>
      <c r="I146" s="139"/>
      <c r="J146" s="137"/>
      <c r="K146" s="138"/>
      <c r="L146" s="140"/>
      <c r="M146" s="138"/>
    </row>
    <row r="147" spans="1:13" ht="13.8" thickBot="1" x14ac:dyDescent="0.3">
      <c r="A147" s="205"/>
      <c r="B147" s="207"/>
      <c r="C147" s="209"/>
      <c r="D147" s="211"/>
      <c r="E147" s="213"/>
      <c r="F147" s="215"/>
      <c r="G147" s="141"/>
      <c r="H147" s="142"/>
      <c r="I147" s="143"/>
      <c r="J147" s="141"/>
      <c r="K147" s="142"/>
      <c r="L147" s="144"/>
      <c r="M147" s="142"/>
    </row>
    <row r="148" spans="1:13" ht="25.5" customHeight="1" x14ac:dyDescent="0.25">
      <c r="A148" s="204"/>
      <c r="B148" s="217"/>
      <c r="C148" s="208"/>
      <c r="D148" s="210"/>
      <c r="E148" s="212"/>
      <c r="F148" s="214"/>
      <c r="G148" s="137"/>
      <c r="H148" s="138"/>
      <c r="I148" s="139"/>
      <c r="J148" s="137"/>
      <c r="K148" s="138"/>
      <c r="L148" s="140"/>
      <c r="M148" s="138"/>
    </row>
    <row r="149" spans="1:13" ht="13.8" thickBot="1" x14ac:dyDescent="0.3">
      <c r="A149" s="205"/>
      <c r="B149" s="207"/>
      <c r="C149" s="209"/>
      <c r="D149" s="211"/>
      <c r="E149" s="213"/>
      <c r="F149" s="215"/>
      <c r="G149" s="141"/>
      <c r="H149" s="142"/>
      <c r="I149" s="143"/>
      <c r="J149" s="141"/>
      <c r="K149" s="142"/>
      <c r="L149" s="144"/>
      <c r="M149" s="142"/>
    </row>
    <row r="150" spans="1:13" ht="25.5" customHeight="1" x14ac:dyDescent="0.25">
      <c r="A150" s="204"/>
      <c r="B150" s="217"/>
      <c r="C150" s="208"/>
      <c r="D150" s="210"/>
      <c r="E150" s="212"/>
      <c r="F150" s="214"/>
      <c r="G150" s="137"/>
      <c r="H150" s="138"/>
      <c r="I150" s="139"/>
      <c r="J150" s="137"/>
      <c r="K150" s="138"/>
      <c r="L150" s="140"/>
      <c r="M150" s="138"/>
    </row>
    <row r="151" spans="1:13" ht="13.8" thickBot="1" x14ac:dyDescent="0.3">
      <c r="A151" s="205"/>
      <c r="B151" s="207"/>
      <c r="C151" s="209"/>
      <c r="D151" s="211"/>
      <c r="E151" s="213"/>
      <c r="F151" s="215"/>
      <c r="G151" s="141"/>
      <c r="H151" s="142"/>
      <c r="I151" s="143"/>
      <c r="J151" s="141"/>
      <c r="K151" s="142"/>
      <c r="L151" s="144"/>
      <c r="M151" s="142"/>
    </row>
    <row r="152" spans="1:13" ht="25.5" customHeight="1" x14ac:dyDescent="0.25">
      <c r="A152" s="204"/>
      <c r="B152" s="217"/>
      <c r="C152" s="208"/>
      <c r="D152" s="210"/>
      <c r="E152" s="212"/>
      <c r="F152" s="214"/>
      <c r="G152" s="137"/>
      <c r="H152" s="138"/>
      <c r="I152" s="139"/>
      <c r="J152" s="137"/>
      <c r="K152" s="138"/>
      <c r="L152" s="140"/>
      <c r="M152" s="138"/>
    </row>
    <row r="153" spans="1:13" ht="13.8" thickBot="1" x14ac:dyDescent="0.3">
      <c r="A153" s="205"/>
      <c r="B153" s="207"/>
      <c r="C153" s="209"/>
      <c r="D153" s="211"/>
      <c r="E153" s="213"/>
      <c r="F153" s="215"/>
      <c r="G153" s="141"/>
      <c r="H153" s="142"/>
      <c r="I153" s="143"/>
      <c r="J153" s="141"/>
      <c r="K153" s="142"/>
      <c r="L153" s="144"/>
      <c r="M153" s="142"/>
    </row>
    <row r="154" spans="1:13" ht="25.5" customHeight="1" x14ac:dyDescent="0.25">
      <c r="A154" s="204"/>
      <c r="B154" s="217"/>
      <c r="C154" s="208"/>
      <c r="D154" s="210"/>
      <c r="E154" s="212"/>
      <c r="F154" s="214"/>
      <c r="G154" s="137"/>
      <c r="H154" s="138"/>
      <c r="I154" s="139"/>
      <c r="J154" s="137"/>
      <c r="K154" s="138"/>
      <c r="L154" s="140"/>
      <c r="M154" s="138"/>
    </row>
    <row r="155" spans="1:13" ht="13.8" thickBot="1" x14ac:dyDescent="0.3">
      <c r="A155" s="205"/>
      <c r="B155" s="207"/>
      <c r="C155" s="209"/>
      <c r="D155" s="211"/>
      <c r="E155" s="213"/>
      <c r="F155" s="215"/>
      <c r="G155" s="141"/>
      <c r="H155" s="142"/>
      <c r="I155" s="143"/>
      <c r="J155" s="141"/>
      <c r="K155" s="142"/>
      <c r="L155" s="144"/>
      <c r="M155" s="142"/>
    </row>
    <row r="156" spans="1:13" ht="25.5" customHeight="1" x14ac:dyDescent="0.25">
      <c r="A156" s="204"/>
      <c r="B156" s="217"/>
      <c r="C156" s="208"/>
      <c r="D156" s="210"/>
      <c r="E156" s="212"/>
      <c r="F156" s="214"/>
      <c r="G156" s="137"/>
      <c r="H156" s="138"/>
      <c r="I156" s="139"/>
      <c r="J156" s="137"/>
      <c r="K156" s="138"/>
      <c r="L156" s="140"/>
      <c r="M156" s="138"/>
    </row>
    <row r="157" spans="1:13" ht="13.8" thickBot="1" x14ac:dyDescent="0.3">
      <c r="A157" s="205"/>
      <c r="B157" s="207"/>
      <c r="C157" s="209"/>
      <c r="D157" s="211"/>
      <c r="E157" s="213"/>
      <c r="F157" s="215"/>
      <c r="G157" s="141"/>
      <c r="H157" s="142"/>
      <c r="I157" s="143"/>
      <c r="J157" s="141"/>
      <c r="K157" s="142"/>
      <c r="L157" s="144"/>
      <c r="M157" s="142"/>
    </row>
    <row r="158" spans="1:13" ht="25.5" customHeight="1" x14ac:dyDescent="0.25">
      <c r="A158" s="204"/>
      <c r="B158" s="217"/>
      <c r="C158" s="208"/>
      <c r="D158" s="210"/>
      <c r="E158" s="212"/>
      <c r="F158" s="214"/>
      <c r="G158" s="137"/>
      <c r="H158" s="138"/>
      <c r="I158" s="139"/>
      <c r="J158" s="137"/>
      <c r="K158" s="138"/>
      <c r="L158" s="140"/>
      <c r="M158" s="138"/>
    </row>
    <row r="159" spans="1:13" ht="13.8" thickBot="1" x14ac:dyDescent="0.3">
      <c r="A159" s="205"/>
      <c r="B159" s="207"/>
      <c r="C159" s="209"/>
      <c r="D159" s="211"/>
      <c r="E159" s="213"/>
      <c r="F159" s="215"/>
      <c r="G159" s="141"/>
      <c r="H159" s="142"/>
      <c r="I159" s="143"/>
      <c r="J159" s="141"/>
      <c r="K159" s="142"/>
      <c r="L159" s="144"/>
      <c r="M159" s="142"/>
    </row>
    <row r="160" spans="1:13" ht="25.5" customHeight="1" x14ac:dyDescent="0.25">
      <c r="A160" s="204"/>
      <c r="B160" s="217"/>
      <c r="C160" s="208"/>
      <c r="D160" s="210"/>
      <c r="E160" s="212"/>
      <c r="F160" s="214"/>
      <c r="G160" s="137"/>
      <c r="H160" s="138"/>
      <c r="I160" s="139"/>
      <c r="J160" s="137"/>
      <c r="K160" s="138"/>
      <c r="L160" s="140"/>
      <c r="M160" s="138"/>
    </row>
    <row r="161" spans="1:1024 1026:2048 2050:5119 5121:6143 6145:9216 9218:13311 13313:14336 14338:15360 15362:16384" ht="13.8" thickBot="1" x14ac:dyDescent="0.3">
      <c r="A161" s="205"/>
      <c r="B161" s="207"/>
      <c r="C161" s="209"/>
      <c r="D161" s="211"/>
      <c r="E161" s="213"/>
      <c r="F161" s="215"/>
      <c r="G161" s="141"/>
      <c r="H161" s="142"/>
      <c r="I161" s="143"/>
      <c r="J161" s="141"/>
      <c r="K161" s="142"/>
      <c r="L161" s="144"/>
      <c r="M161" s="142"/>
    </row>
    <row r="162" spans="1:1024 1026:2048 2050:5119 5121:6143 6145:9216 9218:13311 13313:14336 14338:15360 15362:16384" ht="25.5" customHeight="1" x14ac:dyDescent="0.25">
      <c r="A162" s="204"/>
      <c r="B162" s="217"/>
      <c r="C162" s="208"/>
      <c r="D162" s="210"/>
      <c r="E162" s="212"/>
      <c r="F162" s="214"/>
      <c r="G162" s="137"/>
      <c r="H162" s="138"/>
      <c r="I162" s="139"/>
      <c r="J162" s="137"/>
      <c r="K162" s="138"/>
      <c r="L162" s="140"/>
      <c r="M162" s="138"/>
    </row>
    <row r="163" spans="1:1024 1026:2048 2050:5119 5121:6143 6145:9216 9218:13311 13313:14336 14338:15360 15362:16384" ht="13.8" thickBot="1" x14ac:dyDescent="0.3">
      <c r="A163" s="205"/>
      <c r="B163" s="207"/>
      <c r="C163" s="209"/>
      <c r="D163" s="211"/>
      <c r="E163" s="213"/>
      <c r="F163" s="215"/>
      <c r="G163" s="141"/>
      <c r="H163" s="142"/>
      <c r="I163" s="143"/>
      <c r="J163" s="141"/>
      <c r="K163" s="142"/>
      <c r="L163" s="144"/>
      <c r="M163" s="142"/>
    </row>
    <row r="164" spans="1:1024 1026:2048 2050:5119 5121:6143 6145:9216 9218:13311 13313:14336 14338:15360 15362:16384" ht="25.5" customHeight="1" x14ac:dyDescent="0.25">
      <c r="A164" s="204"/>
      <c r="B164" s="217"/>
      <c r="C164" s="208"/>
      <c r="D164" s="210"/>
      <c r="E164" s="212"/>
      <c r="F164" s="214"/>
      <c r="G164" s="137"/>
      <c r="H164" s="138"/>
      <c r="I164" s="139"/>
      <c r="J164" s="137"/>
      <c r="K164" s="138"/>
      <c r="L164" s="140"/>
      <c r="M164" s="138"/>
    </row>
    <row r="165" spans="1:1024 1026:2048 2050:5119 5121:6143 6145:9216 9218:13311 13313:14336 14338:15360 15362:16384" ht="13.8" thickBot="1" x14ac:dyDescent="0.3">
      <c r="A165" s="205"/>
      <c r="B165" s="207"/>
      <c r="C165" s="209"/>
      <c r="D165" s="211"/>
      <c r="E165" s="213"/>
      <c r="F165" s="215"/>
      <c r="G165" s="141"/>
      <c r="H165" s="142"/>
      <c r="I165" s="143"/>
      <c r="J165" s="141"/>
      <c r="K165" s="142"/>
      <c r="L165" s="144"/>
      <c r="M165" s="142"/>
    </row>
    <row r="166" spans="1:1024 1026:2048 2050:5119 5121:6143 6145:9216 9218:13311 13313:14336 14338:15360 15362:16384" ht="25.5" customHeight="1" x14ac:dyDescent="0.25">
      <c r="A166" s="204"/>
      <c r="B166" s="217"/>
      <c r="C166" s="208"/>
      <c r="D166" s="210"/>
      <c r="E166" s="212"/>
      <c r="F166" s="214"/>
      <c r="G166" s="137"/>
      <c r="H166" s="138"/>
      <c r="I166" s="139"/>
      <c r="J166" s="137"/>
      <c r="K166" s="138"/>
      <c r="L166" s="140"/>
      <c r="M166" s="138"/>
    </row>
    <row r="167" spans="1:1024 1026:2048 2050:5119 5121:6143 6145:9216 9218:13311 13313:14336 14338:15360 15362:16384" ht="13.8" thickBot="1" x14ac:dyDescent="0.3">
      <c r="A167" s="205"/>
      <c r="B167" s="207"/>
      <c r="C167" s="209"/>
      <c r="D167" s="211"/>
      <c r="E167" s="213"/>
      <c r="F167" s="215"/>
      <c r="G167" s="141"/>
      <c r="H167" s="142"/>
      <c r="I167" s="143"/>
      <c r="J167" s="141"/>
      <c r="K167" s="142"/>
      <c r="L167" s="144"/>
      <c r="M167" s="142"/>
    </row>
    <row r="168" spans="1:1024 1026:2048 2050:5119 5121:6143 6145:9216 9218:13311 13313:14336 14338:15360 15362:16384" ht="25.5" customHeight="1" x14ac:dyDescent="0.25">
      <c r="A168" s="204"/>
      <c r="B168" s="217"/>
      <c r="C168" s="208"/>
      <c r="D168" s="210"/>
      <c r="E168" s="212"/>
      <c r="F168" s="214"/>
      <c r="G168" s="137"/>
      <c r="H168" s="138"/>
      <c r="I168" s="139"/>
      <c r="J168" s="137"/>
      <c r="K168" s="138"/>
      <c r="L168" s="140"/>
      <c r="M168" s="138"/>
    </row>
    <row r="169" spans="1:1024 1026:2048 2050:5119 5121:6143 6145:9216 9218:13311 13313:14336 14338:15360 15362:16384" ht="13.8" thickBot="1" x14ac:dyDescent="0.3">
      <c r="A169" s="205"/>
      <c r="B169" s="207"/>
      <c r="C169" s="209"/>
      <c r="D169" s="211"/>
      <c r="E169" s="213"/>
      <c r="F169" s="215"/>
      <c r="G169" s="141"/>
      <c r="H169" s="142"/>
      <c r="I169" s="143"/>
      <c r="J169" s="141"/>
      <c r="K169" s="142"/>
      <c r="L169" s="144"/>
      <c r="M169" s="142"/>
    </row>
    <row r="170" spans="1:1024 1026:2048 2050:5119 5121:6143 6145:9216 9218:13311 13313:14336 14338:15360 15362:16384" ht="25.5" customHeight="1" x14ac:dyDescent="0.25">
      <c r="A170" s="204"/>
      <c r="B170" s="217"/>
      <c r="C170" s="208"/>
      <c r="D170" s="210"/>
      <c r="E170" s="212"/>
      <c r="F170" s="214"/>
      <c r="G170" s="137"/>
      <c r="H170" s="138"/>
      <c r="I170" s="139"/>
      <c r="J170" s="137"/>
      <c r="K170" s="138"/>
      <c r="L170" s="140"/>
      <c r="M170" s="138"/>
      <c r="N170" s="200"/>
      <c r="O170" s="201"/>
      <c r="P170" s="201"/>
      <c r="Q170" s="200"/>
      <c r="R170" s="202"/>
      <c r="S170" s="203"/>
      <c r="T170" s="124"/>
      <c r="V170" s="126"/>
      <c r="W170" s="124"/>
      <c r="Y170" s="111"/>
      <c r="AA170" s="200"/>
      <c r="AB170" s="201"/>
      <c r="AC170" s="201"/>
      <c r="AD170" s="200"/>
      <c r="AE170" s="202"/>
      <c r="AF170" s="203"/>
      <c r="AG170" s="124"/>
      <c r="AI170" s="126"/>
      <c r="AJ170" s="124"/>
      <c r="AL170" s="111"/>
      <c r="AN170" s="200"/>
      <c r="AO170" s="201"/>
      <c r="AP170" s="201"/>
      <c r="AQ170" s="200"/>
      <c r="AR170" s="202"/>
      <c r="AS170" s="203"/>
      <c r="AT170" s="124"/>
      <c r="AV170" s="126"/>
      <c r="AW170" s="124"/>
      <c r="AY170" s="111"/>
      <c r="BA170" s="200"/>
      <c r="BB170" s="201"/>
      <c r="BC170" s="201"/>
      <c r="BD170" s="200"/>
      <c r="BE170" s="202"/>
      <c r="BF170" s="203"/>
      <c r="BG170" s="124"/>
      <c r="BI170" s="126"/>
      <c r="BJ170" s="124"/>
      <c r="BL170" s="111"/>
      <c r="BN170" s="200"/>
      <c r="BO170" s="201"/>
      <c r="BP170" s="201"/>
      <c r="BQ170" s="200"/>
      <c r="BR170" s="202"/>
      <c r="BS170" s="203"/>
      <c r="BT170" s="124"/>
      <c r="BV170" s="126"/>
      <c r="BW170" s="124"/>
      <c r="BY170" s="111"/>
      <c r="CA170" s="200"/>
      <c r="CB170" s="201"/>
      <c r="CC170" s="201"/>
      <c r="CD170" s="200"/>
      <c r="CE170" s="202"/>
      <c r="CF170" s="203"/>
      <c r="CG170" s="124"/>
      <c r="CI170" s="126"/>
      <c r="CJ170" s="124"/>
      <c r="CL170" s="111"/>
      <c r="CN170" s="200"/>
      <c r="CO170" s="201"/>
      <c r="CP170" s="201"/>
      <c r="CQ170" s="200"/>
      <c r="CR170" s="202"/>
      <c r="CS170" s="203"/>
      <c r="CT170" s="124"/>
      <c r="CV170" s="126"/>
      <c r="CW170" s="124"/>
      <c r="CY170" s="111"/>
      <c r="DA170" s="200"/>
      <c r="DB170" s="201"/>
      <c r="DC170" s="201"/>
      <c r="DD170" s="200"/>
      <c r="DE170" s="202"/>
      <c r="DF170" s="203"/>
      <c r="DG170" s="124"/>
      <c r="DI170" s="126"/>
      <c r="DJ170" s="124"/>
      <c r="DL170" s="111"/>
      <c r="DN170" s="200"/>
      <c r="DO170" s="201"/>
      <c r="DP170" s="201"/>
      <c r="DQ170" s="200"/>
      <c r="DR170" s="202"/>
      <c r="DS170" s="203"/>
      <c r="DT170" s="124"/>
      <c r="DV170" s="126"/>
      <c r="DW170" s="124"/>
      <c r="DY170" s="111"/>
      <c r="EA170" s="200"/>
      <c r="EB170" s="201"/>
      <c r="EC170" s="201"/>
      <c r="ED170" s="200"/>
      <c r="EE170" s="202"/>
      <c r="EF170" s="203"/>
      <c r="EG170" s="124"/>
      <c r="EI170" s="126"/>
      <c r="EJ170" s="124"/>
      <c r="EL170" s="111"/>
      <c r="EN170" s="200"/>
      <c r="EO170" s="201"/>
      <c r="EP170" s="201"/>
      <c r="EQ170" s="200"/>
      <c r="ER170" s="202"/>
      <c r="ES170" s="203"/>
      <c r="ET170" s="124"/>
      <c r="EV170" s="126"/>
      <c r="EW170" s="124"/>
      <c r="EY170" s="111"/>
      <c r="FA170" s="200"/>
      <c r="FB170" s="201"/>
      <c r="FC170" s="201"/>
      <c r="FD170" s="200"/>
      <c r="FE170" s="202"/>
      <c r="FF170" s="203"/>
      <c r="FG170" s="124"/>
      <c r="FI170" s="126"/>
      <c r="FJ170" s="124"/>
      <c r="FL170" s="111"/>
      <c r="FN170" s="200"/>
      <c r="FO170" s="201"/>
      <c r="FP170" s="201"/>
      <c r="FQ170" s="200"/>
      <c r="FR170" s="202"/>
      <c r="FS170" s="203"/>
      <c r="FT170" s="124"/>
      <c r="FV170" s="126"/>
      <c r="FW170" s="124"/>
      <c r="FY170" s="111"/>
      <c r="GA170" s="200"/>
      <c r="GB170" s="201"/>
      <c r="GC170" s="201"/>
      <c r="GD170" s="200"/>
      <c r="GE170" s="202"/>
      <c r="GF170" s="203"/>
      <c r="GG170" s="124"/>
      <c r="GI170" s="126"/>
      <c r="GJ170" s="124"/>
      <c r="GL170" s="111"/>
      <c r="GN170" s="200"/>
      <c r="GO170" s="201"/>
      <c r="GP170" s="201"/>
      <c r="GQ170" s="200"/>
      <c r="GR170" s="202"/>
      <c r="GS170" s="203"/>
      <c r="GT170" s="124"/>
      <c r="GV170" s="126"/>
      <c r="GW170" s="124"/>
      <c r="GY170" s="111"/>
      <c r="HA170" s="200"/>
      <c r="HB170" s="201"/>
      <c r="HC170" s="201"/>
      <c r="HD170" s="200"/>
      <c r="HE170" s="202"/>
      <c r="HF170" s="203"/>
      <c r="HG170" s="124"/>
      <c r="HI170" s="126"/>
      <c r="HJ170" s="124"/>
      <c r="HL170" s="111"/>
      <c r="HN170" s="200"/>
      <c r="HO170" s="201"/>
      <c r="HP170" s="201"/>
      <c r="HQ170" s="200"/>
      <c r="HR170" s="202"/>
      <c r="HS170" s="203"/>
      <c r="HT170" s="124"/>
      <c r="HV170" s="126"/>
      <c r="HW170" s="124"/>
      <c r="HY170" s="111"/>
      <c r="IA170" s="200"/>
      <c r="IB170" s="201"/>
      <c r="IC170" s="201"/>
      <c r="ID170" s="200"/>
      <c r="IE170" s="202"/>
      <c r="IF170" s="203"/>
      <c r="IG170" s="124"/>
      <c r="II170" s="126"/>
      <c r="IJ170" s="124"/>
      <c r="IL170" s="111"/>
      <c r="IN170" s="200"/>
      <c r="IO170" s="201"/>
      <c r="IP170" s="201"/>
      <c r="IQ170" s="200"/>
      <c r="IR170" s="202"/>
      <c r="IS170" s="203"/>
      <c r="IT170" s="124"/>
      <c r="IV170" s="126"/>
      <c r="IW170" s="124"/>
      <c r="IY170" s="111"/>
      <c r="JA170" s="200"/>
      <c r="JB170" s="201"/>
      <c r="JC170" s="201"/>
      <c r="JD170" s="200"/>
      <c r="JE170" s="202"/>
      <c r="JF170" s="203"/>
      <c r="JG170" s="124"/>
      <c r="JI170" s="126"/>
      <c r="JJ170" s="124"/>
      <c r="JL170" s="111"/>
      <c r="JN170" s="200"/>
      <c r="JO170" s="201"/>
      <c r="JP170" s="201"/>
      <c r="JQ170" s="200"/>
      <c r="JR170" s="202"/>
      <c r="JS170" s="203"/>
      <c r="JT170" s="124"/>
      <c r="JV170" s="126"/>
      <c r="JW170" s="124"/>
      <c r="JY170" s="111"/>
      <c r="KA170" s="200"/>
      <c r="KB170" s="201"/>
      <c r="KC170" s="201"/>
      <c r="KD170" s="200"/>
      <c r="KE170" s="202"/>
      <c r="KF170" s="203"/>
      <c r="KG170" s="124"/>
      <c r="KI170" s="126"/>
      <c r="KJ170" s="124"/>
      <c r="KL170" s="111"/>
      <c r="KN170" s="200"/>
      <c r="KO170" s="201"/>
      <c r="KP170" s="201"/>
      <c r="KQ170" s="200"/>
      <c r="KR170" s="202"/>
      <c r="KS170" s="203"/>
      <c r="KT170" s="124"/>
      <c r="KV170" s="126"/>
      <c r="KW170" s="124"/>
      <c r="KY170" s="111"/>
      <c r="LA170" s="200"/>
      <c r="LB170" s="201"/>
      <c r="LC170" s="201"/>
      <c r="LD170" s="200"/>
      <c r="LE170" s="202"/>
      <c r="LF170" s="203"/>
      <c r="LG170" s="124"/>
      <c r="LI170" s="126"/>
      <c r="LJ170" s="124"/>
      <c r="LL170" s="111"/>
      <c r="LN170" s="200"/>
      <c r="LO170" s="201"/>
      <c r="LP170" s="201"/>
      <c r="LQ170" s="200"/>
      <c r="LR170" s="202"/>
      <c r="LS170" s="203"/>
      <c r="LT170" s="124"/>
      <c r="LV170" s="126"/>
      <c r="LW170" s="124"/>
      <c r="LY170" s="111"/>
      <c r="MA170" s="200"/>
      <c r="MB170" s="201"/>
      <c r="MC170" s="201"/>
      <c r="MD170" s="200"/>
      <c r="ME170" s="202"/>
      <c r="MF170" s="203"/>
      <c r="MG170" s="124"/>
      <c r="MI170" s="126"/>
      <c r="MJ170" s="124"/>
      <c r="ML170" s="111"/>
      <c r="MN170" s="200"/>
      <c r="MO170" s="201"/>
      <c r="MP170" s="201"/>
      <c r="MQ170" s="200"/>
      <c r="MR170" s="202"/>
      <c r="MS170" s="203"/>
      <c r="MT170" s="124"/>
      <c r="MV170" s="126"/>
      <c r="MW170" s="124"/>
      <c r="MY170" s="111"/>
      <c r="NA170" s="200"/>
      <c r="NB170" s="201"/>
      <c r="NC170" s="201"/>
      <c r="ND170" s="200"/>
      <c r="NE170" s="202"/>
      <c r="NF170" s="203"/>
      <c r="NG170" s="124"/>
      <c r="NI170" s="126"/>
      <c r="NJ170" s="124"/>
      <c r="NL170" s="111"/>
      <c r="NN170" s="200"/>
      <c r="NO170" s="201"/>
      <c r="NP170" s="201"/>
      <c r="NQ170" s="200"/>
      <c r="NR170" s="202"/>
      <c r="NS170" s="203"/>
      <c r="NT170" s="124"/>
      <c r="NV170" s="126"/>
      <c r="NW170" s="124"/>
      <c r="NY170" s="111"/>
      <c r="OA170" s="200"/>
      <c r="OB170" s="201"/>
      <c r="OC170" s="201"/>
      <c r="OD170" s="200"/>
      <c r="OE170" s="202"/>
      <c r="OF170" s="203"/>
      <c r="OG170" s="124"/>
      <c r="OI170" s="126"/>
      <c r="OJ170" s="124"/>
      <c r="OL170" s="111"/>
      <c r="ON170" s="200"/>
      <c r="OO170" s="201"/>
      <c r="OP170" s="201"/>
      <c r="OQ170" s="200"/>
      <c r="OR170" s="202"/>
      <c r="OS170" s="203"/>
      <c r="OT170" s="124"/>
      <c r="OV170" s="126"/>
      <c r="OW170" s="124"/>
      <c r="OY170" s="111"/>
      <c r="PA170" s="200"/>
      <c r="PB170" s="201"/>
      <c r="PC170" s="201"/>
      <c r="PD170" s="200"/>
      <c r="PE170" s="202"/>
      <c r="PF170" s="203"/>
      <c r="PG170" s="124"/>
      <c r="PI170" s="126"/>
      <c r="PJ170" s="124"/>
      <c r="PL170" s="111"/>
      <c r="PN170" s="200"/>
      <c r="PO170" s="201"/>
      <c r="PP170" s="201"/>
      <c r="PQ170" s="200"/>
      <c r="PR170" s="202"/>
      <c r="PS170" s="203"/>
      <c r="PT170" s="124"/>
      <c r="PV170" s="126"/>
      <c r="PW170" s="124"/>
      <c r="PY170" s="111"/>
      <c r="QA170" s="200"/>
      <c r="QB170" s="201"/>
      <c r="QC170" s="201"/>
      <c r="QD170" s="200"/>
      <c r="QE170" s="202"/>
      <c r="QF170" s="203"/>
      <c r="QG170" s="124"/>
      <c r="QI170" s="126"/>
      <c r="QJ170" s="124"/>
      <c r="QL170" s="111"/>
      <c r="QN170" s="200"/>
      <c r="QO170" s="201"/>
      <c r="QP170" s="201"/>
      <c r="QQ170" s="200"/>
      <c r="QR170" s="202"/>
      <c r="QS170" s="203"/>
      <c r="QT170" s="124"/>
      <c r="QV170" s="126"/>
      <c r="QW170" s="124"/>
      <c r="QY170" s="111"/>
      <c r="RA170" s="200"/>
      <c r="RB170" s="201"/>
      <c r="RC170" s="201"/>
      <c r="RD170" s="200"/>
      <c r="RE170" s="202"/>
      <c r="RF170" s="203"/>
      <c r="RG170" s="124"/>
      <c r="RI170" s="126"/>
      <c r="RJ170" s="124"/>
      <c r="RL170" s="111"/>
      <c r="RN170" s="200"/>
      <c r="RO170" s="201"/>
      <c r="RP170" s="201"/>
      <c r="RQ170" s="200"/>
      <c r="RR170" s="202"/>
      <c r="RS170" s="203"/>
      <c r="RT170" s="124"/>
      <c r="RV170" s="126"/>
      <c r="RW170" s="124"/>
      <c r="RY170" s="111"/>
      <c r="SA170" s="200"/>
      <c r="SB170" s="201"/>
      <c r="SC170" s="201"/>
      <c r="SD170" s="200"/>
      <c r="SE170" s="202"/>
      <c r="SF170" s="203"/>
      <c r="SG170" s="124"/>
      <c r="SI170" s="126"/>
      <c r="SJ170" s="124"/>
      <c r="SL170" s="111"/>
      <c r="SN170" s="200"/>
      <c r="SO170" s="201"/>
      <c r="SP170" s="201"/>
      <c r="SQ170" s="200"/>
      <c r="SR170" s="202"/>
      <c r="SS170" s="203"/>
      <c r="ST170" s="124"/>
      <c r="SV170" s="126"/>
      <c r="SW170" s="124"/>
      <c r="SY170" s="111"/>
      <c r="TA170" s="200"/>
      <c r="TB170" s="201"/>
      <c r="TC170" s="201"/>
      <c r="TD170" s="200"/>
      <c r="TE170" s="202"/>
      <c r="TF170" s="203"/>
      <c r="TG170" s="124"/>
      <c r="TI170" s="126"/>
      <c r="TJ170" s="124"/>
      <c r="TL170" s="111"/>
      <c r="TN170" s="200"/>
      <c r="TO170" s="201"/>
      <c r="TP170" s="201"/>
      <c r="TQ170" s="200"/>
      <c r="TR170" s="202"/>
      <c r="TS170" s="203"/>
      <c r="TT170" s="124"/>
      <c r="TV170" s="126"/>
      <c r="TW170" s="124"/>
      <c r="TY170" s="111"/>
      <c r="UA170" s="200"/>
      <c r="UB170" s="201"/>
      <c r="UC170" s="201"/>
      <c r="UD170" s="200"/>
      <c r="UE170" s="202"/>
      <c r="UF170" s="203"/>
      <c r="UG170" s="124"/>
      <c r="UI170" s="126"/>
      <c r="UJ170" s="124"/>
      <c r="UL170" s="111"/>
      <c r="UN170" s="200"/>
      <c r="UO170" s="201"/>
      <c r="UP170" s="201"/>
      <c r="UQ170" s="200"/>
      <c r="UR170" s="202"/>
      <c r="US170" s="203"/>
      <c r="UT170" s="124"/>
      <c r="UV170" s="126"/>
      <c r="UW170" s="124"/>
      <c r="UY170" s="111"/>
      <c r="VA170" s="200"/>
      <c r="VB170" s="201"/>
      <c r="VC170" s="201"/>
      <c r="VD170" s="200"/>
      <c r="VE170" s="202"/>
      <c r="VF170" s="203"/>
      <c r="VG170" s="124"/>
      <c r="VI170" s="126"/>
      <c r="VJ170" s="124"/>
      <c r="VL170" s="111"/>
      <c r="VN170" s="200"/>
      <c r="VO170" s="201"/>
      <c r="VP170" s="201"/>
      <c r="VQ170" s="200"/>
      <c r="VR170" s="202"/>
      <c r="VS170" s="203"/>
      <c r="VT170" s="124"/>
      <c r="VV170" s="126"/>
      <c r="VW170" s="124"/>
      <c r="VY170" s="111"/>
      <c r="WA170" s="200"/>
      <c r="WB170" s="201"/>
      <c r="WC170" s="201"/>
      <c r="WD170" s="200"/>
      <c r="WE170" s="202"/>
      <c r="WF170" s="203"/>
      <c r="WG170" s="124"/>
      <c r="WI170" s="126"/>
      <c r="WJ170" s="124"/>
      <c r="WL170" s="111"/>
      <c r="WN170" s="200"/>
      <c r="WO170" s="201"/>
      <c r="WP170" s="201"/>
      <c r="WQ170" s="200"/>
      <c r="WR170" s="202"/>
      <c r="WS170" s="203"/>
      <c r="WT170" s="124"/>
      <c r="WV170" s="126"/>
      <c r="WW170" s="124"/>
      <c r="WY170" s="111"/>
      <c r="XA170" s="200"/>
      <c r="XB170" s="201"/>
      <c r="XC170" s="201"/>
      <c r="XD170" s="200"/>
      <c r="XE170" s="202"/>
      <c r="XF170" s="203"/>
      <c r="XG170" s="124"/>
      <c r="XI170" s="126"/>
      <c r="XJ170" s="124"/>
      <c r="XL170" s="111"/>
      <c r="XN170" s="200"/>
      <c r="XO170" s="201"/>
      <c r="XP170" s="201"/>
      <c r="XQ170" s="200"/>
      <c r="XR170" s="202"/>
      <c r="XS170" s="203"/>
      <c r="XT170" s="124"/>
      <c r="XV170" s="126"/>
      <c r="XW170" s="124"/>
      <c r="XY170" s="111"/>
      <c r="YA170" s="200"/>
      <c r="YB170" s="201"/>
      <c r="YC170" s="201"/>
      <c r="YD170" s="200"/>
      <c r="YE170" s="202"/>
      <c r="YF170" s="203"/>
      <c r="YG170" s="124"/>
      <c r="YI170" s="126"/>
      <c r="YJ170" s="124"/>
      <c r="YL170" s="111"/>
      <c r="YN170" s="200"/>
      <c r="YO170" s="201"/>
      <c r="YP170" s="201"/>
      <c r="YQ170" s="200"/>
      <c r="YR170" s="202"/>
      <c r="YS170" s="203"/>
      <c r="YT170" s="124"/>
      <c r="YV170" s="126"/>
      <c r="YW170" s="124"/>
      <c r="YY170" s="111"/>
      <c r="ZA170" s="200"/>
      <c r="ZB170" s="201"/>
      <c r="ZC170" s="201"/>
      <c r="ZD170" s="200"/>
      <c r="ZE170" s="202"/>
      <c r="ZF170" s="203"/>
      <c r="ZG170" s="124"/>
      <c r="ZI170" s="126"/>
      <c r="ZJ170" s="124"/>
      <c r="ZL170" s="111"/>
      <c r="ZN170" s="200"/>
      <c r="ZO170" s="201"/>
      <c r="ZP170" s="201"/>
      <c r="ZQ170" s="200"/>
      <c r="ZR170" s="202"/>
      <c r="ZS170" s="203"/>
      <c r="ZT170" s="124"/>
      <c r="ZV170" s="126"/>
      <c r="ZW170" s="124"/>
      <c r="ZY170" s="111"/>
      <c r="AAA170" s="200"/>
      <c r="AAB170" s="201"/>
      <c r="AAC170" s="201"/>
      <c r="AAD170" s="200"/>
      <c r="AAE170" s="202"/>
      <c r="AAF170" s="203"/>
      <c r="AAG170" s="124"/>
      <c r="AAI170" s="126"/>
      <c r="AAJ170" s="124"/>
      <c r="AAL170" s="111"/>
      <c r="AAN170" s="200"/>
      <c r="AAO170" s="201"/>
      <c r="AAP170" s="201"/>
      <c r="AAQ170" s="200"/>
      <c r="AAR170" s="202"/>
      <c r="AAS170" s="203"/>
      <c r="AAT170" s="124"/>
      <c r="AAV170" s="126"/>
      <c r="AAW170" s="124"/>
      <c r="AAY170" s="111"/>
      <c r="ABA170" s="200"/>
      <c r="ABB170" s="201"/>
      <c r="ABC170" s="201"/>
      <c r="ABD170" s="200"/>
      <c r="ABE170" s="202"/>
      <c r="ABF170" s="203"/>
      <c r="ABG170" s="124"/>
      <c r="ABI170" s="126"/>
      <c r="ABJ170" s="124"/>
      <c r="ABL170" s="111"/>
      <c r="ABN170" s="200"/>
      <c r="ABO170" s="201"/>
      <c r="ABP170" s="201"/>
      <c r="ABQ170" s="200"/>
      <c r="ABR170" s="202"/>
      <c r="ABS170" s="203"/>
      <c r="ABT170" s="124"/>
      <c r="ABV170" s="126"/>
      <c r="ABW170" s="124"/>
      <c r="ABY170" s="111"/>
      <c r="ACA170" s="200"/>
      <c r="ACB170" s="201"/>
      <c r="ACC170" s="201"/>
      <c r="ACD170" s="200"/>
      <c r="ACE170" s="202"/>
      <c r="ACF170" s="203"/>
      <c r="ACG170" s="124"/>
      <c r="ACI170" s="126"/>
      <c r="ACJ170" s="124"/>
      <c r="ACL170" s="111"/>
      <c r="ACN170" s="200"/>
      <c r="ACO170" s="201"/>
      <c r="ACP170" s="201"/>
      <c r="ACQ170" s="200"/>
      <c r="ACR170" s="202"/>
      <c r="ACS170" s="203"/>
      <c r="ACT170" s="124"/>
      <c r="ACV170" s="126"/>
      <c r="ACW170" s="124"/>
      <c r="ACY170" s="111"/>
      <c r="ADA170" s="200"/>
      <c r="ADB170" s="201"/>
      <c r="ADC170" s="201"/>
      <c r="ADD170" s="200"/>
      <c r="ADE170" s="202"/>
      <c r="ADF170" s="203"/>
      <c r="ADG170" s="124"/>
      <c r="ADI170" s="126"/>
      <c r="ADJ170" s="124"/>
      <c r="ADL170" s="111"/>
      <c r="ADN170" s="200"/>
      <c r="ADO170" s="201"/>
      <c r="ADP170" s="201"/>
      <c r="ADQ170" s="200"/>
      <c r="ADR170" s="202"/>
      <c r="ADS170" s="203"/>
      <c r="ADT170" s="124"/>
      <c r="ADV170" s="126"/>
      <c r="ADW170" s="124"/>
      <c r="ADY170" s="111"/>
      <c r="AEA170" s="200"/>
      <c r="AEB170" s="201"/>
      <c r="AEC170" s="201"/>
      <c r="AED170" s="200"/>
      <c r="AEE170" s="202"/>
      <c r="AEF170" s="203"/>
      <c r="AEG170" s="124"/>
      <c r="AEI170" s="126"/>
      <c r="AEJ170" s="124"/>
      <c r="AEL170" s="111"/>
      <c r="AEN170" s="200"/>
      <c r="AEO170" s="201"/>
      <c r="AEP170" s="201"/>
      <c r="AEQ170" s="200"/>
      <c r="AER170" s="202"/>
      <c r="AES170" s="203"/>
      <c r="AET170" s="124"/>
      <c r="AEV170" s="126"/>
      <c r="AEW170" s="124"/>
      <c r="AEY170" s="111"/>
      <c r="AFA170" s="200"/>
      <c r="AFB170" s="201"/>
      <c r="AFC170" s="201"/>
      <c r="AFD170" s="200"/>
      <c r="AFE170" s="202"/>
      <c r="AFF170" s="203"/>
      <c r="AFG170" s="124"/>
      <c r="AFI170" s="126"/>
      <c r="AFJ170" s="124"/>
      <c r="AFL170" s="111"/>
      <c r="AFN170" s="200"/>
      <c r="AFO170" s="201"/>
      <c r="AFP170" s="201"/>
      <c r="AFQ170" s="200"/>
      <c r="AFR170" s="202"/>
      <c r="AFS170" s="203"/>
      <c r="AFT170" s="124"/>
      <c r="AFV170" s="126"/>
      <c r="AFW170" s="124"/>
      <c r="AFY170" s="111"/>
      <c r="AGA170" s="200"/>
      <c r="AGB170" s="201"/>
      <c r="AGC170" s="201"/>
      <c r="AGD170" s="200"/>
      <c r="AGE170" s="202"/>
      <c r="AGF170" s="203"/>
      <c r="AGG170" s="124"/>
      <c r="AGI170" s="126"/>
      <c r="AGJ170" s="124"/>
      <c r="AGL170" s="111"/>
      <c r="AGN170" s="200"/>
      <c r="AGO170" s="201"/>
      <c r="AGP170" s="201"/>
      <c r="AGQ170" s="200"/>
      <c r="AGR170" s="202"/>
      <c r="AGS170" s="203"/>
      <c r="AGT170" s="124"/>
      <c r="AGV170" s="126"/>
      <c r="AGW170" s="124"/>
      <c r="AGY170" s="111"/>
      <c r="AHA170" s="200"/>
      <c r="AHB170" s="201"/>
      <c r="AHC170" s="201"/>
      <c r="AHD170" s="200"/>
      <c r="AHE170" s="202"/>
      <c r="AHF170" s="203"/>
      <c r="AHG170" s="124"/>
      <c r="AHI170" s="126"/>
      <c r="AHJ170" s="124"/>
      <c r="AHL170" s="111"/>
      <c r="AHN170" s="200"/>
      <c r="AHO170" s="201"/>
      <c r="AHP170" s="201"/>
      <c r="AHQ170" s="200"/>
      <c r="AHR170" s="202"/>
      <c r="AHS170" s="203"/>
      <c r="AHT170" s="124"/>
      <c r="AHV170" s="126"/>
      <c r="AHW170" s="124"/>
      <c r="AHY170" s="111"/>
      <c r="AIA170" s="200"/>
      <c r="AIB170" s="201"/>
      <c r="AIC170" s="201"/>
      <c r="AID170" s="200"/>
      <c r="AIE170" s="202"/>
      <c r="AIF170" s="203"/>
      <c r="AIG170" s="124"/>
      <c r="AII170" s="126"/>
      <c r="AIJ170" s="124"/>
      <c r="AIL170" s="111"/>
      <c r="AIN170" s="200"/>
      <c r="AIO170" s="201"/>
      <c r="AIP170" s="201"/>
      <c r="AIQ170" s="200"/>
      <c r="AIR170" s="202"/>
      <c r="AIS170" s="203"/>
      <c r="AIT170" s="124"/>
      <c r="AIV170" s="126"/>
      <c r="AIW170" s="124"/>
      <c r="AIY170" s="111"/>
      <c r="AJA170" s="200"/>
      <c r="AJB170" s="201"/>
      <c r="AJC170" s="201"/>
      <c r="AJD170" s="200"/>
      <c r="AJE170" s="202"/>
      <c r="AJF170" s="203"/>
      <c r="AJG170" s="124"/>
      <c r="AJI170" s="126"/>
      <c r="AJJ170" s="124"/>
      <c r="AJL170" s="111"/>
      <c r="AJN170" s="200"/>
      <c r="AJO170" s="201"/>
      <c r="AJP170" s="201"/>
      <c r="AJQ170" s="200"/>
      <c r="AJR170" s="202"/>
      <c r="AJS170" s="203"/>
      <c r="AJT170" s="124"/>
      <c r="AJV170" s="126"/>
      <c r="AJW170" s="124"/>
      <c r="AJY170" s="111"/>
      <c r="AKA170" s="200"/>
      <c r="AKB170" s="201"/>
      <c r="AKC170" s="201"/>
      <c r="AKD170" s="200"/>
      <c r="AKE170" s="202"/>
      <c r="AKF170" s="203"/>
      <c r="AKG170" s="124"/>
      <c r="AKI170" s="126"/>
      <c r="AKJ170" s="124"/>
      <c r="AKL170" s="111"/>
      <c r="AKN170" s="200"/>
      <c r="AKO170" s="201"/>
      <c r="AKP170" s="201"/>
      <c r="AKQ170" s="200"/>
      <c r="AKR170" s="202"/>
      <c r="AKS170" s="203"/>
      <c r="AKT170" s="124"/>
      <c r="AKV170" s="126"/>
      <c r="AKW170" s="124"/>
      <c r="AKY170" s="111"/>
      <c r="ALA170" s="200"/>
      <c r="ALB170" s="201"/>
      <c r="ALC170" s="201"/>
      <c r="ALD170" s="200"/>
      <c r="ALE170" s="202"/>
      <c r="ALF170" s="203"/>
      <c r="ALG170" s="124"/>
      <c r="ALI170" s="126"/>
      <c r="ALJ170" s="124"/>
      <c r="ALL170" s="111"/>
      <c r="ALN170" s="200"/>
      <c r="ALO170" s="201"/>
      <c r="ALP170" s="201"/>
      <c r="ALQ170" s="200"/>
      <c r="ALR170" s="202"/>
      <c r="ALS170" s="203"/>
      <c r="ALT170" s="124"/>
      <c r="ALV170" s="126"/>
      <c r="ALW170" s="124"/>
      <c r="ALY170" s="111"/>
      <c r="AMA170" s="200"/>
      <c r="AMB170" s="201"/>
      <c r="AMC170" s="201"/>
      <c r="AMD170" s="200"/>
      <c r="AME170" s="202"/>
      <c r="AMF170" s="203"/>
      <c r="AMG170" s="124"/>
      <c r="AMI170" s="126"/>
      <c r="AMJ170" s="124"/>
      <c r="AML170" s="111"/>
      <c r="AMN170" s="200"/>
      <c r="AMO170" s="201"/>
      <c r="AMP170" s="201"/>
      <c r="AMQ170" s="200"/>
      <c r="AMR170" s="202"/>
      <c r="AMS170" s="203"/>
      <c r="AMT170" s="124"/>
      <c r="AMV170" s="126"/>
      <c r="AMW170" s="124"/>
      <c r="AMY170" s="111"/>
      <c r="ANA170" s="200"/>
      <c r="ANB170" s="201"/>
      <c r="ANC170" s="201"/>
      <c r="AND170" s="200"/>
      <c r="ANE170" s="202"/>
      <c r="ANF170" s="203"/>
      <c r="ANG170" s="124"/>
      <c r="ANI170" s="126"/>
      <c r="ANJ170" s="124"/>
      <c r="ANL170" s="111"/>
      <c r="ANN170" s="200"/>
      <c r="ANO170" s="201"/>
      <c r="ANP170" s="201"/>
      <c r="ANQ170" s="200"/>
      <c r="ANR170" s="202"/>
      <c r="ANS170" s="203"/>
      <c r="ANT170" s="124"/>
      <c r="ANV170" s="126"/>
      <c r="ANW170" s="124"/>
      <c r="ANY170" s="111"/>
      <c r="AOA170" s="200"/>
      <c r="AOB170" s="201"/>
      <c r="AOC170" s="201"/>
      <c r="AOD170" s="200"/>
      <c r="AOE170" s="202"/>
      <c r="AOF170" s="203"/>
      <c r="AOG170" s="124"/>
      <c r="AOI170" s="126"/>
      <c r="AOJ170" s="124"/>
      <c r="AOL170" s="111"/>
      <c r="AON170" s="200"/>
      <c r="AOO170" s="201"/>
      <c r="AOP170" s="201"/>
      <c r="AOQ170" s="200"/>
      <c r="AOR170" s="202"/>
      <c r="AOS170" s="203"/>
      <c r="AOT170" s="124"/>
      <c r="AOV170" s="126"/>
      <c r="AOW170" s="124"/>
      <c r="AOY170" s="111"/>
      <c r="APA170" s="200"/>
      <c r="APB170" s="201"/>
      <c r="APC170" s="201"/>
      <c r="APD170" s="200"/>
      <c r="APE170" s="202"/>
      <c r="APF170" s="203"/>
      <c r="APG170" s="124"/>
      <c r="API170" s="126"/>
      <c r="APJ170" s="124"/>
      <c r="APL170" s="111"/>
      <c r="APN170" s="200"/>
      <c r="APO170" s="201"/>
      <c r="APP170" s="201"/>
      <c r="APQ170" s="200"/>
      <c r="APR170" s="202"/>
      <c r="APS170" s="203"/>
      <c r="APT170" s="124"/>
      <c r="APV170" s="126"/>
      <c r="APW170" s="124"/>
      <c r="APY170" s="111"/>
      <c r="AQA170" s="200"/>
      <c r="AQB170" s="201"/>
      <c r="AQC170" s="201"/>
      <c r="AQD170" s="200"/>
      <c r="AQE170" s="202"/>
      <c r="AQF170" s="203"/>
      <c r="AQG170" s="124"/>
      <c r="AQI170" s="126"/>
      <c r="AQJ170" s="124"/>
      <c r="AQL170" s="111"/>
      <c r="AQN170" s="200"/>
      <c r="AQO170" s="201"/>
      <c r="AQP170" s="201"/>
      <c r="AQQ170" s="200"/>
      <c r="AQR170" s="202"/>
      <c r="AQS170" s="203"/>
      <c r="AQT170" s="124"/>
      <c r="AQV170" s="126"/>
      <c r="AQW170" s="124"/>
      <c r="AQY170" s="111"/>
      <c r="ARA170" s="200"/>
      <c r="ARB170" s="201"/>
      <c r="ARC170" s="201"/>
      <c r="ARD170" s="200"/>
      <c r="ARE170" s="202"/>
      <c r="ARF170" s="203"/>
      <c r="ARG170" s="124"/>
      <c r="ARI170" s="126"/>
      <c r="ARJ170" s="124"/>
      <c r="ARL170" s="111"/>
      <c r="ARN170" s="200"/>
      <c r="ARO170" s="201"/>
      <c r="ARP170" s="201"/>
      <c r="ARQ170" s="200"/>
      <c r="ARR170" s="202"/>
      <c r="ARS170" s="203"/>
      <c r="ART170" s="124"/>
      <c r="ARV170" s="126"/>
      <c r="ARW170" s="124"/>
      <c r="ARY170" s="111"/>
      <c r="ASA170" s="200"/>
      <c r="ASB170" s="201"/>
      <c r="ASC170" s="201"/>
      <c r="ASD170" s="200"/>
      <c r="ASE170" s="202"/>
      <c r="ASF170" s="203"/>
      <c r="ASG170" s="124"/>
      <c r="ASI170" s="126"/>
      <c r="ASJ170" s="124"/>
      <c r="ASL170" s="111"/>
      <c r="ASN170" s="200"/>
      <c r="ASO170" s="201"/>
      <c r="ASP170" s="201"/>
      <c r="ASQ170" s="200"/>
      <c r="ASR170" s="202"/>
      <c r="ASS170" s="203"/>
      <c r="AST170" s="124"/>
      <c r="ASV170" s="126"/>
      <c r="ASW170" s="124"/>
      <c r="ASY170" s="111"/>
      <c r="ATA170" s="200"/>
      <c r="ATB170" s="201"/>
      <c r="ATC170" s="201"/>
      <c r="ATD170" s="200"/>
      <c r="ATE170" s="202"/>
      <c r="ATF170" s="203"/>
      <c r="ATG170" s="124"/>
      <c r="ATI170" s="126"/>
      <c r="ATJ170" s="124"/>
      <c r="ATL170" s="111"/>
      <c r="ATN170" s="200"/>
      <c r="ATO170" s="201"/>
      <c r="ATP170" s="201"/>
      <c r="ATQ170" s="200"/>
      <c r="ATR170" s="202"/>
      <c r="ATS170" s="203"/>
      <c r="ATT170" s="124"/>
      <c r="ATV170" s="126"/>
      <c r="ATW170" s="124"/>
      <c r="ATY170" s="111"/>
      <c r="AUA170" s="200"/>
      <c r="AUB170" s="201"/>
      <c r="AUC170" s="201"/>
      <c r="AUD170" s="200"/>
      <c r="AUE170" s="202"/>
      <c r="AUF170" s="203"/>
      <c r="AUG170" s="124"/>
      <c r="AUI170" s="126"/>
      <c r="AUJ170" s="124"/>
      <c r="AUL170" s="111"/>
      <c r="AUN170" s="200"/>
      <c r="AUO170" s="201"/>
      <c r="AUP170" s="201"/>
      <c r="AUQ170" s="200"/>
      <c r="AUR170" s="202"/>
      <c r="AUS170" s="203"/>
      <c r="AUT170" s="124"/>
      <c r="AUV170" s="126"/>
      <c r="AUW170" s="124"/>
      <c r="AUY170" s="111"/>
      <c r="AVA170" s="200"/>
      <c r="AVB170" s="201"/>
      <c r="AVC170" s="201"/>
      <c r="AVD170" s="200"/>
      <c r="AVE170" s="202"/>
      <c r="AVF170" s="203"/>
      <c r="AVG170" s="124"/>
      <c r="AVI170" s="126"/>
      <c r="AVJ170" s="124"/>
      <c r="AVL170" s="111"/>
      <c r="AVN170" s="200"/>
      <c r="AVO170" s="201"/>
      <c r="AVP170" s="201"/>
      <c r="AVQ170" s="200"/>
      <c r="AVR170" s="202"/>
      <c r="AVS170" s="203"/>
      <c r="AVT170" s="124"/>
      <c r="AVV170" s="126"/>
      <c r="AVW170" s="124"/>
      <c r="AVY170" s="111"/>
      <c r="AWA170" s="200"/>
      <c r="AWB170" s="201"/>
      <c r="AWC170" s="201"/>
      <c r="AWD170" s="200"/>
      <c r="AWE170" s="202"/>
      <c r="AWF170" s="203"/>
      <c r="AWG170" s="124"/>
      <c r="AWI170" s="126"/>
      <c r="AWJ170" s="124"/>
      <c r="AWL170" s="111"/>
      <c r="AWN170" s="200"/>
      <c r="AWO170" s="201"/>
      <c r="AWP170" s="201"/>
      <c r="AWQ170" s="200"/>
      <c r="AWR170" s="202"/>
      <c r="AWS170" s="203"/>
      <c r="AWT170" s="124"/>
      <c r="AWV170" s="126"/>
      <c r="AWW170" s="124"/>
      <c r="AWY170" s="111"/>
      <c r="AXA170" s="200"/>
      <c r="AXB170" s="201"/>
      <c r="AXC170" s="201"/>
      <c r="AXD170" s="200"/>
      <c r="AXE170" s="202"/>
      <c r="AXF170" s="203"/>
      <c r="AXG170" s="124"/>
      <c r="AXI170" s="126"/>
      <c r="AXJ170" s="124"/>
      <c r="AXL170" s="111"/>
      <c r="AXN170" s="200"/>
      <c r="AXO170" s="201"/>
      <c r="AXP170" s="201"/>
      <c r="AXQ170" s="200"/>
      <c r="AXR170" s="202"/>
      <c r="AXS170" s="203"/>
      <c r="AXT170" s="124"/>
      <c r="AXV170" s="126"/>
      <c r="AXW170" s="124"/>
      <c r="AXY170" s="111"/>
      <c r="AYA170" s="200"/>
      <c r="AYB170" s="201"/>
      <c r="AYC170" s="201"/>
      <c r="AYD170" s="200"/>
      <c r="AYE170" s="202"/>
      <c r="AYF170" s="203"/>
      <c r="AYG170" s="124"/>
      <c r="AYI170" s="126"/>
      <c r="AYJ170" s="124"/>
      <c r="AYL170" s="111"/>
      <c r="AYN170" s="200"/>
      <c r="AYO170" s="201"/>
      <c r="AYP170" s="201"/>
      <c r="AYQ170" s="200"/>
      <c r="AYR170" s="202"/>
      <c r="AYS170" s="203"/>
      <c r="AYT170" s="124"/>
      <c r="AYV170" s="126"/>
      <c r="AYW170" s="124"/>
      <c r="AYY170" s="111"/>
      <c r="AZA170" s="200"/>
      <c r="AZB170" s="201"/>
      <c r="AZC170" s="201"/>
      <c r="AZD170" s="200"/>
      <c r="AZE170" s="202"/>
      <c r="AZF170" s="203"/>
      <c r="AZG170" s="124"/>
      <c r="AZI170" s="126"/>
      <c r="AZJ170" s="124"/>
      <c r="AZL170" s="111"/>
      <c r="AZN170" s="200"/>
      <c r="AZO170" s="201"/>
      <c r="AZP170" s="201"/>
      <c r="AZQ170" s="200"/>
      <c r="AZR170" s="202"/>
      <c r="AZS170" s="203"/>
      <c r="AZT170" s="124"/>
      <c r="AZV170" s="126"/>
      <c r="AZW170" s="124"/>
      <c r="AZY170" s="111"/>
      <c r="BAA170" s="200"/>
      <c r="BAB170" s="201"/>
      <c r="BAC170" s="201"/>
      <c r="BAD170" s="200"/>
      <c r="BAE170" s="202"/>
      <c r="BAF170" s="203"/>
      <c r="BAG170" s="124"/>
      <c r="BAI170" s="126"/>
      <c r="BAJ170" s="124"/>
      <c r="BAL170" s="111"/>
      <c r="BAN170" s="200"/>
      <c r="BAO170" s="201"/>
      <c r="BAP170" s="201"/>
      <c r="BAQ170" s="200"/>
      <c r="BAR170" s="202"/>
      <c r="BAS170" s="203"/>
      <c r="BAT170" s="124"/>
      <c r="BAV170" s="126"/>
      <c r="BAW170" s="124"/>
      <c r="BAY170" s="111"/>
      <c r="BBA170" s="200"/>
      <c r="BBB170" s="201"/>
      <c r="BBC170" s="201"/>
      <c r="BBD170" s="200"/>
      <c r="BBE170" s="202"/>
      <c r="BBF170" s="203"/>
      <c r="BBG170" s="124"/>
      <c r="BBI170" s="126"/>
      <c r="BBJ170" s="124"/>
      <c r="BBL170" s="111"/>
      <c r="BBN170" s="200"/>
      <c r="BBO170" s="201"/>
      <c r="BBP170" s="201"/>
      <c r="BBQ170" s="200"/>
      <c r="BBR170" s="202"/>
      <c r="BBS170" s="203"/>
      <c r="BBT170" s="124"/>
      <c r="BBV170" s="126"/>
      <c r="BBW170" s="124"/>
      <c r="BBY170" s="111"/>
      <c r="BCA170" s="200"/>
      <c r="BCB170" s="201"/>
      <c r="BCC170" s="201"/>
      <c r="BCD170" s="200"/>
      <c r="BCE170" s="202"/>
      <c r="BCF170" s="203"/>
      <c r="BCG170" s="124"/>
      <c r="BCI170" s="126"/>
      <c r="BCJ170" s="124"/>
      <c r="BCL170" s="111"/>
      <c r="BCN170" s="200"/>
      <c r="BCO170" s="201"/>
      <c r="BCP170" s="201"/>
      <c r="BCQ170" s="200"/>
      <c r="BCR170" s="202"/>
      <c r="BCS170" s="203"/>
      <c r="BCT170" s="124"/>
      <c r="BCV170" s="126"/>
      <c r="BCW170" s="124"/>
      <c r="BCY170" s="111"/>
      <c r="BDA170" s="200"/>
      <c r="BDB170" s="201"/>
      <c r="BDC170" s="201"/>
      <c r="BDD170" s="200"/>
      <c r="BDE170" s="202"/>
      <c r="BDF170" s="203"/>
      <c r="BDG170" s="124"/>
      <c r="BDI170" s="126"/>
      <c r="BDJ170" s="124"/>
      <c r="BDL170" s="111"/>
      <c r="BDN170" s="200"/>
      <c r="BDO170" s="201"/>
      <c r="BDP170" s="201"/>
      <c r="BDQ170" s="200"/>
      <c r="BDR170" s="202"/>
      <c r="BDS170" s="203"/>
      <c r="BDT170" s="124"/>
      <c r="BDV170" s="126"/>
      <c r="BDW170" s="124"/>
      <c r="BDY170" s="111"/>
      <c r="BEA170" s="200"/>
      <c r="BEB170" s="201"/>
      <c r="BEC170" s="201"/>
      <c r="BED170" s="200"/>
      <c r="BEE170" s="202"/>
      <c r="BEF170" s="203"/>
      <c r="BEG170" s="124"/>
      <c r="BEI170" s="126"/>
      <c r="BEJ170" s="124"/>
      <c r="BEL170" s="111"/>
      <c r="BEN170" s="200"/>
      <c r="BEO170" s="201"/>
      <c r="BEP170" s="201"/>
      <c r="BEQ170" s="200"/>
      <c r="BER170" s="202"/>
      <c r="BES170" s="203"/>
      <c r="BET170" s="124"/>
      <c r="BEV170" s="126"/>
      <c r="BEW170" s="124"/>
      <c r="BEY170" s="111"/>
      <c r="BFA170" s="200"/>
      <c r="BFB170" s="201"/>
      <c r="BFC170" s="201"/>
      <c r="BFD170" s="200"/>
      <c r="BFE170" s="202"/>
      <c r="BFF170" s="203"/>
      <c r="BFG170" s="124"/>
      <c r="BFI170" s="126"/>
      <c r="BFJ170" s="124"/>
      <c r="BFL170" s="111"/>
      <c r="BFN170" s="200"/>
      <c r="BFO170" s="201"/>
      <c r="BFP170" s="201"/>
      <c r="BFQ170" s="200"/>
      <c r="BFR170" s="202"/>
      <c r="BFS170" s="203"/>
      <c r="BFT170" s="124"/>
      <c r="BFV170" s="126"/>
      <c r="BFW170" s="124"/>
      <c r="BFY170" s="111"/>
      <c r="BGA170" s="200"/>
      <c r="BGB170" s="201"/>
      <c r="BGC170" s="201"/>
      <c r="BGD170" s="200"/>
      <c r="BGE170" s="202"/>
      <c r="BGF170" s="203"/>
      <c r="BGG170" s="124"/>
      <c r="BGI170" s="126"/>
      <c r="BGJ170" s="124"/>
      <c r="BGL170" s="111"/>
      <c r="BGN170" s="200"/>
      <c r="BGO170" s="201"/>
      <c r="BGP170" s="201"/>
      <c r="BGQ170" s="200"/>
      <c r="BGR170" s="202"/>
      <c r="BGS170" s="203"/>
      <c r="BGT170" s="124"/>
      <c r="BGV170" s="126"/>
      <c r="BGW170" s="124"/>
      <c r="BGY170" s="111"/>
      <c r="BHA170" s="200"/>
      <c r="BHB170" s="201"/>
      <c r="BHC170" s="201"/>
      <c r="BHD170" s="200"/>
      <c r="BHE170" s="202"/>
      <c r="BHF170" s="203"/>
      <c r="BHG170" s="124"/>
      <c r="BHI170" s="126"/>
      <c r="BHJ170" s="124"/>
      <c r="BHL170" s="111"/>
      <c r="BHN170" s="200"/>
      <c r="BHO170" s="201"/>
      <c r="BHP170" s="201"/>
      <c r="BHQ170" s="200"/>
      <c r="BHR170" s="202"/>
      <c r="BHS170" s="203"/>
      <c r="BHT170" s="124"/>
      <c r="BHV170" s="126"/>
      <c r="BHW170" s="124"/>
      <c r="BHY170" s="111"/>
      <c r="BIA170" s="200"/>
      <c r="BIB170" s="201"/>
      <c r="BIC170" s="201"/>
      <c r="BID170" s="200"/>
      <c r="BIE170" s="202"/>
      <c r="BIF170" s="203"/>
      <c r="BIG170" s="124"/>
      <c r="BII170" s="126"/>
      <c r="BIJ170" s="124"/>
      <c r="BIL170" s="111"/>
      <c r="BIN170" s="200"/>
      <c r="BIO170" s="201"/>
      <c r="BIP170" s="201"/>
      <c r="BIQ170" s="200"/>
      <c r="BIR170" s="202"/>
      <c r="BIS170" s="203"/>
      <c r="BIT170" s="124"/>
      <c r="BIV170" s="126"/>
      <c r="BIW170" s="124"/>
      <c r="BIY170" s="111"/>
      <c r="BJA170" s="200"/>
      <c r="BJB170" s="201"/>
      <c r="BJC170" s="201"/>
      <c r="BJD170" s="200"/>
      <c r="BJE170" s="202"/>
      <c r="BJF170" s="203"/>
      <c r="BJG170" s="124"/>
      <c r="BJI170" s="126"/>
      <c r="BJJ170" s="124"/>
      <c r="BJL170" s="111"/>
      <c r="BJN170" s="200"/>
      <c r="BJO170" s="201"/>
      <c r="BJP170" s="201"/>
      <c r="BJQ170" s="200"/>
      <c r="BJR170" s="202"/>
      <c r="BJS170" s="203"/>
      <c r="BJT170" s="124"/>
      <c r="BJV170" s="126"/>
      <c r="BJW170" s="124"/>
      <c r="BJY170" s="111"/>
      <c r="BKA170" s="200"/>
      <c r="BKB170" s="201"/>
      <c r="BKC170" s="201"/>
      <c r="BKD170" s="200"/>
      <c r="BKE170" s="202"/>
      <c r="BKF170" s="203"/>
      <c r="BKG170" s="124"/>
      <c r="BKI170" s="126"/>
      <c r="BKJ170" s="124"/>
      <c r="BKL170" s="111"/>
      <c r="BKN170" s="200"/>
      <c r="BKO170" s="201"/>
      <c r="BKP170" s="201"/>
      <c r="BKQ170" s="200"/>
      <c r="BKR170" s="202"/>
      <c r="BKS170" s="203"/>
      <c r="BKT170" s="124"/>
      <c r="BKV170" s="126"/>
      <c r="BKW170" s="124"/>
      <c r="BKY170" s="111"/>
      <c r="BLA170" s="200"/>
      <c r="BLB170" s="201"/>
      <c r="BLC170" s="201"/>
      <c r="BLD170" s="200"/>
      <c r="BLE170" s="202"/>
      <c r="BLF170" s="203"/>
      <c r="BLG170" s="124"/>
      <c r="BLI170" s="126"/>
      <c r="BLJ170" s="124"/>
      <c r="BLL170" s="111"/>
      <c r="BLN170" s="200"/>
      <c r="BLO170" s="201"/>
      <c r="BLP170" s="201"/>
      <c r="BLQ170" s="200"/>
      <c r="BLR170" s="202"/>
      <c r="BLS170" s="203"/>
      <c r="BLT170" s="124"/>
      <c r="BLV170" s="126"/>
      <c r="BLW170" s="124"/>
      <c r="BLY170" s="111"/>
      <c r="BMA170" s="200"/>
      <c r="BMB170" s="201"/>
      <c r="BMC170" s="201"/>
      <c r="BMD170" s="200"/>
      <c r="BME170" s="202"/>
      <c r="BMF170" s="203"/>
      <c r="BMG170" s="124"/>
      <c r="BMI170" s="126"/>
      <c r="BMJ170" s="124"/>
      <c r="BML170" s="111"/>
      <c r="BMN170" s="200"/>
      <c r="BMO170" s="201"/>
      <c r="BMP170" s="201"/>
      <c r="BMQ170" s="200"/>
      <c r="BMR170" s="202"/>
      <c r="BMS170" s="203"/>
      <c r="BMT170" s="124"/>
      <c r="BMV170" s="126"/>
      <c r="BMW170" s="124"/>
      <c r="BMY170" s="111"/>
      <c r="BNA170" s="200"/>
      <c r="BNB170" s="201"/>
      <c r="BNC170" s="201"/>
      <c r="BND170" s="200"/>
      <c r="BNE170" s="202"/>
      <c r="BNF170" s="203"/>
      <c r="BNG170" s="124"/>
      <c r="BNI170" s="126"/>
      <c r="BNJ170" s="124"/>
      <c r="BNL170" s="111"/>
      <c r="BNN170" s="200"/>
      <c r="BNO170" s="201"/>
      <c r="BNP170" s="201"/>
      <c r="BNQ170" s="200"/>
      <c r="BNR170" s="202"/>
      <c r="BNS170" s="203"/>
      <c r="BNT170" s="124"/>
      <c r="BNV170" s="126"/>
      <c r="BNW170" s="124"/>
      <c r="BNY170" s="111"/>
      <c r="BOA170" s="200"/>
      <c r="BOB170" s="201"/>
      <c r="BOC170" s="201"/>
      <c r="BOD170" s="200"/>
      <c r="BOE170" s="202"/>
      <c r="BOF170" s="203"/>
      <c r="BOG170" s="124"/>
      <c r="BOI170" s="126"/>
      <c r="BOJ170" s="124"/>
      <c r="BOL170" s="111"/>
      <c r="BON170" s="200"/>
      <c r="BOO170" s="201"/>
      <c r="BOP170" s="201"/>
      <c r="BOQ170" s="200"/>
      <c r="BOR170" s="202"/>
      <c r="BOS170" s="203"/>
      <c r="BOT170" s="124"/>
      <c r="BOV170" s="126"/>
      <c r="BOW170" s="124"/>
      <c r="BOY170" s="111"/>
      <c r="BPA170" s="200"/>
      <c r="BPB170" s="201"/>
      <c r="BPC170" s="201"/>
      <c r="BPD170" s="200"/>
      <c r="BPE170" s="202"/>
      <c r="BPF170" s="203"/>
      <c r="BPG170" s="124"/>
      <c r="BPI170" s="126"/>
      <c r="BPJ170" s="124"/>
      <c r="BPL170" s="111"/>
      <c r="BPN170" s="200"/>
      <c r="BPO170" s="201"/>
      <c r="BPP170" s="201"/>
      <c r="BPQ170" s="200"/>
      <c r="BPR170" s="202"/>
      <c r="BPS170" s="203"/>
      <c r="BPT170" s="124"/>
      <c r="BPV170" s="126"/>
      <c r="BPW170" s="124"/>
      <c r="BPY170" s="111"/>
      <c r="BQA170" s="200"/>
      <c r="BQB170" s="201"/>
      <c r="BQC170" s="201"/>
      <c r="BQD170" s="200"/>
      <c r="BQE170" s="202"/>
      <c r="BQF170" s="203"/>
      <c r="BQG170" s="124"/>
      <c r="BQI170" s="126"/>
      <c r="BQJ170" s="124"/>
      <c r="BQL170" s="111"/>
      <c r="BQN170" s="200"/>
      <c r="BQO170" s="201"/>
      <c r="BQP170" s="201"/>
      <c r="BQQ170" s="200"/>
      <c r="BQR170" s="202"/>
      <c r="BQS170" s="203"/>
      <c r="BQT170" s="124"/>
      <c r="BQV170" s="126"/>
      <c r="BQW170" s="124"/>
      <c r="BQY170" s="111"/>
      <c r="BRA170" s="200"/>
      <c r="BRB170" s="201"/>
      <c r="BRC170" s="201"/>
      <c r="BRD170" s="200"/>
      <c r="BRE170" s="202"/>
      <c r="BRF170" s="203"/>
      <c r="BRG170" s="124"/>
      <c r="BRI170" s="126"/>
      <c r="BRJ170" s="124"/>
      <c r="BRL170" s="111"/>
      <c r="BRN170" s="200"/>
      <c r="BRO170" s="201"/>
      <c r="BRP170" s="201"/>
      <c r="BRQ170" s="200"/>
      <c r="BRR170" s="202"/>
      <c r="BRS170" s="203"/>
      <c r="BRT170" s="124"/>
      <c r="BRV170" s="126"/>
      <c r="BRW170" s="124"/>
      <c r="BRY170" s="111"/>
      <c r="BSA170" s="200"/>
      <c r="BSB170" s="201"/>
      <c r="BSC170" s="201"/>
      <c r="BSD170" s="200"/>
      <c r="BSE170" s="202"/>
      <c r="BSF170" s="203"/>
      <c r="BSG170" s="124"/>
      <c r="BSI170" s="126"/>
      <c r="BSJ170" s="124"/>
      <c r="BSL170" s="111"/>
      <c r="BSN170" s="200"/>
      <c r="BSO170" s="201"/>
      <c r="BSP170" s="201"/>
      <c r="BSQ170" s="200"/>
      <c r="BSR170" s="202"/>
      <c r="BSS170" s="203"/>
      <c r="BST170" s="124"/>
      <c r="BSV170" s="126"/>
      <c r="BSW170" s="124"/>
      <c r="BSY170" s="111"/>
      <c r="BTA170" s="200"/>
      <c r="BTB170" s="201"/>
      <c r="BTC170" s="201"/>
      <c r="BTD170" s="200"/>
      <c r="BTE170" s="202"/>
      <c r="BTF170" s="203"/>
      <c r="BTG170" s="124"/>
      <c r="BTI170" s="126"/>
      <c r="BTJ170" s="124"/>
      <c r="BTL170" s="111"/>
      <c r="BTN170" s="200"/>
      <c r="BTO170" s="201"/>
      <c r="BTP170" s="201"/>
      <c r="BTQ170" s="200"/>
      <c r="BTR170" s="202"/>
      <c r="BTS170" s="203"/>
      <c r="BTT170" s="124"/>
      <c r="BTV170" s="126"/>
      <c r="BTW170" s="124"/>
      <c r="BTY170" s="111"/>
      <c r="BUA170" s="200"/>
      <c r="BUB170" s="201"/>
      <c r="BUC170" s="201"/>
      <c r="BUD170" s="200"/>
      <c r="BUE170" s="202"/>
      <c r="BUF170" s="203"/>
      <c r="BUG170" s="124"/>
      <c r="BUI170" s="126"/>
      <c r="BUJ170" s="124"/>
      <c r="BUL170" s="111"/>
      <c r="BUN170" s="200"/>
      <c r="BUO170" s="201"/>
      <c r="BUP170" s="201"/>
      <c r="BUQ170" s="200"/>
      <c r="BUR170" s="202"/>
      <c r="BUS170" s="203"/>
      <c r="BUT170" s="124"/>
      <c r="BUV170" s="126"/>
      <c r="BUW170" s="124"/>
      <c r="BUY170" s="111"/>
      <c r="BVA170" s="200"/>
      <c r="BVB170" s="201"/>
      <c r="BVC170" s="201"/>
      <c r="BVD170" s="200"/>
      <c r="BVE170" s="202"/>
      <c r="BVF170" s="203"/>
      <c r="BVG170" s="124"/>
      <c r="BVI170" s="126"/>
      <c r="BVJ170" s="124"/>
      <c r="BVL170" s="111"/>
      <c r="BVN170" s="200"/>
      <c r="BVO170" s="201"/>
      <c r="BVP170" s="201"/>
      <c r="BVQ170" s="200"/>
      <c r="BVR170" s="202"/>
      <c r="BVS170" s="203"/>
      <c r="BVT170" s="124"/>
      <c r="BVV170" s="126"/>
      <c r="BVW170" s="124"/>
      <c r="BVY170" s="111"/>
      <c r="BWA170" s="200"/>
      <c r="BWB170" s="201"/>
      <c r="BWC170" s="201"/>
      <c r="BWD170" s="200"/>
      <c r="BWE170" s="202"/>
      <c r="BWF170" s="203"/>
      <c r="BWG170" s="124"/>
      <c r="BWI170" s="126"/>
      <c r="BWJ170" s="124"/>
      <c r="BWL170" s="111"/>
      <c r="BWN170" s="200"/>
      <c r="BWO170" s="201"/>
      <c r="BWP170" s="201"/>
      <c r="BWQ170" s="200"/>
      <c r="BWR170" s="202"/>
      <c r="BWS170" s="203"/>
      <c r="BWT170" s="124"/>
      <c r="BWV170" s="126"/>
      <c r="BWW170" s="124"/>
      <c r="BWY170" s="111"/>
      <c r="BXA170" s="200"/>
      <c r="BXB170" s="201"/>
      <c r="BXC170" s="201"/>
      <c r="BXD170" s="200"/>
      <c r="BXE170" s="202"/>
      <c r="BXF170" s="203"/>
      <c r="BXG170" s="124"/>
      <c r="BXI170" s="126"/>
      <c r="BXJ170" s="124"/>
      <c r="BXL170" s="111"/>
      <c r="BXN170" s="200"/>
      <c r="BXO170" s="201"/>
      <c r="BXP170" s="201"/>
      <c r="BXQ170" s="200"/>
      <c r="BXR170" s="202"/>
      <c r="BXS170" s="203"/>
      <c r="BXT170" s="124"/>
      <c r="BXV170" s="126"/>
      <c r="BXW170" s="124"/>
      <c r="BXY170" s="111"/>
      <c r="BYA170" s="200"/>
      <c r="BYB170" s="201"/>
      <c r="BYC170" s="201"/>
      <c r="BYD170" s="200"/>
      <c r="BYE170" s="202"/>
      <c r="BYF170" s="203"/>
      <c r="BYG170" s="124"/>
      <c r="BYI170" s="126"/>
      <c r="BYJ170" s="124"/>
      <c r="BYL170" s="111"/>
      <c r="BYN170" s="200"/>
      <c r="BYO170" s="201"/>
      <c r="BYP170" s="201"/>
      <c r="BYQ170" s="200"/>
      <c r="BYR170" s="202"/>
      <c r="BYS170" s="203"/>
      <c r="BYT170" s="124"/>
      <c r="BYV170" s="126"/>
      <c r="BYW170" s="124"/>
      <c r="BYY170" s="111"/>
      <c r="BZA170" s="200"/>
      <c r="BZB170" s="201"/>
      <c r="BZC170" s="201"/>
      <c r="BZD170" s="200"/>
      <c r="BZE170" s="202"/>
      <c r="BZF170" s="203"/>
      <c r="BZG170" s="124"/>
      <c r="BZI170" s="126"/>
      <c r="BZJ170" s="124"/>
      <c r="BZL170" s="111"/>
      <c r="BZN170" s="200"/>
      <c r="BZO170" s="201"/>
      <c r="BZP170" s="201"/>
      <c r="BZQ170" s="200"/>
      <c r="BZR170" s="202"/>
      <c r="BZS170" s="203"/>
      <c r="BZT170" s="124"/>
      <c r="BZV170" s="126"/>
      <c r="BZW170" s="124"/>
      <c r="BZY170" s="111"/>
      <c r="CAA170" s="200"/>
      <c r="CAB170" s="201"/>
      <c r="CAC170" s="201"/>
      <c r="CAD170" s="200"/>
      <c r="CAE170" s="202"/>
      <c r="CAF170" s="203"/>
      <c r="CAG170" s="124"/>
      <c r="CAI170" s="126"/>
      <c r="CAJ170" s="124"/>
      <c r="CAL170" s="111"/>
      <c r="CAN170" s="200"/>
      <c r="CAO170" s="201"/>
      <c r="CAP170" s="201"/>
      <c r="CAQ170" s="200"/>
      <c r="CAR170" s="202"/>
      <c r="CAS170" s="203"/>
      <c r="CAT170" s="124"/>
      <c r="CAV170" s="126"/>
      <c r="CAW170" s="124"/>
      <c r="CAY170" s="111"/>
      <c r="CBA170" s="200"/>
      <c r="CBB170" s="201"/>
      <c r="CBC170" s="201"/>
      <c r="CBD170" s="200"/>
      <c r="CBE170" s="202"/>
      <c r="CBF170" s="203"/>
      <c r="CBG170" s="124"/>
      <c r="CBI170" s="126"/>
      <c r="CBJ170" s="124"/>
      <c r="CBL170" s="111"/>
      <c r="CBN170" s="200"/>
      <c r="CBO170" s="201"/>
      <c r="CBP170" s="201"/>
      <c r="CBQ170" s="200"/>
      <c r="CBR170" s="202"/>
      <c r="CBS170" s="203"/>
      <c r="CBT170" s="124"/>
      <c r="CBV170" s="126"/>
      <c r="CBW170" s="124"/>
      <c r="CBY170" s="111"/>
      <c r="CCA170" s="200"/>
      <c r="CCB170" s="201"/>
      <c r="CCC170" s="201"/>
      <c r="CCD170" s="200"/>
      <c r="CCE170" s="202"/>
      <c r="CCF170" s="203"/>
      <c r="CCG170" s="124"/>
      <c r="CCI170" s="126"/>
      <c r="CCJ170" s="124"/>
      <c r="CCL170" s="111"/>
      <c r="CCN170" s="200"/>
      <c r="CCO170" s="201"/>
      <c r="CCP170" s="201"/>
      <c r="CCQ170" s="200"/>
      <c r="CCR170" s="202"/>
      <c r="CCS170" s="203"/>
      <c r="CCT170" s="124"/>
      <c r="CCV170" s="126"/>
      <c r="CCW170" s="124"/>
      <c r="CCY170" s="111"/>
      <c r="CDA170" s="200"/>
      <c r="CDB170" s="201"/>
      <c r="CDC170" s="201"/>
      <c r="CDD170" s="200"/>
      <c r="CDE170" s="202"/>
      <c r="CDF170" s="203"/>
      <c r="CDG170" s="124"/>
      <c r="CDI170" s="126"/>
      <c r="CDJ170" s="124"/>
      <c r="CDL170" s="111"/>
      <c r="CDN170" s="200"/>
      <c r="CDO170" s="201"/>
      <c r="CDP170" s="201"/>
      <c r="CDQ170" s="200"/>
      <c r="CDR170" s="202"/>
      <c r="CDS170" s="203"/>
      <c r="CDT170" s="124"/>
      <c r="CDV170" s="126"/>
      <c r="CDW170" s="124"/>
      <c r="CDY170" s="111"/>
      <c r="CEA170" s="200"/>
      <c r="CEB170" s="201"/>
      <c r="CEC170" s="201"/>
      <c r="CED170" s="200"/>
      <c r="CEE170" s="202"/>
      <c r="CEF170" s="203"/>
      <c r="CEG170" s="124"/>
      <c r="CEI170" s="126"/>
      <c r="CEJ170" s="124"/>
      <c r="CEL170" s="111"/>
      <c r="CEN170" s="200"/>
      <c r="CEO170" s="201"/>
      <c r="CEP170" s="201"/>
      <c r="CEQ170" s="200"/>
      <c r="CER170" s="202"/>
      <c r="CES170" s="203"/>
      <c r="CET170" s="124"/>
      <c r="CEV170" s="126"/>
      <c r="CEW170" s="124"/>
      <c r="CEY170" s="111"/>
      <c r="CFA170" s="200"/>
      <c r="CFB170" s="201"/>
      <c r="CFC170" s="201"/>
      <c r="CFD170" s="200"/>
      <c r="CFE170" s="202"/>
      <c r="CFF170" s="203"/>
      <c r="CFG170" s="124"/>
      <c r="CFI170" s="126"/>
      <c r="CFJ170" s="124"/>
      <c r="CFL170" s="111"/>
      <c r="CFN170" s="200"/>
      <c r="CFO170" s="201"/>
      <c r="CFP170" s="201"/>
      <c r="CFQ170" s="200"/>
      <c r="CFR170" s="202"/>
      <c r="CFS170" s="203"/>
      <c r="CFT170" s="124"/>
      <c r="CFV170" s="126"/>
      <c r="CFW170" s="124"/>
      <c r="CFY170" s="111"/>
      <c r="CGA170" s="200"/>
      <c r="CGB170" s="201"/>
      <c r="CGC170" s="201"/>
      <c r="CGD170" s="200"/>
      <c r="CGE170" s="202"/>
      <c r="CGF170" s="203"/>
      <c r="CGG170" s="124"/>
      <c r="CGI170" s="126"/>
      <c r="CGJ170" s="124"/>
      <c r="CGL170" s="111"/>
      <c r="CGN170" s="200"/>
      <c r="CGO170" s="201"/>
      <c r="CGP170" s="201"/>
      <c r="CGQ170" s="200"/>
      <c r="CGR170" s="202"/>
      <c r="CGS170" s="203"/>
      <c r="CGT170" s="124"/>
      <c r="CGV170" s="126"/>
      <c r="CGW170" s="124"/>
      <c r="CGY170" s="111"/>
      <c r="CHA170" s="200"/>
      <c r="CHB170" s="201"/>
      <c r="CHC170" s="201"/>
      <c r="CHD170" s="200"/>
      <c r="CHE170" s="202"/>
      <c r="CHF170" s="203"/>
      <c r="CHG170" s="124"/>
      <c r="CHI170" s="126"/>
      <c r="CHJ170" s="124"/>
      <c r="CHL170" s="111"/>
      <c r="CHN170" s="200"/>
      <c r="CHO170" s="201"/>
      <c r="CHP170" s="201"/>
      <c r="CHQ170" s="200"/>
      <c r="CHR170" s="202"/>
      <c r="CHS170" s="203"/>
      <c r="CHT170" s="124"/>
      <c r="CHV170" s="126"/>
      <c r="CHW170" s="124"/>
      <c r="CHY170" s="111"/>
      <c r="CIA170" s="200"/>
      <c r="CIB170" s="201"/>
      <c r="CIC170" s="201"/>
      <c r="CID170" s="200"/>
      <c r="CIE170" s="202"/>
      <c r="CIF170" s="203"/>
      <c r="CIG170" s="124"/>
      <c r="CII170" s="126"/>
      <c r="CIJ170" s="124"/>
      <c r="CIL170" s="111"/>
      <c r="CIN170" s="200"/>
      <c r="CIO170" s="201"/>
      <c r="CIP170" s="201"/>
      <c r="CIQ170" s="200"/>
      <c r="CIR170" s="202"/>
      <c r="CIS170" s="203"/>
      <c r="CIT170" s="124"/>
      <c r="CIV170" s="126"/>
      <c r="CIW170" s="124"/>
      <c r="CIY170" s="111"/>
      <c r="CJA170" s="200"/>
      <c r="CJB170" s="201"/>
      <c r="CJC170" s="201"/>
      <c r="CJD170" s="200"/>
      <c r="CJE170" s="202"/>
      <c r="CJF170" s="203"/>
      <c r="CJG170" s="124"/>
      <c r="CJI170" s="126"/>
      <c r="CJJ170" s="124"/>
      <c r="CJL170" s="111"/>
      <c r="CJN170" s="200"/>
      <c r="CJO170" s="201"/>
      <c r="CJP170" s="201"/>
      <c r="CJQ170" s="200"/>
      <c r="CJR170" s="202"/>
      <c r="CJS170" s="203"/>
      <c r="CJT170" s="124"/>
      <c r="CJV170" s="126"/>
      <c r="CJW170" s="124"/>
      <c r="CJY170" s="111"/>
      <c r="CKA170" s="200"/>
      <c r="CKB170" s="201"/>
      <c r="CKC170" s="201"/>
      <c r="CKD170" s="200"/>
      <c r="CKE170" s="202"/>
      <c r="CKF170" s="203"/>
      <c r="CKG170" s="124"/>
      <c r="CKI170" s="126"/>
      <c r="CKJ170" s="124"/>
      <c r="CKL170" s="111"/>
      <c r="CKN170" s="200"/>
      <c r="CKO170" s="201"/>
      <c r="CKP170" s="201"/>
      <c r="CKQ170" s="200"/>
      <c r="CKR170" s="202"/>
      <c r="CKS170" s="203"/>
      <c r="CKT170" s="124"/>
      <c r="CKV170" s="126"/>
      <c r="CKW170" s="124"/>
      <c r="CKY170" s="111"/>
      <c r="CLA170" s="200"/>
      <c r="CLB170" s="201"/>
      <c r="CLC170" s="201"/>
      <c r="CLD170" s="200"/>
      <c r="CLE170" s="202"/>
      <c r="CLF170" s="203"/>
      <c r="CLG170" s="124"/>
      <c r="CLI170" s="126"/>
      <c r="CLJ170" s="124"/>
      <c r="CLL170" s="111"/>
      <c r="CLN170" s="200"/>
      <c r="CLO170" s="201"/>
      <c r="CLP170" s="201"/>
      <c r="CLQ170" s="200"/>
      <c r="CLR170" s="202"/>
      <c r="CLS170" s="203"/>
      <c r="CLT170" s="124"/>
      <c r="CLV170" s="126"/>
      <c r="CLW170" s="124"/>
      <c r="CLY170" s="111"/>
      <c r="CMA170" s="200"/>
      <c r="CMB170" s="201"/>
      <c r="CMC170" s="201"/>
      <c r="CMD170" s="200"/>
      <c r="CME170" s="202"/>
      <c r="CMF170" s="203"/>
      <c r="CMG170" s="124"/>
      <c r="CMI170" s="126"/>
      <c r="CMJ170" s="124"/>
      <c r="CML170" s="111"/>
      <c r="CMN170" s="200"/>
      <c r="CMO170" s="201"/>
      <c r="CMP170" s="201"/>
      <c r="CMQ170" s="200"/>
      <c r="CMR170" s="202"/>
      <c r="CMS170" s="203"/>
      <c r="CMT170" s="124"/>
      <c r="CMV170" s="126"/>
      <c r="CMW170" s="124"/>
      <c r="CMY170" s="111"/>
      <c r="CNA170" s="200"/>
      <c r="CNB170" s="201"/>
      <c r="CNC170" s="201"/>
      <c r="CND170" s="200"/>
      <c r="CNE170" s="202"/>
      <c r="CNF170" s="203"/>
      <c r="CNG170" s="124"/>
      <c r="CNI170" s="126"/>
      <c r="CNJ170" s="124"/>
      <c r="CNL170" s="111"/>
      <c r="CNN170" s="200"/>
      <c r="CNO170" s="201"/>
      <c r="CNP170" s="201"/>
      <c r="CNQ170" s="200"/>
      <c r="CNR170" s="202"/>
      <c r="CNS170" s="203"/>
      <c r="CNT170" s="124"/>
      <c r="CNV170" s="126"/>
      <c r="CNW170" s="124"/>
      <c r="CNY170" s="111"/>
      <c r="COA170" s="200"/>
      <c r="COB170" s="201"/>
      <c r="COC170" s="201"/>
      <c r="COD170" s="200"/>
      <c r="COE170" s="202"/>
      <c r="COF170" s="203"/>
      <c r="COG170" s="124"/>
      <c r="COI170" s="126"/>
      <c r="COJ170" s="124"/>
      <c r="COL170" s="111"/>
      <c r="CON170" s="200"/>
      <c r="COO170" s="201"/>
      <c r="COP170" s="201"/>
      <c r="COQ170" s="200"/>
      <c r="COR170" s="202"/>
      <c r="COS170" s="203"/>
      <c r="COT170" s="124"/>
      <c r="COV170" s="126"/>
      <c r="COW170" s="124"/>
      <c r="COY170" s="111"/>
      <c r="CPA170" s="200"/>
      <c r="CPB170" s="201"/>
      <c r="CPC170" s="201"/>
      <c r="CPD170" s="200"/>
      <c r="CPE170" s="202"/>
      <c r="CPF170" s="203"/>
      <c r="CPG170" s="124"/>
      <c r="CPI170" s="126"/>
      <c r="CPJ170" s="124"/>
      <c r="CPL170" s="111"/>
      <c r="CPN170" s="200"/>
      <c r="CPO170" s="201"/>
      <c r="CPP170" s="201"/>
      <c r="CPQ170" s="200"/>
      <c r="CPR170" s="202"/>
      <c r="CPS170" s="203"/>
      <c r="CPT170" s="124"/>
      <c r="CPV170" s="126"/>
      <c r="CPW170" s="124"/>
      <c r="CPY170" s="111"/>
      <c r="CQA170" s="200"/>
      <c r="CQB170" s="201"/>
      <c r="CQC170" s="201"/>
      <c r="CQD170" s="200"/>
      <c r="CQE170" s="202"/>
      <c r="CQF170" s="203"/>
      <c r="CQG170" s="124"/>
      <c r="CQI170" s="126"/>
      <c r="CQJ170" s="124"/>
      <c r="CQL170" s="111"/>
      <c r="CQN170" s="200"/>
      <c r="CQO170" s="201"/>
      <c r="CQP170" s="201"/>
      <c r="CQQ170" s="200"/>
      <c r="CQR170" s="202"/>
      <c r="CQS170" s="203"/>
      <c r="CQT170" s="124"/>
      <c r="CQV170" s="126"/>
      <c r="CQW170" s="124"/>
      <c r="CQY170" s="111"/>
      <c r="CRA170" s="200"/>
      <c r="CRB170" s="201"/>
      <c r="CRC170" s="201"/>
      <c r="CRD170" s="200"/>
      <c r="CRE170" s="202"/>
      <c r="CRF170" s="203"/>
      <c r="CRG170" s="124"/>
      <c r="CRI170" s="126"/>
      <c r="CRJ170" s="124"/>
      <c r="CRL170" s="111"/>
      <c r="CRN170" s="200"/>
      <c r="CRO170" s="201"/>
      <c r="CRP170" s="201"/>
      <c r="CRQ170" s="200"/>
      <c r="CRR170" s="202"/>
      <c r="CRS170" s="203"/>
      <c r="CRT170" s="124"/>
      <c r="CRV170" s="126"/>
      <c r="CRW170" s="124"/>
      <c r="CRY170" s="111"/>
      <c r="CSA170" s="200"/>
      <c r="CSB170" s="201"/>
      <c r="CSC170" s="201"/>
      <c r="CSD170" s="200"/>
      <c r="CSE170" s="202"/>
      <c r="CSF170" s="203"/>
      <c r="CSG170" s="124"/>
      <c r="CSI170" s="126"/>
      <c r="CSJ170" s="124"/>
      <c r="CSL170" s="111"/>
      <c r="CSN170" s="200"/>
      <c r="CSO170" s="201"/>
      <c r="CSP170" s="201"/>
      <c r="CSQ170" s="200"/>
      <c r="CSR170" s="202"/>
      <c r="CSS170" s="203"/>
      <c r="CST170" s="124"/>
      <c r="CSV170" s="126"/>
      <c r="CSW170" s="124"/>
      <c r="CSY170" s="111"/>
      <c r="CTA170" s="200"/>
      <c r="CTB170" s="201"/>
      <c r="CTC170" s="201"/>
      <c r="CTD170" s="200"/>
      <c r="CTE170" s="202"/>
      <c r="CTF170" s="203"/>
      <c r="CTG170" s="124"/>
      <c r="CTI170" s="126"/>
      <c r="CTJ170" s="124"/>
      <c r="CTL170" s="111"/>
      <c r="CTN170" s="200"/>
      <c r="CTO170" s="201"/>
      <c r="CTP170" s="201"/>
      <c r="CTQ170" s="200"/>
      <c r="CTR170" s="202"/>
      <c r="CTS170" s="203"/>
      <c r="CTT170" s="124"/>
      <c r="CTV170" s="126"/>
      <c r="CTW170" s="124"/>
      <c r="CTY170" s="111"/>
      <c r="CUA170" s="200"/>
      <c r="CUB170" s="201"/>
      <c r="CUC170" s="201"/>
      <c r="CUD170" s="200"/>
      <c r="CUE170" s="202"/>
      <c r="CUF170" s="203"/>
      <c r="CUG170" s="124"/>
      <c r="CUI170" s="126"/>
      <c r="CUJ170" s="124"/>
      <c r="CUL170" s="111"/>
      <c r="CUN170" s="200"/>
      <c r="CUO170" s="201"/>
      <c r="CUP170" s="201"/>
      <c r="CUQ170" s="200"/>
      <c r="CUR170" s="202"/>
      <c r="CUS170" s="203"/>
      <c r="CUT170" s="124"/>
      <c r="CUV170" s="126"/>
      <c r="CUW170" s="124"/>
      <c r="CUY170" s="111"/>
      <c r="CVA170" s="200"/>
      <c r="CVB170" s="201"/>
      <c r="CVC170" s="201"/>
      <c r="CVD170" s="200"/>
      <c r="CVE170" s="202"/>
      <c r="CVF170" s="203"/>
      <c r="CVG170" s="124"/>
      <c r="CVI170" s="126"/>
      <c r="CVJ170" s="124"/>
      <c r="CVL170" s="111"/>
      <c r="CVN170" s="200"/>
      <c r="CVO170" s="201"/>
      <c r="CVP170" s="201"/>
      <c r="CVQ170" s="200"/>
      <c r="CVR170" s="202"/>
      <c r="CVS170" s="203"/>
      <c r="CVT170" s="124"/>
      <c r="CVV170" s="126"/>
      <c r="CVW170" s="124"/>
      <c r="CVY170" s="111"/>
      <c r="CWA170" s="200"/>
      <c r="CWB170" s="201"/>
      <c r="CWC170" s="201"/>
      <c r="CWD170" s="200"/>
      <c r="CWE170" s="202"/>
      <c r="CWF170" s="203"/>
      <c r="CWG170" s="124"/>
      <c r="CWI170" s="126"/>
      <c r="CWJ170" s="124"/>
      <c r="CWL170" s="111"/>
      <c r="CWN170" s="200"/>
      <c r="CWO170" s="201"/>
      <c r="CWP170" s="201"/>
      <c r="CWQ170" s="200"/>
      <c r="CWR170" s="202"/>
      <c r="CWS170" s="203"/>
      <c r="CWT170" s="124"/>
      <c r="CWV170" s="126"/>
      <c r="CWW170" s="124"/>
      <c r="CWY170" s="111"/>
      <c r="CXA170" s="200"/>
      <c r="CXB170" s="201"/>
      <c r="CXC170" s="201"/>
      <c r="CXD170" s="200"/>
      <c r="CXE170" s="202"/>
      <c r="CXF170" s="203"/>
      <c r="CXG170" s="124"/>
      <c r="CXI170" s="126"/>
      <c r="CXJ170" s="124"/>
      <c r="CXL170" s="111"/>
      <c r="CXN170" s="200"/>
      <c r="CXO170" s="201"/>
      <c r="CXP170" s="201"/>
      <c r="CXQ170" s="200"/>
      <c r="CXR170" s="202"/>
      <c r="CXS170" s="203"/>
      <c r="CXT170" s="124"/>
      <c r="CXV170" s="126"/>
      <c r="CXW170" s="124"/>
      <c r="CXY170" s="111"/>
      <c r="CYA170" s="200"/>
      <c r="CYB170" s="201"/>
      <c r="CYC170" s="201"/>
      <c r="CYD170" s="200"/>
      <c r="CYE170" s="202"/>
      <c r="CYF170" s="203"/>
      <c r="CYG170" s="124"/>
      <c r="CYI170" s="126"/>
      <c r="CYJ170" s="124"/>
      <c r="CYL170" s="111"/>
      <c r="CYN170" s="200"/>
      <c r="CYO170" s="201"/>
      <c r="CYP170" s="201"/>
      <c r="CYQ170" s="200"/>
      <c r="CYR170" s="202"/>
      <c r="CYS170" s="203"/>
      <c r="CYT170" s="124"/>
      <c r="CYV170" s="126"/>
      <c r="CYW170" s="124"/>
      <c r="CYY170" s="111"/>
      <c r="CZA170" s="200"/>
      <c r="CZB170" s="201"/>
      <c r="CZC170" s="201"/>
      <c r="CZD170" s="200"/>
      <c r="CZE170" s="202"/>
      <c r="CZF170" s="203"/>
      <c r="CZG170" s="124"/>
      <c r="CZI170" s="126"/>
      <c r="CZJ170" s="124"/>
      <c r="CZL170" s="111"/>
      <c r="CZN170" s="200"/>
      <c r="CZO170" s="201"/>
      <c r="CZP170" s="201"/>
      <c r="CZQ170" s="200"/>
      <c r="CZR170" s="202"/>
      <c r="CZS170" s="203"/>
      <c r="CZT170" s="124"/>
      <c r="CZV170" s="126"/>
      <c r="CZW170" s="124"/>
      <c r="CZY170" s="111"/>
      <c r="DAA170" s="200"/>
      <c r="DAB170" s="201"/>
      <c r="DAC170" s="201"/>
      <c r="DAD170" s="200"/>
      <c r="DAE170" s="202"/>
      <c r="DAF170" s="203"/>
      <c r="DAG170" s="124"/>
      <c r="DAI170" s="126"/>
      <c r="DAJ170" s="124"/>
      <c r="DAL170" s="111"/>
      <c r="DAN170" s="200"/>
      <c r="DAO170" s="201"/>
      <c r="DAP170" s="201"/>
      <c r="DAQ170" s="200"/>
      <c r="DAR170" s="202"/>
      <c r="DAS170" s="203"/>
      <c r="DAT170" s="124"/>
      <c r="DAV170" s="126"/>
      <c r="DAW170" s="124"/>
      <c r="DAY170" s="111"/>
      <c r="DBA170" s="200"/>
      <c r="DBB170" s="201"/>
      <c r="DBC170" s="201"/>
      <c r="DBD170" s="200"/>
      <c r="DBE170" s="202"/>
      <c r="DBF170" s="203"/>
      <c r="DBG170" s="124"/>
      <c r="DBI170" s="126"/>
      <c r="DBJ170" s="124"/>
      <c r="DBL170" s="111"/>
      <c r="DBN170" s="200"/>
      <c r="DBO170" s="201"/>
      <c r="DBP170" s="201"/>
      <c r="DBQ170" s="200"/>
      <c r="DBR170" s="202"/>
      <c r="DBS170" s="203"/>
      <c r="DBT170" s="124"/>
      <c r="DBV170" s="126"/>
      <c r="DBW170" s="124"/>
      <c r="DBY170" s="111"/>
      <c r="DCA170" s="200"/>
      <c r="DCB170" s="201"/>
      <c r="DCC170" s="201"/>
      <c r="DCD170" s="200"/>
      <c r="DCE170" s="202"/>
      <c r="DCF170" s="203"/>
      <c r="DCG170" s="124"/>
      <c r="DCI170" s="126"/>
      <c r="DCJ170" s="124"/>
      <c r="DCL170" s="111"/>
      <c r="DCN170" s="200"/>
      <c r="DCO170" s="201"/>
      <c r="DCP170" s="201"/>
      <c r="DCQ170" s="200"/>
      <c r="DCR170" s="202"/>
      <c r="DCS170" s="203"/>
      <c r="DCT170" s="124"/>
      <c r="DCV170" s="126"/>
      <c r="DCW170" s="124"/>
      <c r="DCY170" s="111"/>
      <c r="DDA170" s="200"/>
      <c r="DDB170" s="201"/>
      <c r="DDC170" s="201"/>
      <c r="DDD170" s="200"/>
      <c r="DDE170" s="202"/>
      <c r="DDF170" s="203"/>
      <c r="DDG170" s="124"/>
      <c r="DDI170" s="126"/>
      <c r="DDJ170" s="124"/>
      <c r="DDL170" s="111"/>
      <c r="DDN170" s="200"/>
      <c r="DDO170" s="201"/>
      <c r="DDP170" s="201"/>
      <c r="DDQ170" s="200"/>
      <c r="DDR170" s="202"/>
      <c r="DDS170" s="203"/>
      <c r="DDT170" s="124"/>
      <c r="DDV170" s="126"/>
      <c r="DDW170" s="124"/>
      <c r="DDY170" s="111"/>
      <c r="DEA170" s="200"/>
      <c r="DEB170" s="201"/>
      <c r="DEC170" s="201"/>
      <c r="DED170" s="200"/>
      <c r="DEE170" s="202"/>
      <c r="DEF170" s="203"/>
      <c r="DEG170" s="124"/>
      <c r="DEI170" s="126"/>
      <c r="DEJ170" s="124"/>
      <c r="DEL170" s="111"/>
      <c r="DEN170" s="200"/>
      <c r="DEO170" s="201"/>
      <c r="DEP170" s="201"/>
      <c r="DEQ170" s="200"/>
      <c r="DER170" s="202"/>
      <c r="DES170" s="203"/>
      <c r="DET170" s="124"/>
      <c r="DEV170" s="126"/>
      <c r="DEW170" s="124"/>
      <c r="DEY170" s="111"/>
      <c r="DFA170" s="200"/>
      <c r="DFB170" s="201"/>
      <c r="DFC170" s="201"/>
      <c r="DFD170" s="200"/>
      <c r="DFE170" s="202"/>
      <c r="DFF170" s="203"/>
      <c r="DFG170" s="124"/>
      <c r="DFI170" s="126"/>
      <c r="DFJ170" s="124"/>
      <c r="DFL170" s="111"/>
      <c r="DFN170" s="200"/>
      <c r="DFO170" s="201"/>
      <c r="DFP170" s="201"/>
      <c r="DFQ170" s="200"/>
      <c r="DFR170" s="202"/>
      <c r="DFS170" s="203"/>
      <c r="DFT170" s="124"/>
      <c r="DFV170" s="126"/>
      <c r="DFW170" s="124"/>
      <c r="DFY170" s="111"/>
      <c r="DGA170" s="200"/>
      <c r="DGB170" s="201"/>
      <c r="DGC170" s="201"/>
      <c r="DGD170" s="200"/>
      <c r="DGE170" s="202"/>
      <c r="DGF170" s="203"/>
      <c r="DGG170" s="124"/>
      <c r="DGI170" s="126"/>
      <c r="DGJ170" s="124"/>
      <c r="DGL170" s="111"/>
      <c r="DGN170" s="200"/>
      <c r="DGO170" s="201"/>
      <c r="DGP170" s="201"/>
      <c r="DGQ170" s="200"/>
      <c r="DGR170" s="202"/>
      <c r="DGS170" s="203"/>
      <c r="DGT170" s="124"/>
      <c r="DGV170" s="126"/>
      <c r="DGW170" s="124"/>
      <c r="DGY170" s="111"/>
      <c r="DHA170" s="200"/>
      <c r="DHB170" s="201"/>
      <c r="DHC170" s="201"/>
      <c r="DHD170" s="200"/>
      <c r="DHE170" s="202"/>
      <c r="DHF170" s="203"/>
      <c r="DHG170" s="124"/>
      <c r="DHI170" s="126"/>
      <c r="DHJ170" s="124"/>
      <c r="DHL170" s="111"/>
      <c r="DHN170" s="200"/>
      <c r="DHO170" s="201"/>
      <c r="DHP170" s="201"/>
      <c r="DHQ170" s="200"/>
      <c r="DHR170" s="202"/>
      <c r="DHS170" s="203"/>
      <c r="DHT170" s="124"/>
      <c r="DHV170" s="126"/>
      <c r="DHW170" s="124"/>
      <c r="DHY170" s="111"/>
      <c r="DIA170" s="200"/>
      <c r="DIB170" s="201"/>
      <c r="DIC170" s="201"/>
      <c r="DID170" s="200"/>
      <c r="DIE170" s="202"/>
      <c r="DIF170" s="203"/>
      <c r="DIG170" s="124"/>
      <c r="DII170" s="126"/>
      <c r="DIJ170" s="124"/>
      <c r="DIL170" s="111"/>
      <c r="DIN170" s="200"/>
      <c r="DIO170" s="201"/>
      <c r="DIP170" s="201"/>
      <c r="DIQ170" s="200"/>
      <c r="DIR170" s="202"/>
      <c r="DIS170" s="203"/>
      <c r="DIT170" s="124"/>
      <c r="DIV170" s="126"/>
      <c r="DIW170" s="124"/>
      <c r="DIY170" s="111"/>
      <c r="DJA170" s="200"/>
      <c r="DJB170" s="201"/>
      <c r="DJC170" s="201"/>
      <c r="DJD170" s="200"/>
      <c r="DJE170" s="202"/>
      <c r="DJF170" s="203"/>
      <c r="DJG170" s="124"/>
      <c r="DJI170" s="126"/>
      <c r="DJJ170" s="124"/>
      <c r="DJL170" s="111"/>
      <c r="DJN170" s="200"/>
      <c r="DJO170" s="201"/>
      <c r="DJP170" s="201"/>
      <c r="DJQ170" s="200"/>
      <c r="DJR170" s="202"/>
      <c r="DJS170" s="203"/>
      <c r="DJT170" s="124"/>
      <c r="DJV170" s="126"/>
      <c r="DJW170" s="124"/>
      <c r="DJY170" s="111"/>
      <c r="DKA170" s="200"/>
      <c r="DKB170" s="201"/>
      <c r="DKC170" s="201"/>
      <c r="DKD170" s="200"/>
      <c r="DKE170" s="202"/>
      <c r="DKF170" s="203"/>
      <c r="DKG170" s="124"/>
      <c r="DKI170" s="126"/>
      <c r="DKJ170" s="124"/>
      <c r="DKL170" s="111"/>
      <c r="DKN170" s="200"/>
      <c r="DKO170" s="201"/>
      <c r="DKP170" s="201"/>
      <c r="DKQ170" s="200"/>
      <c r="DKR170" s="202"/>
      <c r="DKS170" s="203"/>
      <c r="DKT170" s="124"/>
      <c r="DKV170" s="126"/>
      <c r="DKW170" s="124"/>
      <c r="DKY170" s="111"/>
      <c r="DLA170" s="200"/>
      <c r="DLB170" s="201"/>
      <c r="DLC170" s="201"/>
      <c r="DLD170" s="200"/>
      <c r="DLE170" s="202"/>
      <c r="DLF170" s="203"/>
      <c r="DLG170" s="124"/>
      <c r="DLI170" s="126"/>
      <c r="DLJ170" s="124"/>
      <c r="DLL170" s="111"/>
      <c r="DLN170" s="200"/>
      <c r="DLO170" s="201"/>
      <c r="DLP170" s="201"/>
      <c r="DLQ170" s="200"/>
      <c r="DLR170" s="202"/>
      <c r="DLS170" s="203"/>
      <c r="DLT170" s="124"/>
      <c r="DLV170" s="126"/>
      <c r="DLW170" s="124"/>
      <c r="DLY170" s="111"/>
      <c r="DMA170" s="200"/>
      <c r="DMB170" s="201"/>
      <c r="DMC170" s="201"/>
      <c r="DMD170" s="200"/>
      <c r="DME170" s="202"/>
      <c r="DMF170" s="203"/>
      <c r="DMG170" s="124"/>
      <c r="DMI170" s="126"/>
      <c r="DMJ170" s="124"/>
      <c r="DML170" s="111"/>
      <c r="DMN170" s="200"/>
      <c r="DMO170" s="201"/>
      <c r="DMP170" s="201"/>
      <c r="DMQ170" s="200"/>
      <c r="DMR170" s="202"/>
      <c r="DMS170" s="203"/>
      <c r="DMT170" s="124"/>
      <c r="DMV170" s="126"/>
      <c r="DMW170" s="124"/>
      <c r="DMY170" s="111"/>
      <c r="DNA170" s="200"/>
      <c r="DNB170" s="201"/>
      <c r="DNC170" s="201"/>
      <c r="DND170" s="200"/>
      <c r="DNE170" s="202"/>
      <c r="DNF170" s="203"/>
      <c r="DNG170" s="124"/>
      <c r="DNI170" s="126"/>
      <c r="DNJ170" s="124"/>
      <c r="DNL170" s="111"/>
      <c r="DNN170" s="200"/>
      <c r="DNO170" s="201"/>
      <c r="DNP170" s="201"/>
      <c r="DNQ170" s="200"/>
      <c r="DNR170" s="202"/>
      <c r="DNS170" s="203"/>
      <c r="DNT170" s="124"/>
      <c r="DNV170" s="126"/>
      <c r="DNW170" s="124"/>
      <c r="DNY170" s="111"/>
      <c r="DOA170" s="200"/>
      <c r="DOB170" s="201"/>
      <c r="DOC170" s="201"/>
      <c r="DOD170" s="200"/>
      <c r="DOE170" s="202"/>
      <c r="DOF170" s="203"/>
      <c r="DOG170" s="124"/>
      <c r="DOI170" s="126"/>
      <c r="DOJ170" s="124"/>
      <c r="DOL170" s="111"/>
      <c r="DON170" s="200"/>
      <c r="DOO170" s="201"/>
      <c r="DOP170" s="201"/>
      <c r="DOQ170" s="200"/>
      <c r="DOR170" s="202"/>
      <c r="DOS170" s="203"/>
      <c r="DOT170" s="124"/>
      <c r="DOV170" s="126"/>
      <c r="DOW170" s="124"/>
      <c r="DOY170" s="111"/>
      <c r="DPA170" s="200"/>
      <c r="DPB170" s="201"/>
      <c r="DPC170" s="201"/>
      <c r="DPD170" s="200"/>
      <c r="DPE170" s="202"/>
      <c r="DPF170" s="203"/>
      <c r="DPG170" s="124"/>
      <c r="DPI170" s="126"/>
      <c r="DPJ170" s="124"/>
      <c r="DPL170" s="111"/>
      <c r="DPN170" s="200"/>
      <c r="DPO170" s="201"/>
      <c r="DPP170" s="201"/>
      <c r="DPQ170" s="200"/>
      <c r="DPR170" s="202"/>
      <c r="DPS170" s="203"/>
      <c r="DPT170" s="124"/>
      <c r="DPV170" s="126"/>
      <c r="DPW170" s="124"/>
      <c r="DPY170" s="111"/>
      <c r="DQA170" s="200"/>
      <c r="DQB170" s="201"/>
      <c r="DQC170" s="201"/>
      <c r="DQD170" s="200"/>
      <c r="DQE170" s="202"/>
      <c r="DQF170" s="203"/>
      <c r="DQG170" s="124"/>
      <c r="DQI170" s="126"/>
      <c r="DQJ170" s="124"/>
      <c r="DQL170" s="111"/>
      <c r="DQN170" s="200"/>
      <c r="DQO170" s="201"/>
      <c r="DQP170" s="201"/>
      <c r="DQQ170" s="200"/>
      <c r="DQR170" s="202"/>
      <c r="DQS170" s="203"/>
      <c r="DQT170" s="124"/>
      <c r="DQV170" s="126"/>
      <c r="DQW170" s="124"/>
      <c r="DQY170" s="111"/>
      <c r="DRA170" s="200"/>
      <c r="DRB170" s="201"/>
      <c r="DRC170" s="201"/>
      <c r="DRD170" s="200"/>
      <c r="DRE170" s="202"/>
      <c r="DRF170" s="203"/>
      <c r="DRG170" s="124"/>
      <c r="DRI170" s="126"/>
      <c r="DRJ170" s="124"/>
      <c r="DRL170" s="111"/>
      <c r="DRN170" s="200"/>
      <c r="DRO170" s="201"/>
      <c r="DRP170" s="201"/>
      <c r="DRQ170" s="200"/>
      <c r="DRR170" s="202"/>
      <c r="DRS170" s="203"/>
      <c r="DRT170" s="124"/>
      <c r="DRV170" s="126"/>
      <c r="DRW170" s="124"/>
      <c r="DRY170" s="111"/>
      <c r="DSA170" s="200"/>
      <c r="DSB170" s="201"/>
      <c r="DSC170" s="201"/>
      <c r="DSD170" s="200"/>
      <c r="DSE170" s="202"/>
      <c r="DSF170" s="203"/>
      <c r="DSG170" s="124"/>
      <c r="DSI170" s="126"/>
      <c r="DSJ170" s="124"/>
      <c r="DSL170" s="111"/>
      <c r="DSN170" s="200"/>
      <c r="DSO170" s="201"/>
      <c r="DSP170" s="201"/>
      <c r="DSQ170" s="200"/>
      <c r="DSR170" s="202"/>
      <c r="DSS170" s="203"/>
      <c r="DST170" s="124"/>
      <c r="DSV170" s="126"/>
      <c r="DSW170" s="124"/>
      <c r="DSY170" s="111"/>
      <c r="DTA170" s="200"/>
      <c r="DTB170" s="201"/>
      <c r="DTC170" s="201"/>
      <c r="DTD170" s="200"/>
      <c r="DTE170" s="202"/>
      <c r="DTF170" s="203"/>
      <c r="DTG170" s="124"/>
      <c r="DTI170" s="126"/>
      <c r="DTJ170" s="124"/>
      <c r="DTL170" s="111"/>
      <c r="DTN170" s="200"/>
      <c r="DTO170" s="201"/>
      <c r="DTP170" s="201"/>
      <c r="DTQ170" s="200"/>
      <c r="DTR170" s="202"/>
      <c r="DTS170" s="203"/>
      <c r="DTT170" s="124"/>
      <c r="DTV170" s="126"/>
      <c r="DTW170" s="124"/>
      <c r="DTY170" s="111"/>
      <c r="DUA170" s="200"/>
      <c r="DUB170" s="201"/>
      <c r="DUC170" s="201"/>
      <c r="DUD170" s="200"/>
      <c r="DUE170" s="202"/>
      <c r="DUF170" s="203"/>
      <c r="DUG170" s="124"/>
      <c r="DUI170" s="126"/>
      <c r="DUJ170" s="124"/>
      <c r="DUL170" s="111"/>
      <c r="DUN170" s="200"/>
      <c r="DUO170" s="201"/>
      <c r="DUP170" s="201"/>
      <c r="DUQ170" s="200"/>
      <c r="DUR170" s="202"/>
      <c r="DUS170" s="203"/>
      <c r="DUT170" s="124"/>
      <c r="DUV170" s="126"/>
      <c r="DUW170" s="124"/>
      <c r="DUY170" s="111"/>
      <c r="DVA170" s="200"/>
      <c r="DVB170" s="201"/>
      <c r="DVC170" s="201"/>
      <c r="DVD170" s="200"/>
      <c r="DVE170" s="202"/>
      <c r="DVF170" s="203"/>
      <c r="DVG170" s="124"/>
      <c r="DVI170" s="126"/>
      <c r="DVJ170" s="124"/>
      <c r="DVL170" s="111"/>
      <c r="DVN170" s="200"/>
      <c r="DVO170" s="201"/>
      <c r="DVP170" s="201"/>
      <c r="DVQ170" s="200"/>
      <c r="DVR170" s="202"/>
      <c r="DVS170" s="203"/>
      <c r="DVT170" s="124"/>
      <c r="DVV170" s="126"/>
      <c r="DVW170" s="124"/>
      <c r="DVY170" s="111"/>
      <c r="DWA170" s="200"/>
      <c r="DWB170" s="201"/>
      <c r="DWC170" s="201"/>
      <c r="DWD170" s="200"/>
      <c r="DWE170" s="202"/>
      <c r="DWF170" s="203"/>
      <c r="DWG170" s="124"/>
      <c r="DWI170" s="126"/>
      <c r="DWJ170" s="124"/>
      <c r="DWL170" s="111"/>
      <c r="DWN170" s="200"/>
      <c r="DWO170" s="201"/>
      <c r="DWP170" s="201"/>
      <c r="DWQ170" s="200"/>
      <c r="DWR170" s="202"/>
      <c r="DWS170" s="203"/>
      <c r="DWT170" s="124"/>
      <c r="DWV170" s="126"/>
      <c r="DWW170" s="124"/>
      <c r="DWY170" s="111"/>
      <c r="DXA170" s="200"/>
      <c r="DXB170" s="201"/>
      <c r="DXC170" s="201"/>
      <c r="DXD170" s="200"/>
      <c r="DXE170" s="202"/>
      <c r="DXF170" s="203"/>
      <c r="DXG170" s="124"/>
      <c r="DXI170" s="126"/>
      <c r="DXJ170" s="124"/>
      <c r="DXL170" s="111"/>
      <c r="DXN170" s="200"/>
      <c r="DXO170" s="201"/>
      <c r="DXP170" s="201"/>
      <c r="DXQ170" s="200"/>
      <c r="DXR170" s="202"/>
      <c r="DXS170" s="203"/>
      <c r="DXT170" s="124"/>
      <c r="DXV170" s="126"/>
      <c r="DXW170" s="124"/>
      <c r="DXY170" s="111"/>
      <c r="DYA170" s="200"/>
      <c r="DYB170" s="201"/>
      <c r="DYC170" s="201"/>
      <c r="DYD170" s="200"/>
      <c r="DYE170" s="202"/>
      <c r="DYF170" s="203"/>
      <c r="DYG170" s="124"/>
      <c r="DYI170" s="126"/>
      <c r="DYJ170" s="124"/>
      <c r="DYL170" s="111"/>
      <c r="DYN170" s="200"/>
      <c r="DYO170" s="201"/>
      <c r="DYP170" s="201"/>
      <c r="DYQ170" s="200"/>
      <c r="DYR170" s="202"/>
      <c r="DYS170" s="203"/>
      <c r="DYT170" s="124"/>
      <c r="DYV170" s="126"/>
      <c r="DYW170" s="124"/>
      <c r="DYY170" s="111"/>
      <c r="DZA170" s="200"/>
      <c r="DZB170" s="201"/>
      <c r="DZC170" s="201"/>
      <c r="DZD170" s="200"/>
      <c r="DZE170" s="202"/>
      <c r="DZF170" s="203"/>
      <c r="DZG170" s="124"/>
      <c r="DZI170" s="126"/>
      <c r="DZJ170" s="124"/>
      <c r="DZL170" s="111"/>
      <c r="DZN170" s="200"/>
      <c r="DZO170" s="201"/>
      <c r="DZP170" s="201"/>
      <c r="DZQ170" s="200"/>
      <c r="DZR170" s="202"/>
      <c r="DZS170" s="203"/>
      <c r="DZT170" s="124"/>
      <c r="DZV170" s="126"/>
      <c r="DZW170" s="124"/>
      <c r="DZY170" s="111"/>
      <c r="EAA170" s="200"/>
      <c r="EAB170" s="201"/>
      <c r="EAC170" s="201"/>
      <c r="EAD170" s="200"/>
      <c r="EAE170" s="202"/>
      <c r="EAF170" s="203"/>
      <c r="EAG170" s="124"/>
      <c r="EAI170" s="126"/>
      <c r="EAJ170" s="124"/>
      <c r="EAL170" s="111"/>
      <c r="EAN170" s="200"/>
      <c r="EAO170" s="201"/>
      <c r="EAP170" s="201"/>
      <c r="EAQ170" s="200"/>
      <c r="EAR170" s="202"/>
      <c r="EAS170" s="203"/>
      <c r="EAT170" s="124"/>
      <c r="EAV170" s="126"/>
      <c r="EAW170" s="124"/>
      <c r="EAY170" s="111"/>
      <c r="EBA170" s="200"/>
      <c r="EBB170" s="201"/>
      <c r="EBC170" s="201"/>
      <c r="EBD170" s="200"/>
      <c r="EBE170" s="202"/>
      <c r="EBF170" s="203"/>
      <c r="EBG170" s="124"/>
      <c r="EBI170" s="126"/>
      <c r="EBJ170" s="124"/>
      <c r="EBL170" s="111"/>
      <c r="EBN170" s="200"/>
      <c r="EBO170" s="201"/>
      <c r="EBP170" s="201"/>
      <c r="EBQ170" s="200"/>
      <c r="EBR170" s="202"/>
      <c r="EBS170" s="203"/>
      <c r="EBT170" s="124"/>
      <c r="EBV170" s="126"/>
      <c r="EBW170" s="124"/>
      <c r="EBY170" s="111"/>
      <c r="ECA170" s="200"/>
      <c r="ECB170" s="201"/>
      <c r="ECC170" s="201"/>
      <c r="ECD170" s="200"/>
      <c r="ECE170" s="202"/>
      <c r="ECF170" s="203"/>
      <c r="ECG170" s="124"/>
      <c r="ECI170" s="126"/>
      <c r="ECJ170" s="124"/>
      <c r="ECL170" s="111"/>
      <c r="ECN170" s="200"/>
      <c r="ECO170" s="201"/>
      <c r="ECP170" s="201"/>
      <c r="ECQ170" s="200"/>
      <c r="ECR170" s="202"/>
      <c r="ECS170" s="203"/>
      <c r="ECT170" s="124"/>
      <c r="ECV170" s="126"/>
      <c r="ECW170" s="124"/>
      <c r="ECY170" s="111"/>
      <c r="EDA170" s="200"/>
      <c r="EDB170" s="201"/>
      <c r="EDC170" s="201"/>
      <c r="EDD170" s="200"/>
      <c r="EDE170" s="202"/>
      <c r="EDF170" s="203"/>
      <c r="EDG170" s="124"/>
      <c r="EDI170" s="126"/>
      <c r="EDJ170" s="124"/>
      <c r="EDL170" s="111"/>
      <c r="EDN170" s="200"/>
      <c r="EDO170" s="201"/>
      <c r="EDP170" s="201"/>
      <c r="EDQ170" s="200"/>
      <c r="EDR170" s="202"/>
      <c r="EDS170" s="203"/>
      <c r="EDT170" s="124"/>
      <c r="EDV170" s="126"/>
      <c r="EDW170" s="124"/>
      <c r="EDY170" s="111"/>
      <c r="EEA170" s="200"/>
      <c r="EEB170" s="201"/>
      <c r="EEC170" s="201"/>
      <c r="EED170" s="200"/>
      <c r="EEE170" s="202"/>
      <c r="EEF170" s="203"/>
      <c r="EEG170" s="124"/>
      <c r="EEI170" s="126"/>
      <c r="EEJ170" s="124"/>
      <c r="EEL170" s="111"/>
      <c r="EEN170" s="200"/>
      <c r="EEO170" s="201"/>
      <c r="EEP170" s="201"/>
      <c r="EEQ170" s="200"/>
      <c r="EER170" s="202"/>
      <c r="EES170" s="203"/>
      <c r="EET170" s="124"/>
      <c r="EEV170" s="126"/>
      <c r="EEW170" s="124"/>
      <c r="EEY170" s="111"/>
      <c r="EFA170" s="200"/>
      <c r="EFB170" s="201"/>
      <c r="EFC170" s="201"/>
      <c r="EFD170" s="200"/>
      <c r="EFE170" s="202"/>
      <c r="EFF170" s="203"/>
      <c r="EFG170" s="124"/>
      <c r="EFI170" s="126"/>
      <c r="EFJ170" s="124"/>
      <c r="EFL170" s="111"/>
      <c r="EFN170" s="200"/>
      <c r="EFO170" s="201"/>
      <c r="EFP170" s="201"/>
      <c r="EFQ170" s="200"/>
      <c r="EFR170" s="202"/>
      <c r="EFS170" s="203"/>
      <c r="EFT170" s="124"/>
      <c r="EFV170" s="126"/>
      <c r="EFW170" s="124"/>
      <c r="EFY170" s="111"/>
      <c r="EGA170" s="200"/>
      <c r="EGB170" s="201"/>
      <c r="EGC170" s="201"/>
      <c r="EGD170" s="200"/>
      <c r="EGE170" s="202"/>
      <c r="EGF170" s="203"/>
      <c r="EGG170" s="124"/>
      <c r="EGI170" s="126"/>
      <c r="EGJ170" s="124"/>
      <c r="EGL170" s="111"/>
      <c r="EGN170" s="200"/>
      <c r="EGO170" s="201"/>
      <c r="EGP170" s="201"/>
      <c r="EGQ170" s="200"/>
      <c r="EGR170" s="202"/>
      <c r="EGS170" s="203"/>
      <c r="EGT170" s="124"/>
      <c r="EGV170" s="126"/>
      <c r="EGW170" s="124"/>
      <c r="EGY170" s="111"/>
      <c r="EHA170" s="200"/>
      <c r="EHB170" s="201"/>
      <c r="EHC170" s="201"/>
      <c r="EHD170" s="200"/>
      <c r="EHE170" s="202"/>
      <c r="EHF170" s="203"/>
      <c r="EHG170" s="124"/>
      <c r="EHI170" s="126"/>
      <c r="EHJ170" s="124"/>
      <c r="EHL170" s="111"/>
      <c r="EHN170" s="200"/>
      <c r="EHO170" s="201"/>
      <c r="EHP170" s="201"/>
      <c r="EHQ170" s="200"/>
      <c r="EHR170" s="202"/>
      <c r="EHS170" s="203"/>
      <c r="EHT170" s="124"/>
      <c r="EHV170" s="126"/>
      <c r="EHW170" s="124"/>
      <c r="EHY170" s="111"/>
      <c r="EIA170" s="200"/>
      <c r="EIB170" s="201"/>
      <c r="EIC170" s="201"/>
      <c r="EID170" s="200"/>
      <c r="EIE170" s="202"/>
      <c r="EIF170" s="203"/>
      <c r="EIG170" s="124"/>
      <c r="EII170" s="126"/>
      <c r="EIJ170" s="124"/>
      <c r="EIL170" s="111"/>
      <c r="EIN170" s="200"/>
      <c r="EIO170" s="201"/>
      <c r="EIP170" s="201"/>
      <c r="EIQ170" s="200"/>
      <c r="EIR170" s="202"/>
      <c r="EIS170" s="203"/>
      <c r="EIT170" s="124"/>
      <c r="EIV170" s="126"/>
      <c r="EIW170" s="124"/>
      <c r="EIY170" s="111"/>
      <c r="EJA170" s="200"/>
      <c r="EJB170" s="201"/>
      <c r="EJC170" s="201"/>
      <c r="EJD170" s="200"/>
      <c r="EJE170" s="202"/>
      <c r="EJF170" s="203"/>
      <c r="EJG170" s="124"/>
      <c r="EJI170" s="126"/>
      <c r="EJJ170" s="124"/>
      <c r="EJL170" s="111"/>
      <c r="EJN170" s="200"/>
      <c r="EJO170" s="201"/>
      <c r="EJP170" s="201"/>
      <c r="EJQ170" s="200"/>
      <c r="EJR170" s="202"/>
      <c r="EJS170" s="203"/>
      <c r="EJT170" s="124"/>
      <c r="EJV170" s="126"/>
      <c r="EJW170" s="124"/>
      <c r="EJY170" s="111"/>
      <c r="EKA170" s="200"/>
      <c r="EKB170" s="201"/>
      <c r="EKC170" s="201"/>
      <c r="EKD170" s="200"/>
      <c r="EKE170" s="202"/>
      <c r="EKF170" s="203"/>
      <c r="EKG170" s="124"/>
      <c r="EKI170" s="126"/>
      <c r="EKJ170" s="124"/>
      <c r="EKL170" s="111"/>
      <c r="EKN170" s="200"/>
      <c r="EKO170" s="201"/>
      <c r="EKP170" s="201"/>
      <c r="EKQ170" s="200"/>
      <c r="EKR170" s="202"/>
      <c r="EKS170" s="203"/>
      <c r="EKT170" s="124"/>
      <c r="EKV170" s="126"/>
      <c r="EKW170" s="124"/>
      <c r="EKY170" s="111"/>
      <c r="ELA170" s="200"/>
      <c r="ELB170" s="201"/>
      <c r="ELC170" s="201"/>
      <c r="ELD170" s="200"/>
      <c r="ELE170" s="202"/>
      <c r="ELF170" s="203"/>
      <c r="ELG170" s="124"/>
      <c r="ELI170" s="126"/>
      <c r="ELJ170" s="124"/>
      <c r="ELL170" s="111"/>
      <c r="ELN170" s="200"/>
      <c r="ELO170" s="201"/>
      <c r="ELP170" s="201"/>
      <c r="ELQ170" s="200"/>
      <c r="ELR170" s="202"/>
      <c r="ELS170" s="203"/>
      <c r="ELT170" s="124"/>
      <c r="ELV170" s="126"/>
      <c r="ELW170" s="124"/>
      <c r="ELY170" s="111"/>
      <c r="EMA170" s="200"/>
      <c r="EMB170" s="201"/>
      <c r="EMC170" s="201"/>
      <c r="EMD170" s="200"/>
      <c r="EME170" s="202"/>
      <c r="EMF170" s="203"/>
      <c r="EMG170" s="124"/>
      <c r="EMI170" s="126"/>
      <c r="EMJ170" s="124"/>
      <c r="EML170" s="111"/>
      <c r="EMN170" s="200"/>
      <c r="EMO170" s="201"/>
      <c r="EMP170" s="201"/>
      <c r="EMQ170" s="200"/>
      <c r="EMR170" s="202"/>
      <c r="EMS170" s="203"/>
      <c r="EMT170" s="124"/>
      <c r="EMV170" s="126"/>
      <c r="EMW170" s="124"/>
      <c r="EMY170" s="111"/>
      <c r="ENA170" s="200"/>
      <c r="ENB170" s="201"/>
      <c r="ENC170" s="201"/>
      <c r="END170" s="200"/>
      <c r="ENE170" s="202"/>
      <c r="ENF170" s="203"/>
      <c r="ENG170" s="124"/>
      <c r="ENI170" s="126"/>
      <c r="ENJ170" s="124"/>
      <c r="ENL170" s="111"/>
      <c r="ENN170" s="200"/>
      <c r="ENO170" s="201"/>
      <c r="ENP170" s="201"/>
      <c r="ENQ170" s="200"/>
      <c r="ENR170" s="202"/>
      <c r="ENS170" s="203"/>
      <c r="ENT170" s="124"/>
      <c r="ENV170" s="126"/>
      <c r="ENW170" s="124"/>
      <c r="ENY170" s="111"/>
      <c r="EOA170" s="200"/>
      <c r="EOB170" s="201"/>
      <c r="EOC170" s="201"/>
      <c r="EOD170" s="200"/>
      <c r="EOE170" s="202"/>
      <c r="EOF170" s="203"/>
      <c r="EOG170" s="124"/>
      <c r="EOI170" s="126"/>
      <c r="EOJ170" s="124"/>
      <c r="EOL170" s="111"/>
      <c r="EON170" s="200"/>
      <c r="EOO170" s="201"/>
      <c r="EOP170" s="201"/>
      <c r="EOQ170" s="200"/>
      <c r="EOR170" s="202"/>
      <c r="EOS170" s="203"/>
      <c r="EOT170" s="124"/>
      <c r="EOV170" s="126"/>
      <c r="EOW170" s="124"/>
      <c r="EOY170" s="111"/>
      <c r="EPA170" s="200"/>
      <c r="EPB170" s="201"/>
      <c r="EPC170" s="201"/>
      <c r="EPD170" s="200"/>
      <c r="EPE170" s="202"/>
      <c r="EPF170" s="203"/>
      <c r="EPG170" s="124"/>
      <c r="EPI170" s="126"/>
      <c r="EPJ170" s="124"/>
      <c r="EPL170" s="111"/>
      <c r="EPN170" s="200"/>
      <c r="EPO170" s="201"/>
      <c r="EPP170" s="201"/>
      <c r="EPQ170" s="200"/>
      <c r="EPR170" s="202"/>
      <c r="EPS170" s="203"/>
      <c r="EPT170" s="124"/>
      <c r="EPV170" s="126"/>
      <c r="EPW170" s="124"/>
      <c r="EPY170" s="111"/>
      <c r="EQA170" s="200"/>
      <c r="EQB170" s="201"/>
      <c r="EQC170" s="201"/>
      <c r="EQD170" s="200"/>
      <c r="EQE170" s="202"/>
      <c r="EQF170" s="203"/>
      <c r="EQG170" s="124"/>
      <c r="EQI170" s="126"/>
      <c r="EQJ170" s="124"/>
      <c r="EQL170" s="111"/>
      <c r="EQN170" s="200"/>
      <c r="EQO170" s="201"/>
      <c r="EQP170" s="201"/>
      <c r="EQQ170" s="200"/>
      <c r="EQR170" s="202"/>
      <c r="EQS170" s="203"/>
      <c r="EQT170" s="124"/>
      <c r="EQV170" s="126"/>
      <c r="EQW170" s="124"/>
      <c r="EQY170" s="111"/>
      <c r="ERA170" s="200"/>
      <c r="ERB170" s="201"/>
      <c r="ERC170" s="201"/>
      <c r="ERD170" s="200"/>
      <c r="ERE170" s="202"/>
      <c r="ERF170" s="203"/>
      <c r="ERG170" s="124"/>
      <c r="ERI170" s="126"/>
      <c r="ERJ170" s="124"/>
      <c r="ERL170" s="111"/>
      <c r="ERN170" s="200"/>
      <c r="ERO170" s="201"/>
      <c r="ERP170" s="201"/>
      <c r="ERQ170" s="200"/>
      <c r="ERR170" s="202"/>
      <c r="ERS170" s="203"/>
      <c r="ERT170" s="124"/>
      <c r="ERV170" s="126"/>
      <c r="ERW170" s="124"/>
      <c r="ERY170" s="111"/>
      <c r="ESA170" s="200"/>
      <c r="ESB170" s="201"/>
      <c r="ESC170" s="201"/>
      <c r="ESD170" s="200"/>
      <c r="ESE170" s="202"/>
      <c r="ESF170" s="203"/>
      <c r="ESG170" s="124"/>
      <c r="ESI170" s="126"/>
      <c r="ESJ170" s="124"/>
      <c r="ESL170" s="111"/>
      <c r="ESN170" s="200"/>
      <c r="ESO170" s="201"/>
      <c r="ESP170" s="201"/>
      <c r="ESQ170" s="200"/>
      <c r="ESR170" s="202"/>
      <c r="ESS170" s="203"/>
      <c r="EST170" s="124"/>
      <c r="ESV170" s="126"/>
      <c r="ESW170" s="124"/>
      <c r="ESY170" s="111"/>
      <c r="ETA170" s="200"/>
      <c r="ETB170" s="201"/>
      <c r="ETC170" s="201"/>
      <c r="ETD170" s="200"/>
      <c r="ETE170" s="202"/>
      <c r="ETF170" s="203"/>
      <c r="ETG170" s="124"/>
      <c r="ETI170" s="126"/>
      <c r="ETJ170" s="124"/>
      <c r="ETL170" s="111"/>
      <c r="ETN170" s="200"/>
      <c r="ETO170" s="201"/>
      <c r="ETP170" s="201"/>
      <c r="ETQ170" s="200"/>
      <c r="ETR170" s="202"/>
      <c r="ETS170" s="203"/>
      <c r="ETT170" s="124"/>
      <c r="ETV170" s="126"/>
      <c r="ETW170" s="124"/>
      <c r="ETY170" s="111"/>
      <c r="EUA170" s="200"/>
      <c r="EUB170" s="201"/>
      <c r="EUC170" s="201"/>
      <c r="EUD170" s="200"/>
      <c r="EUE170" s="202"/>
      <c r="EUF170" s="203"/>
      <c r="EUG170" s="124"/>
      <c r="EUI170" s="126"/>
      <c r="EUJ170" s="124"/>
      <c r="EUL170" s="111"/>
      <c r="EUN170" s="200"/>
      <c r="EUO170" s="201"/>
      <c r="EUP170" s="201"/>
      <c r="EUQ170" s="200"/>
      <c r="EUR170" s="202"/>
      <c r="EUS170" s="203"/>
      <c r="EUT170" s="124"/>
      <c r="EUV170" s="126"/>
      <c r="EUW170" s="124"/>
      <c r="EUY170" s="111"/>
      <c r="EVA170" s="200"/>
      <c r="EVB170" s="201"/>
      <c r="EVC170" s="201"/>
      <c r="EVD170" s="200"/>
      <c r="EVE170" s="202"/>
      <c r="EVF170" s="203"/>
      <c r="EVG170" s="124"/>
      <c r="EVI170" s="126"/>
      <c r="EVJ170" s="124"/>
      <c r="EVL170" s="111"/>
      <c r="EVN170" s="200"/>
      <c r="EVO170" s="201"/>
      <c r="EVP170" s="201"/>
      <c r="EVQ170" s="200"/>
      <c r="EVR170" s="202"/>
      <c r="EVS170" s="203"/>
      <c r="EVT170" s="124"/>
      <c r="EVV170" s="126"/>
      <c r="EVW170" s="124"/>
      <c r="EVY170" s="111"/>
      <c r="EWA170" s="200"/>
      <c r="EWB170" s="201"/>
      <c r="EWC170" s="201"/>
      <c r="EWD170" s="200"/>
      <c r="EWE170" s="202"/>
      <c r="EWF170" s="203"/>
      <c r="EWG170" s="124"/>
      <c r="EWI170" s="126"/>
      <c r="EWJ170" s="124"/>
      <c r="EWL170" s="111"/>
      <c r="EWN170" s="200"/>
      <c r="EWO170" s="201"/>
      <c r="EWP170" s="201"/>
      <c r="EWQ170" s="200"/>
      <c r="EWR170" s="202"/>
      <c r="EWS170" s="203"/>
      <c r="EWT170" s="124"/>
      <c r="EWV170" s="126"/>
      <c r="EWW170" s="124"/>
      <c r="EWY170" s="111"/>
      <c r="EXA170" s="200"/>
      <c r="EXB170" s="201"/>
      <c r="EXC170" s="201"/>
      <c r="EXD170" s="200"/>
      <c r="EXE170" s="202"/>
      <c r="EXF170" s="203"/>
      <c r="EXG170" s="124"/>
      <c r="EXI170" s="126"/>
      <c r="EXJ170" s="124"/>
      <c r="EXL170" s="111"/>
      <c r="EXN170" s="200"/>
      <c r="EXO170" s="201"/>
      <c r="EXP170" s="201"/>
      <c r="EXQ170" s="200"/>
      <c r="EXR170" s="202"/>
      <c r="EXS170" s="203"/>
      <c r="EXT170" s="124"/>
      <c r="EXV170" s="126"/>
      <c r="EXW170" s="124"/>
      <c r="EXY170" s="111"/>
      <c r="EYA170" s="200"/>
      <c r="EYB170" s="201"/>
      <c r="EYC170" s="201"/>
      <c r="EYD170" s="200"/>
      <c r="EYE170" s="202"/>
      <c r="EYF170" s="203"/>
      <c r="EYG170" s="124"/>
      <c r="EYI170" s="126"/>
      <c r="EYJ170" s="124"/>
      <c r="EYL170" s="111"/>
      <c r="EYN170" s="200"/>
      <c r="EYO170" s="201"/>
      <c r="EYP170" s="201"/>
      <c r="EYQ170" s="200"/>
      <c r="EYR170" s="202"/>
      <c r="EYS170" s="203"/>
      <c r="EYT170" s="124"/>
      <c r="EYV170" s="126"/>
      <c r="EYW170" s="124"/>
      <c r="EYY170" s="111"/>
      <c r="EZA170" s="200"/>
      <c r="EZB170" s="201"/>
      <c r="EZC170" s="201"/>
      <c r="EZD170" s="200"/>
      <c r="EZE170" s="202"/>
      <c r="EZF170" s="203"/>
      <c r="EZG170" s="124"/>
      <c r="EZI170" s="126"/>
      <c r="EZJ170" s="124"/>
      <c r="EZL170" s="111"/>
      <c r="EZN170" s="200"/>
      <c r="EZO170" s="201"/>
      <c r="EZP170" s="201"/>
      <c r="EZQ170" s="200"/>
      <c r="EZR170" s="202"/>
      <c r="EZS170" s="203"/>
      <c r="EZT170" s="124"/>
      <c r="EZV170" s="126"/>
      <c r="EZW170" s="124"/>
      <c r="EZY170" s="111"/>
      <c r="FAA170" s="200"/>
      <c r="FAB170" s="201"/>
      <c r="FAC170" s="201"/>
      <c r="FAD170" s="200"/>
      <c r="FAE170" s="202"/>
      <c r="FAF170" s="203"/>
      <c r="FAG170" s="124"/>
      <c r="FAI170" s="126"/>
      <c r="FAJ170" s="124"/>
      <c r="FAL170" s="111"/>
      <c r="FAN170" s="200"/>
      <c r="FAO170" s="201"/>
      <c r="FAP170" s="201"/>
      <c r="FAQ170" s="200"/>
      <c r="FAR170" s="202"/>
      <c r="FAS170" s="203"/>
      <c r="FAT170" s="124"/>
      <c r="FAV170" s="126"/>
      <c r="FAW170" s="124"/>
      <c r="FAY170" s="111"/>
      <c r="FBA170" s="200"/>
      <c r="FBB170" s="201"/>
      <c r="FBC170" s="201"/>
      <c r="FBD170" s="200"/>
      <c r="FBE170" s="202"/>
      <c r="FBF170" s="203"/>
      <c r="FBG170" s="124"/>
      <c r="FBI170" s="126"/>
      <c r="FBJ170" s="124"/>
      <c r="FBL170" s="111"/>
      <c r="FBN170" s="200"/>
      <c r="FBO170" s="201"/>
      <c r="FBP170" s="201"/>
      <c r="FBQ170" s="200"/>
      <c r="FBR170" s="202"/>
      <c r="FBS170" s="203"/>
      <c r="FBT170" s="124"/>
      <c r="FBV170" s="126"/>
      <c r="FBW170" s="124"/>
      <c r="FBY170" s="111"/>
      <c r="FCA170" s="200"/>
      <c r="FCB170" s="201"/>
      <c r="FCC170" s="201"/>
      <c r="FCD170" s="200"/>
      <c r="FCE170" s="202"/>
      <c r="FCF170" s="203"/>
      <c r="FCG170" s="124"/>
      <c r="FCI170" s="126"/>
      <c r="FCJ170" s="124"/>
      <c r="FCL170" s="111"/>
      <c r="FCN170" s="200"/>
      <c r="FCO170" s="201"/>
      <c r="FCP170" s="201"/>
      <c r="FCQ170" s="200"/>
      <c r="FCR170" s="202"/>
      <c r="FCS170" s="203"/>
      <c r="FCT170" s="124"/>
      <c r="FCV170" s="126"/>
      <c r="FCW170" s="124"/>
      <c r="FCY170" s="111"/>
      <c r="FDA170" s="200"/>
      <c r="FDB170" s="201"/>
      <c r="FDC170" s="201"/>
      <c r="FDD170" s="200"/>
      <c r="FDE170" s="202"/>
      <c r="FDF170" s="203"/>
      <c r="FDG170" s="124"/>
      <c r="FDI170" s="126"/>
      <c r="FDJ170" s="124"/>
      <c r="FDL170" s="111"/>
      <c r="FDN170" s="200"/>
      <c r="FDO170" s="201"/>
      <c r="FDP170" s="201"/>
      <c r="FDQ170" s="200"/>
      <c r="FDR170" s="202"/>
      <c r="FDS170" s="203"/>
      <c r="FDT170" s="124"/>
      <c r="FDV170" s="126"/>
      <c r="FDW170" s="124"/>
      <c r="FDY170" s="111"/>
      <c r="FEA170" s="200"/>
      <c r="FEB170" s="201"/>
      <c r="FEC170" s="201"/>
      <c r="FED170" s="200"/>
      <c r="FEE170" s="202"/>
      <c r="FEF170" s="203"/>
      <c r="FEG170" s="124"/>
      <c r="FEI170" s="126"/>
      <c r="FEJ170" s="124"/>
      <c r="FEL170" s="111"/>
      <c r="FEN170" s="200"/>
      <c r="FEO170" s="201"/>
      <c r="FEP170" s="201"/>
      <c r="FEQ170" s="200"/>
      <c r="FER170" s="202"/>
      <c r="FES170" s="203"/>
      <c r="FET170" s="124"/>
      <c r="FEV170" s="126"/>
      <c r="FEW170" s="124"/>
      <c r="FEY170" s="111"/>
      <c r="FFA170" s="200"/>
      <c r="FFB170" s="201"/>
      <c r="FFC170" s="201"/>
      <c r="FFD170" s="200"/>
      <c r="FFE170" s="202"/>
      <c r="FFF170" s="203"/>
      <c r="FFG170" s="124"/>
      <c r="FFI170" s="126"/>
      <c r="FFJ170" s="124"/>
      <c r="FFL170" s="111"/>
      <c r="FFN170" s="200"/>
      <c r="FFO170" s="201"/>
      <c r="FFP170" s="201"/>
      <c r="FFQ170" s="200"/>
      <c r="FFR170" s="202"/>
      <c r="FFS170" s="203"/>
      <c r="FFT170" s="124"/>
      <c r="FFV170" s="126"/>
      <c r="FFW170" s="124"/>
      <c r="FFY170" s="111"/>
      <c r="FGA170" s="200"/>
      <c r="FGB170" s="201"/>
      <c r="FGC170" s="201"/>
      <c r="FGD170" s="200"/>
      <c r="FGE170" s="202"/>
      <c r="FGF170" s="203"/>
      <c r="FGG170" s="124"/>
      <c r="FGI170" s="126"/>
      <c r="FGJ170" s="124"/>
      <c r="FGL170" s="111"/>
      <c r="FGN170" s="200"/>
      <c r="FGO170" s="201"/>
      <c r="FGP170" s="201"/>
      <c r="FGQ170" s="200"/>
      <c r="FGR170" s="202"/>
      <c r="FGS170" s="203"/>
      <c r="FGT170" s="124"/>
      <c r="FGV170" s="126"/>
      <c r="FGW170" s="124"/>
      <c r="FGY170" s="111"/>
      <c r="FHA170" s="200"/>
      <c r="FHB170" s="201"/>
      <c r="FHC170" s="201"/>
      <c r="FHD170" s="200"/>
      <c r="FHE170" s="202"/>
      <c r="FHF170" s="203"/>
      <c r="FHG170" s="124"/>
      <c r="FHI170" s="126"/>
      <c r="FHJ170" s="124"/>
      <c r="FHL170" s="111"/>
      <c r="FHN170" s="200"/>
      <c r="FHO170" s="201"/>
      <c r="FHP170" s="201"/>
      <c r="FHQ170" s="200"/>
      <c r="FHR170" s="202"/>
      <c r="FHS170" s="203"/>
      <c r="FHT170" s="124"/>
      <c r="FHV170" s="126"/>
      <c r="FHW170" s="124"/>
      <c r="FHY170" s="111"/>
      <c r="FIA170" s="200"/>
      <c r="FIB170" s="201"/>
      <c r="FIC170" s="201"/>
      <c r="FID170" s="200"/>
      <c r="FIE170" s="202"/>
      <c r="FIF170" s="203"/>
      <c r="FIG170" s="124"/>
      <c r="FII170" s="126"/>
      <c r="FIJ170" s="124"/>
      <c r="FIL170" s="111"/>
      <c r="FIN170" s="200"/>
      <c r="FIO170" s="201"/>
      <c r="FIP170" s="201"/>
      <c r="FIQ170" s="200"/>
      <c r="FIR170" s="202"/>
      <c r="FIS170" s="203"/>
      <c r="FIT170" s="124"/>
      <c r="FIV170" s="126"/>
      <c r="FIW170" s="124"/>
      <c r="FIY170" s="111"/>
      <c r="FJA170" s="200"/>
      <c r="FJB170" s="201"/>
      <c r="FJC170" s="201"/>
      <c r="FJD170" s="200"/>
      <c r="FJE170" s="202"/>
      <c r="FJF170" s="203"/>
      <c r="FJG170" s="124"/>
      <c r="FJI170" s="126"/>
      <c r="FJJ170" s="124"/>
      <c r="FJL170" s="111"/>
      <c r="FJN170" s="200"/>
      <c r="FJO170" s="201"/>
      <c r="FJP170" s="201"/>
      <c r="FJQ170" s="200"/>
      <c r="FJR170" s="202"/>
      <c r="FJS170" s="203"/>
      <c r="FJT170" s="124"/>
      <c r="FJV170" s="126"/>
      <c r="FJW170" s="124"/>
      <c r="FJY170" s="111"/>
      <c r="FKA170" s="200"/>
      <c r="FKB170" s="201"/>
      <c r="FKC170" s="201"/>
      <c r="FKD170" s="200"/>
      <c r="FKE170" s="202"/>
      <c r="FKF170" s="203"/>
      <c r="FKG170" s="124"/>
      <c r="FKI170" s="126"/>
      <c r="FKJ170" s="124"/>
      <c r="FKL170" s="111"/>
      <c r="FKN170" s="200"/>
      <c r="FKO170" s="201"/>
      <c r="FKP170" s="201"/>
      <c r="FKQ170" s="200"/>
      <c r="FKR170" s="202"/>
      <c r="FKS170" s="203"/>
      <c r="FKT170" s="124"/>
      <c r="FKV170" s="126"/>
      <c r="FKW170" s="124"/>
      <c r="FKY170" s="111"/>
      <c r="FLA170" s="200"/>
      <c r="FLB170" s="201"/>
      <c r="FLC170" s="201"/>
      <c r="FLD170" s="200"/>
      <c r="FLE170" s="202"/>
      <c r="FLF170" s="203"/>
      <c r="FLG170" s="124"/>
      <c r="FLI170" s="126"/>
      <c r="FLJ170" s="124"/>
      <c r="FLL170" s="111"/>
      <c r="FLN170" s="200"/>
      <c r="FLO170" s="201"/>
      <c r="FLP170" s="201"/>
      <c r="FLQ170" s="200"/>
      <c r="FLR170" s="202"/>
      <c r="FLS170" s="203"/>
      <c r="FLT170" s="124"/>
      <c r="FLV170" s="126"/>
      <c r="FLW170" s="124"/>
      <c r="FLY170" s="111"/>
      <c r="FMA170" s="200"/>
      <c r="FMB170" s="201"/>
      <c r="FMC170" s="201"/>
      <c r="FMD170" s="200"/>
      <c r="FME170" s="202"/>
      <c r="FMF170" s="203"/>
      <c r="FMG170" s="124"/>
      <c r="FMI170" s="126"/>
      <c r="FMJ170" s="124"/>
      <c r="FML170" s="111"/>
      <c r="FMN170" s="200"/>
      <c r="FMO170" s="201"/>
      <c r="FMP170" s="201"/>
      <c r="FMQ170" s="200"/>
      <c r="FMR170" s="202"/>
      <c r="FMS170" s="203"/>
      <c r="FMT170" s="124"/>
      <c r="FMV170" s="126"/>
      <c r="FMW170" s="124"/>
      <c r="FMY170" s="111"/>
      <c r="FNA170" s="200"/>
      <c r="FNB170" s="201"/>
      <c r="FNC170" s="201"/>
      <c r="FND170" s="200"/>
      <c r="FNE170" s="202"/>
      <c r="FNF170" s="203"/>
      <c r="FNG170" s="124"/>
      <c r="FNI170" s="126"/>
      <c r="FNJ170" s="124"/>
      <c r="FNL170" s="111"/>
      <c r="FNN170" s="200"/>
      <c r="FNO170" s="201"/>
      <c r="FNP170" s="201"/>
      <c r="FNQ170" s="200"/>
      <c r="FNR170" s="202"/>
      <c r="FNS170" s="203"/>
      <c r="FNT170" s="124"/>
      <c r="FNV170" s="126"/>
      <c r="FNW170" s="124"/>
      <c r="FNY170" s="111"/>
      <c r="FOA170" s="200"/>
      <c r="FOB170" s="201"/>
      <c r="FOC170" s="201"/>
      <c r="FOD170" s="200"/>
      <c r="FOE170" s="202"/>
      <c r="FOF170" s="203"/>
      <c r="FOG170" s="124"/>
      <c r="FOI170" s="126"/>
      <c r="FOJ170" s="124"/>
      <c r="FOL170" s="111"/>
      <c r="FON170" s="200"/>
      <c r="FOO170" s="201"/>
      <c r="FOP170" s="201"/>
      <c r="FOQ170" s="200"/>
      <c r="FOR170" s="202"/>
      <c r="FOS170" s="203"/>
      <c r="FOT170" s="124"/>
      <c r="FOV170" s="126"/>
      <c r="FOW170" s="124"/>
      <c r="FOY170" s="111"/>
      <c r="FPA170" s="200"/>
      <c r="FPB170" s="201"/>
      <c r="FPC170" s="201"/>
      <c r="FPD170" s="200"/>
      <c r="FPE170" s="202"/>
      <c r="FPF170" s="203"/>
      <c r="FPG170" s="124"/>
      <c r="FPI170" s="126"/>
      <c r="FPJ170" s="124"/>
      <c r="FPL170" s="111"/>
      <c r="FPN170" s="200"/>
      <c r="FPO170" s="201"/>
      <c r="FPP170" s="201"/>
      <c r="FPQ170" s="200"/>
      <c r="FPR170" s="202"/>
      <c r="FPS170" s="203"/>
      <c r="FPT170" s="124"/>
      <c r="FPV170" s="126"/>
      <c r="FPW170" s="124"/>
      <c r="FPY170" s="111"/>
      <c r="FQA170" s="200"/>
      <c r="FQB170" s="201"/>
      <c r="FQC170" s="201"/>
      <c r="FQD170" s="200"/>
      <c r="FQE170" s="202"/>
      <c r="FQF170" s="203"/>
      <c r="FQG170" s="124"/>
      <c r="FQI170" s="126"/>
      <c r="FQJ170" s="124"/>
      <c r="FQL170" s="111"/>
      <c r="FQN170" s="200"/>
      <c r="FQO170" s="201"/>
      <c r="FQP170" s="201"/>
      <c r="FQQ170" s="200"/>
      <c r="FQR170" s="202"/>
      <c r="FQS170" s="203"/>
      <c r="FQT170" s="124"/>
      <c r="FQV170" s="126"/>
      <c r="FQW170" s="124"/>
      <c r="FQY170" s="111"/>
      <c r="FRA170" s="200"/>
      <c r="FRB170" s="201"/>
      <c r="FRC170" s="201"/>
      <c r="FRD170" s="200"/>
      <c r="FRE170" s="202"/>
      <c r="FRF170" s="203"/>
      <c r="FRG170" s="124"/>
      <c r="FRI170" s="126"/>
      <c r="FRJ170" s="124"/>
      <c r="FRL170" s="111"/>
      <c r="FRN170" s="200"/>
      <c r="FRO170" s="201"/>
      <c r="FRP170" s="201"/>
      <c r="FRQ170" s="200"/>
      <c r="FRR170" s="202"/>
      <c r="FRS170" s="203"/>
      <c r="FRT170" s="124"/>
      <c r="FRV170" s="126"/>
      <c r="FRW170" s="124"/>
      <c r="FRY170" s="111"/>
      <c r="FSA170" s="200"/>
      <c r="FSB170" s="201"/>
      <c r="FSC170" s="201"/>
      <c r="FSD170" s="200"/>
      <c r="FSE170" s="202"/>
      <c r="FSF170" s="203"/>
      <c r="FSG170" s="124"/>
      <c r="FSI170" s="126"/>
      <c r="FSJ170" s="124"/>
      <c r="FSL170" s="111"/>
      <c r="FSN170" s="200"/>
      <c r="FSO170" s="201"/>
      <c r="FSP170" s="201"/>
      <c r="FSQ170" s="200"/>
      <c r="FSR170" s="202"/>
      <c r="FSS170" s="203"/>
      <c r="FST170" s="124"/>
      <c r="FSV170" s="126"/>
      <c r="FSW170" s="124"/>
      <c r="FSY170" s="111"/>
      <c r="FTA170" s="200"/>
      <c r="FTB170" s="201"/>
      <c r="FTC170" s="201"/>
      <c r="FTD170" s="200"/>
      <c r="FTE170" s="202"/>
      <c r="FTF170" s="203"/>
      <c r="FTG170" s="124"/>
      <c r="FTI170" s="126"/>
      <c r="FTJ170" s="124"/>
      <c r="FTL170" s="111"/>
      <c r="FTN170" s="200"/>
      <c r="FTO170" s="201"/>
      <c r="FTP170" s="201"/>
      <c r="FTQ170" s="200"/>
      <c r="FTR170" s="202"/>
      <c r="FTS170" s="203"/>
      <c r="FTT170" s="124"/>
      <c r="FTV170" s="126"/>
      <c r="FTW170" s="124"/>
      <c r="FTY170" s="111"/>
      <c r="FUA170" s="200"/>
      <c r="FUB170" s="201"/>
      <c r="FUC170" s="201"/>
      <c r="FUD170" s="200"/>
      <c r="FUE170" s="202"/>
      <c r="FUF170" s="203"/>
      <c r="FUG170" s="124"/>
      <c r="FUI170" s="126"/>
      <c r="FUJ170" s="124"/>
      <c r="FUL170" s="111"/>
      <c r="FUN170" s="200"/>
      <c r="FUO170" s="201"/>
      <c r="FUP170" s="201"/>
      <c r="FUQ170" s="200"/>
      <c r="FUR170" s="202"/>
      <c r="FUS170" s="203"/>
      <c r="FUT170" s="124"/>
      <c r="FUV170" s="126"/>
      <c r="FUW170" s="124"/>
      <c r="FUY170" s="111"/>
      <c r="FVA170" s="200"/>
      <c r="FVB170" s="201"/>
      <c r="FVC170" s="201"/>
      <c r="FVD170" s="200"/>
      <c r="FVE170" s="202"/>
      <c r="FVF170" s="203"/>
      <c r="FVG170" s="124"/>
      <c r="FVI170" s="126"/>
      <c r="FVJ170" s="124"/>
      <c r="FVL170" s="111"/>
      <c r="FVN170" s="200"/>
      <c r="FVO170" s="201"/>
      <c r="FVP170" s="201"/>
      <c r="FVQ170" s="200"/>
      <c r="FVR170" s="202"/>
      <c r="FVS170" s="203"/>
      <c r="FVT170" s="124"/>
      <c r="FVV170" s="126"/>
      <c r="FVW170" s="124"/>
      <c r="FVY170" s="111"/>
      <c r="FWA170" s="200"/>
      <c r="FWB170" s="201"/>
      <c r="FWC170" s="201"/>
      <c r="FWD170" s="200"/>
      <c r="FWE170" s="202"/>
      <c r="FWF170" s="203"/>
      <c r="FWG170" s="124"/>
      <c r="FWI170" s="126"/>
      <c r="FWJ170" s="124"/>
      <c r="FWL170" s="111"/>
      <c r="FWN170" s="200"/>
      <c r="FWO170" s="201"/>
      <c r="FWP170" s="201"/>
      <c r="FWQ170" s="200"/>
      <c r="FWR170" s="202"/>
      <c r="FWS170" s="203"/>
      <c r="FWT170" s="124"/>
      <c r="FWV170" s="126"/>
      <c r="FWW170" s="124"/>
      <c r="FWY170" s="111"/>
      <c r="FXA170" s="200"/>
      <c r="FXB170" s="201"/>
      <c r="FXC170" s="201"/>
      <c r="FXD170" s="200"/>
      <c r="FXE170" s="202"/>
      <c r="FXF170" s="203"/>
      <c r="FXG170" s="124"/>
      <c r="FXI170" s="126"/>
      <c r="FXJ170" s="124"/>
      <c r="FXL170" s="111"/>
      <c r="FXN170" s="200"/>
      <c r="FXO170" s="201"/>
      <c r="FXP170" s="201"/>
      <c r="FXQ170" s="200"/>
      <c r="FXR170" s="202"/>
      <c r="FXS170" s="203"/>
      <c r="FXT170" s="124"/>
      <c r="FXV170" s="126"/>
      <c r="FXW170" s="124"/>
      <c r="FXY170" s="111"/>
      <c r="FYA170" s="200"/>
      <c r="FYB170" s="201"/>
      <c r="FYC170" s="201"/>
      <c r="FYD170" s="200"/>
      <c r="FYE170" s="202"/>
      <c r="FYF170" s="203"/>
      <c r="FYG170" s="124"/>
      <c r="FYI170" s="126"/>
      <c r="FYJ170" s="124"/>
      <c r="FYL170" s="111"/>
      <c r="FYN170" s="200"/>
      <c r="FYO170" s="201"/>
      <c r="FYP170" s="201"/>
      <c r="FYQ170" s="200"/>
      <c r="FYR170" s="202"/>
      <c r="FYS170" s="203"/>
      <c r="FYT170" s="124"/>
      <c r="FYV170" s="126"/>
      <c r="FYW170" s="124"/>
      <c r="FYY170" s="111"/>
      <c r="FZA170" s="200"/>
      <c r="FZB170" s="201"/>
      <c r="FZC170" s="201"/>
      <c r="FZD170" s="200"/>
      <c r="FZE170" s="202"/>
      <c r="FZF170" s="203"/>
      <c r="FZG170" s="124"/>
      <c r="FZI170" s="126"/>
      <c r="FZJ170" s="124"/>
      <c r="FZL170" s="111"/>
      <c r="FZN170" s="200"/>
      <c r="FZO170" s="201"/>
      <c r="FZP170" s="201"/>
      <c r="FZQ170" s="200"/>
      <c r="FZR170" s="202"/>
      <c r="FZS170" s="203"/>
      <c r="FZT170" s="124"/>
      <c r="FZV170" s="126"/>
      <c r="FZW170" s="124"/>
      <c r="FZY170" s="111"/>
      <c r="GAA170" s="200"/>
      <c r="GAB170" s="201"/>
      <c r="GAC170" s="201"/>
      <c r="GAD170" s="200"/>
      <c r="GAE170" s="202"/>
      <c r="GAF170" s="203"/>
      <c r="GAG170" s="124"/>
      <c r="GAI170" s="126"/>
      <c r="GAJ170" s="124"/>
      <c r="GAL170" s="111"/>
      <c r="GAN170" s="200"/>
      <c r="GAO170" s="201"/>
      <c r="GAP170" s="201"/>
      <c r="GAQ170" s="200"/>
      <c r="GAR170" s="202"/>
      <c r="GAS170" s="203"/>
      <c r="GAT170" s="124"/>
      <c r="GAV170" s="126"/>
      <c r="GAW170" s="124"/>
      <c r="GAY170" s="111"/>
      <c r="GBA170" s="200"/>
      <c r="GBB170" s="201"/>
      <c r="GBC170" s="201"/>
      <c r="GBD170" s="200"/>
      <c r="GBE170" s="202"/>
      <c r="GBF170" s="203"/>
      <c r="GBG170" s="124"/>
      <c r="GBI170" s="126"/>
      <c r="GBJ170" s="124"/>
      <c r="GBL170" s="111"/>
      <c r="GBN170" s="200"/>
      <c r="GBO170" s="201"/>
      <c r="GBP170" s="201"/>
      <c r="GBQ170" s="200"/>
      <c r="GBR170" s="202"/>
      <c r="GBS170" s="203"/>
      <c r="GBT170" s="124"/>
      <c r="GBV170" s="126"/>
      <c r="GBW170" s="124"/>
      <c r="GBY170" s="111"/>
      <c r="GCA170" s="200"/>
      <c r="GCB170" s="201"/>
      <c r="GCC170" s="201"/>
      <c r="GCD170" s="200"/>
      <c r="GCE170" s="202"/>
      <c r="GCF170" s="203"/>
      <c r="GCG170" s="124"/>
      <c r="GCI170" s="126"/>
      <c r="GCJ170" s="124"/>
      <c r="GCL170" s="111"/>
      <c r="GCN170" s="200"/>
      <c r="GCO170" s="201"/>
      <c r="GCP170" s="201"/>
      <c r="GCQ170" s="200"/>
      <c r="GCR170" s="202"/>
      <c r="GCS170" s="203"/>
      <c r="GCT170" s="124"/>
      <c r="GCV170" s="126"/>
      <c r="GCW170" s="124"/>
      <c r="GCY170" s="111"/>
      <c r="GDA170" s="200"/>
      <c r="GDB170" s="201"/>
      <c r="GDC170" s="201"/>
      <c r="GDD170" s="200"/>
      <c r="GDE170" s="202"/>
      <c r="GDF170" s="203"/>
      <c r="GDG170" s="124"/>
      <c r="GDI170" s="126"/>
      <c r="GDJ170" s="124"/>
      <c r="GDL170" s="111"/>
      <c r="GDN170" s="200"/>
      <c r="GDO170" s="201"/>
      <c r="GDP170" s="201"/>
      <c r="GDQ170" s="200"/>
      <c r="GDR170" s="202"/>
      <c r="GDS170" s="203"/>
      <c r="GDT170" s="124"/>
      <c r="GDV170" s="126"/>
      <c r="GDW170" s="124"/>
      <c r="GDY170" s="111"/>
      <c r="GEA170" s="200"/>
      <c r="GEB170" s="201"/>
      <c r="GEC170" s="201"/>
      <c r="GED170" s="200"/>
      <c r="GEE170" s="202"/>
      <c r="GEF170" s="203"/>
      <c r="GEG170" s="124"/>
      <c r="GEI170" s="126"/>
      <c r="GEJ170" s="124"/>
      <c r="GEL170" s="111"/>
      <c r="GEN170" s="200"/>
      <c r="GEO170" s="201"/>
      <c r="GEP170" s="201"/>
      <c r="GEQ170" s="200"/>
      <c r="GER170" s="202"/>
      <c r="GES170" s="203"/>
      <c r="GET170" s="124"/>
      <c r="GEV170" s="126"/>
      <c r="GEW170" s="124"/>
      <c r="GEY170" s="111"/>
      <c r="GFA170" s="200"/>
      <c r="GFB170" s="201"/>
      <c r="GFC170" s="201"/>
      <c r="GFD170" s="200"/>
      <c r="GFE170" s="202"/>
      <c r="GFF170" s="203"/>
      <c r="GFG170" s="124"/>
      <c r="GFI170" s="126"/>
      <c r="GFJ170" s="124"/>
      <c r="GFL170" s="111"/>
      <c r="GFN170" s="200"/>
      <c r="GFO170" s="201"/>
      <c r="GFP170" s="201"/>
      <c r="GFQ170" s="200"/>
      <c r="GFR170" s="202"/>
      <c r="GFS170" s="203"/>
      <c r="GFT170" s="124"/>
      <c r="GFV170" s="126"/>
      <c r="GFW170" s="124"/>
      <c r="GFY170" s="111"/>
      <c r="GGA170" s="200"/>
      <c r="GGB170" s="201"/>
      <c r="GGC170" s="201"/>
      <c r="GGD170" s="200"/>
      <c r="GGE170" s="202"/>
      <c r="GGF170" s="203"/>
      <c r="GGG170" s="124"/>
      <c r="GGI170" s="126"/>
      <c r="GGJ170" s="124"/>
      <c r="GGL170" s="111"/>
      <c r="GGN170" s="200"/>
      <c r="GGO170" s="201"/>
      <c r="GGP170" s="201"/>
      <c r="GGQ170" s="200"/>
      <c r="GGR170" s="202"/>
      <c r="GGS170" s="203"/>
      <c r="GGT170" s="124"/>
      <c r="GGV170" s="126"/>
      <c r="GGW170" s="124"/>
      <c r="GGY170" s="111"/>
      <c r="GHA170" s="200"/>
      <c r="GHB170" s="201"/>
      <c r="GHC170" s="201"/>
      <c r="GHD170" s="200"/>
      <c r="GHE170" s="202"/>
      <c r="GHF170" s="203"/>
      <c r="GHG170" s="124"/>
      <c r="GHI170" s="126"/>
      <c r="GHJ170" s="124"/>
      <c r="GHL170" s="111"/>
      <c r="GHN170" s="200"/>
      <c r="GHO170" s="201"/>
      <c r="GHP170" s="201"/>
      <c r="GHQ170" s="200"/>
      <c r="GHR170" s="202"/>
      <c r="GHS170" s="203"/>
      <c r="GHT170" s="124"/>
      <c r="GHV170" s="126"/>
      <c r="GHW170" s="124"/>
      <c r="GHY170" s="111"/>
      <c r="GIA170" s="200"/>
      <c r="GIB170" s="201"/>
      <c r="GIC170" s="201"/>
      <c r="GID170" s="200"/>
      <c r="GIE170" s="202"/>
      <c r="GIF170" s="203"/>
      <c r="GIG170" s="124"/>
      <c r="GII170" s="126"/>
      <c r="GIJ170" s="124"/>
      <c r="GIL170" s="111"/>
      <c r="GIN170" s="200"/>
      <c r="GIO170" s="201"/>
      <c r="GIP170" s="201"/>
      <c r="GIQ170" s="200"/>
      <c r="GIR170" s="202"/>
      <c r="GIS170" s="203"/>
      <c r="GIT170" s="124"/>
      <c r="GIV170" s="126"/>
      <c r="GIW170" s="124"/>
      <c r="GIY170" s="111"/>
      <c r="GJA170" s="200"/>
      <c r="GJB170" s="201"/>
      <c r="GJC170" s="201"/>
      <c r="GJD170" s="200"/>
      <c r="GJE170" s="202"/>
      <c r="GJF170" s="203"/>
      <c r="GJG170" s="124"/>
      <c r="GJI170" s="126"/>
      <c r="GJJ170" s="124"/>
      <c r="GJL170" s="111"/>
      <c r="GJN170" s="200"/>
      <c r="GJO170" s="201"/>
      <c r="GJP170" s="201"/>
      <c r="GJQ170" s="200"/>
      <c r="GJR170" s="202"/>
      <c r="GJS170" s="203"/>
      <c r="GJT170" s="124"/>
      <c r="GJV170" s="126"/>
      <c r="GJW170" s="124"/>
      <c r="GJY170" s="111"/>
      <c r="GKA170" s="200"/>
      <c r="GKB170" s="201"/>
      <c r="GKC170" s="201"/>
      <c r="GKD170" s="200"/>
      <c r="GKE170" s="202"/>
      <c r="GKF170" s="203"/>
      <c r="GKG170" s="124"/>
      <c r="GKI170" s="126"/>
      <c r="GKJ170" s="124"/>
      <c r="GKL170" s="111"/>
      <c r="GKN170" s="200"/>
      <c r="GKO170" s="201"/>
      <c r="GKP170" s="201"/>
      <c r="GKQ170" s="200"/>
      <c r="GKR170" s="202"/>
      <c r="GKS170" s="203"/>
      <c r="GKT170" s="124"/>
      <c r="GKV170" s="126"/>
      <c r="GKW170" s="124"/>
      <c r="GKY170" s="111"/>
      <c r="GLA170" s="200"/>
      <c r="GLB170" s="201"/>
      <c r="GLC170" s="201"/>
      <c r="GLD170" s="200"/>
      <c r="GLE170" s="202"/>
      <c r="GLF170" s="203"/>
      <c r="GLG170" s="124"/>
      <c r="GLI170" s="126"/>
      <c r="GLJ170" s="124"/>
      <c r="GLL170" s="111"/>
      <c r="GLN170" s="200"/>
      <c r="GLO170" s="201"/>
      <c r="GLP170" s="201"/>
      <c r="GLQ170" s="200"/>
      <c r="GLR170" s="202"/>
      <c r="GLS170" s="203"/>
      <c r="GLT170" s="124"/>
      <c r="GLV170" s="126"/>
      <c r="GLW170" s="124"/>
      <c r="GLY170" s="111"/>
      <c r="GMA170" s="200"/>
      <c r="GMB170" s="201"/>
      <c r="GMC170" s="201"/>
      <c r="GMD170" s="200"/>
      <c r="GME170" s="202"/>
      <c r="GMF170" s="203"/>
      <c r="GMG170" s="124"/>
      <c r="GMI170" s="126"/>
      <c r="GMJ170" s="124"/>
      <c r="GML170" s="111"/>
      <c r="GMN170" s="200"/>
      <c r="GMO170" s="201"/>
      <c r="GMP170" s="201"/>
      <c r="GMQ170" s="200"/>
      <c r="GMR170" s="202"/>
      <c r="GMS170" s="203"/>
      <c r="GMT170" s="124"/>
      <c r="GMV170" s="126"/>
      <c r="GMW170" s="124"/>
      <c r="GMY170" s="111"/>
      <c r="GNA170" s="200"/>
      <c r="GNB170" s="201"/>
      <c r="GNC170" s="201"/>
      <c r="GND170" s="200"/>
      <c r="GNE170" s="202"/>
      <c r="GNF170" s="203"/>
      <c r="GNG170" s="124"/>
      <c r="GNI170" s="126"/>
      <c r="GNJ170" s="124"/>
      <c r="GNL170" s="111"/>
      <c r="GNN170" s="200"/>
      <c r="GNO170" s="201"/>
      <c r="GNP170" s="201"/>
      <c r="GNQ170" s="200"/>
      <c r="GNR170" s="202"/>
      <c r="GNS170" s="203"/>
      <c r="GNT170" s="124"/>
      <c r="GNV170" s="126"/>
      <c r="GNW170" s="124"/>
      <c r="GNY170" s="111"/>
      <c r="GOA170" s="200"/>
      <c r="GOB170" s="201"/>
      <c r="GOC170" s="201"/>
      <c r="GOD170" s="200"/>
      <c r="GOE170" s="202"/>
      <c r="GOF170" s="203"/>
      <c r="GOG170" s="124"/>
      <c r="GOI170" s="126"/>
      <c r="GOJ170" s="124"/>
      <c r="GOL170" s="111"/>
      <c r="GON170" s="200"/>
      <c r="GOO170" s="201"/>
      <c r="GOP170" s="201"/>
      <c r="GOQ170" s="200"/>
      <c r="GOR170" s="202"/>
      <c r="GOS170" s="203"/>
      <c r="GOT170" s="124"/>
      <c r="GOV170" s="126"/>
      <c r="GOW170" s="124"/>
      <c r="GOY170" s="111"/>
      <c r="GPA170" s="200"/>
      <c r="GPB170" s="201"/>
      <c r="GPC170" s="201"/>
      <c r="GPD170" s="200"/>
      <c r="GPE170" s="202"/>
      <c r="GPF170" s="203"/>
      <c r="GPG170" s="124"/>
      <c r="GPI170" s="126"/>
      <c r="GPJ170" s="124"/>
      <c r="GPL170" s="111"/>
      <c r="GPN170" s="200"/>
      <c r="GPO170" s="201"/>
      <c r="GPP170" s="201"/>
      <c r="GPQ170" s="200"/>
      <c r="GPR170" s="202"/>
      <c r="GPS170" s="203"/>
      <c r="GPT170" s="124"/>
      <c r="GPV170" s="126"/>
      <c r="GPW170" s="124"/>
      <c r="GPY170" s="111"/>
      <c r="GQA170" s="200"/>
      <c r="GQB170" s="201"/>
      <c r="GQC170" s="201"/>
      <c r="GQD170" s="200"/>
      <c r="GQE170" s="202"/>
      <c r="GQF170" s="203"/>
      <c r="GQG170" s="124"/>
      <c r="GQI170" s="126"/>
      <c r="GQJ170" s="124"/>
      <c r="GQL170" s="111"/>
      <c r="GQN170" s="200"/>
      <c r="GQO170" s="201"/>
      <c r="GQP170" s="201"/>
      <c r="GQQ170" s="200"/>
      <c r="GQR170" s="202"/>
      <c r="GQS170" s="203"/>
      <c r="GQT170" s="124"/>
      <c r="GQV170" s="126"/>
      <c r="GQW170" s="124"/>
      <c r="GQY170" s="111"/>
      <c r="GRA170" s="200"/>
      <c r="GRB170" s="201"/>
      <c r="GRC170" s="201"/>
      <c r="GRD170" s="200"/>
      <c r="GRE170" s="202"/>
      <c r="GRF170" s="203"/>
      <c r="GRG170" s="124"/>
      <c r="GRI170" s="126"/>
      <c r="GRJ170" s="124"/>
      <c r="GRL170" s="111"/>
      <c r="GRN170" s="200"/>
      <c r="GRO170" s="201"/>
      <c r="GRP170" s="201"/>
      <c r="GRQ170" s="200"/>
      <c r="GRR170" s="202"/>
      <c r="GRS170" s="203"/>
      <c r="GRT170" s="124"/>
      <c r="GRV170" s="126"/>
      <c r="GRW170" s="124"/>
      <c r="GRY170" s="111"/>
      <c r="GSA170" s="200"/>
      <c r="GSB170" s="201"/>
      <c r="GSC170" s="201"/>
      <c r="GSD170" s="200"/>
      <c r="GSE170" s="202"/>
      <c r="GSF170" s="203"/>
      <c r="GSG170" s="124"/>
      <c r="GSI170" s="126"/>
      <c r="GSJ170" s="124"/>
      <c r="GSL170" s="111"/>
      <c r="GSN170" s="200"/>
      <c r="GSO170" s="201"/>
      <c r="GSP170" s="201"/>
      <c r="GSQ170" s="200"/>
      <c r="GSR170" s="202"/>
      <c r="GSS170" s="203"/>
      <c r="GST170" s="124"/>
      <c r="GSV170" s="126"/>
      <c r="GSW170" s="124"/>
      <c r="GSY170" s="111"/>
      <c r="GTA170" s="200"/>
      <c r="GTB170" s="201"/>
      <c r="GTC170" s="201"/>
      <c r="GTD170" s="200"/>
      <c r="GTE170" s="202"/>
      <c r="GTF170" s="203"/>
      <c r="GTG170" s="124"/>
      <c r="GTI170" s="126"/>
      <c r="GTJ170" s="124"/>
      <c r="GTL170" s="111"/>
      <c r="GTN170" s="200"/>
      <c r="GTO170" s="201"/>
      <c r="GTP170" s="201"/>
      <c r="GTQ170" s="200"/>
      <c r="GTR170" s="202"/>
      <c r="GTS170" s="203"/>
      <c r="GTT170" s="124"/>
      <c r="GTV170" s="126"/>
      <c r="GTW170" s="124"/>
      <c r="GTY170" s="111"/>
      <c r="GUA170" s="200"/>
      <c r="GUB170" s="201"/>
      <c r="GUC170" s="201"/>
      <c r="GUD170" s="200"/>
      <c r="GUE170" s="202"/>
      <c r="GUF170" s="203"/>
      <c r="GUG170" s="124"/>
      <c r="GUI170" s="126"/>
      <c r="GUJ170" s="124"/>
      <c r="GUL170" s="111"/>
      <c r="GUN170" s="200"/>
      <c r="GUO170" s="201"/>
      <c r="GUP170" s="201"/>
      <c r="GUQ170" s="200"/>
      <c r="GUR170" s="202"/>
      <c r="GUS170" s="203"/>
      <c r="GUT170" s="124"/>
      <c r="GUV170" s="126"/>
      <c r="GUW170" s="124"/>
      <c r="GUY170" s="111"/>
      <c r="GVA170" s="200"/>
      <c r="GVB170" s="201"/>
      <c r="GVC170" s="201"/>
      <c r="GVD170" s="200"/>
      <c r="GVE170" s="202"/>
      <c r="GVF170" s="203"/>
      <c r="GVG170" s="124"/>
      <c r="GVI170" s="126"/>
      <c r="GVJ170" s="124"/>
      <c r="GVL170" s="111"/>
      <c r="GVN170" s="200"/>
      <c r="GVO170" s="201"/>
      <c r="GVP170" s="201"/>
      <c r="GVQ170" s="200"/>
      <c r="GVR170" s="202"/>
      <c r="GVS170" s="203"/>
      <c r="GVT170" s="124"/>
      <c r="GVV170" s="126"/>
      <c r="GVW170" s="124"/>
      <c r="GVY170" s="111"/>
      <c r="GWA170" s="200"/>
      <c r="GWB170" s="201"/>
      <c r="GWC170" s="201"/>
      <c r="GWD170" s="200"/>
      <c r="GWE170" s="202"/>
      <c r="GWF170" s="203"/>
      <c r="GWG170" s="124"/>
      <c r="GWI170" s="126"/>
      <c r="GWJ170" s="124"/>
      <c r="GWL170" s="111"/>
      <c r="GWN170" s="200"/>
      <c r="GWO170" s="201"/>
      <c r="GWP170" s="201"/>
      <c r="GWQ170" s="200"/>
      <c r="GWR170" s="202"/>
      <c r="GWS170" s="203"/>
      <c r="GWT170" s="124"/>
      <c r="GWV170" s="126"/>
      <c r="GWW170" s="124"/>
      <c r="GWY170" s="111"/>
      <c r="GXA170" s="200"/>
      <c r="GXB170" s="201"/>
      <c r="GXC170" s="201"/>
      <c r="GXD170" s="200"/>
      <c r="GXE170" s="202"/>
      <c r="GXF170" s="203"/>
      <c r="GXG170" s="124"/>
      <c r="GXI170" s="126"/>
      <c r="GXJ170" s="124"/>
      <c r="GXL170" s="111"/>
      <c r="GXN170" s="200"/>
      <c r="GXO170" s="201"/>
      <c r="GXP170" s="201"/>
      <c r="GXQ170" s="200"/>
      <c r="GXR170" s="202"/>
      <c r="GXS170" s="203"/>
      <c r="GXT170" s="124"/>
      <c r="GXV170" s="126"/>
      <c r="GXW170" s="124"/>
      <c r="GXY170" s="111"/>
      <c r="GYA170" s="200"/>
      <c r="GYB170" s="201"/>
      <c r="GYC170" s="201"/>
      <c r="GYD170" s="200"/>
      <c r="GYE170" s="202"/>
      <c r="GYF170" s="203"/>
      <c r="GYG170" s="124"/>
      <c r="GYI170" s="126"/>
      <c r="GYJ170" s="124"/>
      <c r="GYL170" s="111"/>
      <c r="GYN170" s="200"/>
      <c r="GYO170" s="201"/>
      <c r="GYP170" s="201"/>
      <c r="GYQ170" s="200"/>
      <c r="GYR170" s="202"/>
      <c r="GYS170" s="203"/>
      <c r="GYT170" s="124"/>
      <c r="GYV170" s="126"/>
      <c r="GYW170" s="124"/>
      <c r="GYY170" s="111"/>
      <c r="GZA170" s="200"/>
      <c r="GZB170" s="201"/>
      <c r="GZC170" s="201"/>
      <c r="GZD170" s="200"/>
      <c r="GZE170" s="202"/>
      <c r="GZF170" s="203"/>
      <c r="GZG170" s="124"/>
      <c r="GZI170" s="126"/>
      <c r="GZJ170" s="124"/>
      <c r="GZL170" s="111"/>
      <c r="GZN170" s="200"/>
      <c r="GZO170" s="201"/>
      <c r="GZP170" s="201"/>
      <c r="GZQ170" s="200"/>
      <c r="GZR170" s="202"/>
      <c r="GZS170" s="203"/>
      <c r="GZT170" s="124"/>
      <c r="GZV170" s="126"/>
      <c r="GZW170" s="124"/>
      <c r="GZY170" s="111"/>
      <c r="HAA170" s="200"/>
      <c r="HAB170" s="201"/>
      <c r="HAC170" s="201"/>
      <c r="HAD170" s="200"/>
      <c r="HAE170" s="202"/>
      <c r="HAF170" s="203"/>
      <c r="HAG170" s="124"/>
      <c r="HAI170" s="126"/>
      <c r="HAJ170" s="124"/>
      <c r="HAL170" s="111"/>
      <c r="HAN170" s="200"/>
      <c r="HAO170" s="201"/>
      <c r="HAP170" s="201"/>
      <c r="HAQ170" s="200"/>
      <c r="HAR170" s="202"/>
      <c r="HAS170" s="203"/>
      <c r="HAT170" s="124"/>
      <c r="HAV170" s="126"/>
      <c r="HAW170" s="124"/>
      <c r="HAY170" s="111"/>
      <c r="HBA170" s="200"/>
      <c r="HBB170" s="201"/>
      <c r="HBC170" s="201"/>
      <c r="HBD170" s="200"/>
      <c r="HBE170" s="202"/>
      <c r="HBF170" s="203"/>
      <c r="HBG170" s="124"/>
      <c r="HBI170" s="126"/>
      <c r="HBJ170" s="124"/>
      <c r="HBL170" s="111"/>
      <c r="HBN170" s="200"/>
      <c r="HBO170" s="201"/>
      <c r="HBP170" s="201"/>
      <c r="HBQ170" s="200"/>
      <c r="HBR170" s="202"/>
      <c r="HBS170" s="203"/>
      <c r="HBT170" s="124"/>
      <c r="HBV170" s="126"/>
      <c r="HBW170" s="124"/>
      <c r="HBY170" s="111"/>
      <c r="HCA170" s="200"/>
      <c r="HCB170" s="201"/>
      <c r="HCC170" s="201"/>
      <c r="HCD170" s="200"/>
      <c r="HCE170" s="202"/>
      <c r="HCF170" s="203"/>
      <c r="HCG170" s="124"/>
      <c r="HCI170" s="126"/>
      <c r="HCJ170" s="124"/>
      <c r="HCL170" s="111"/>
      <c r="HCN170" s="200"/>
      <c r="HCO170" s="201"/>
      <c r="HCP170" s="201"/>
      <c r="HCQ170" s="200"/>
      <c r="HCR170" s="202"/>
      <c r="HCS170" s="203"/>
      <c r="HCT170" s="124"/>
      <c r="HCV170" s="126"/>
      <c r="HCW170" s="124"/>
      <c r="HCY170" s="111"/>
      <c r="HDA170" s="200"/>
      <c r="HDB170" s="201"/>
      <c r="HDC170" s="201"/>
      <c r="HDD170" s="200"/>
      <c r="HDE170" s="202"/>
      <c r="HDF170" s="203"/>
      <c r="HDG170" s="124"/>
      <c r="HDI170" s="126"/>
      <c r="HDJ170" s="124"/>
      <c r="HDL170" s="111"/>
      <c r="HDN170" s="200"/>
      <c r="HDO170" s="201"/>
      <c r="HDP170" s="201"/>
      <c r="HDQ170" s="200"/>
      <c r="HDR170" s="202"/>
      <c r="HDS170" s="203"/>
      <c r="HDT170" s="124"/>
      <c r="HDV170" s="126"/>
      <c r="HDW170" s="124"/>
      <c r="HDY170" s="111"/>
      <c r="HEA170" s="200"/>
      <c r="HEB170" s="201"/>
      <c r="HEC170" s="201"/>
      <c r="HED170" s="200"/>
      <c r="HEE170" s="202"/>
      <c r="HEF170" s="203"/>
      <c r="HEG170" s="124"/>
      <c r="HEI170" s="126"/>
      <c r="HEJ170" s="124"/>
      <c r="HEL170" s="111"/>
      <c r="HEN170" s="200"/>
      <c r="HEO170" s="201"/>
      <c r="HEP170" s="201"/>
      <c r="HEQ170" s="200"/>
      <c r="HER170" s="202"/>
      <c r="HES170" s="203"/>
      <c r="HET170" s="124"/>
      <c r="HEV170" s="126"/>
      <c r="HEW170" s="124"/>
      <c r="HEY170" s="111"/>
      <c r="HFA170" s="200"/>
      <c r="HFB170" s="201"/>
      <c r="HFC170" s="201"/>
      <c r="HFD170" s="200"/>
      <c r="HFE170" s="202"/>
      <c r="HFF170" s="203"/>
      <c r="HFG170" s="124"/>
      <c r="HFI170" s="126"/>
      <c r="HFJ170" s="124"/>
      <c r="HFL170" s="111"/>
      <c r="HFN170" s="200"/>
      <c r="HFO170" s="201"/>
      <c r="HFP170" s="201"/>
      <c r="HFQ170" s="200"/>
      <c r="HFR170" s="202"/>
      <c r="HFS170" s="203"/>
      <c r="HFT170" s="124"/>
      <c r="HFV170" s="126"/>
      <c r="HFW170" s="124"/>
      <c r="HFY170" s="111"/>
      <c r="HGA170" s="200"/>
      <c r="HGB170" s="201"/>
      <c r="HGC170" s="201"/>
      <c r="HGD170" s="200"/>
      <c r="HGE170" s="202"/>
      <c r="HGF170" s="203"/>
      <c r="HGG170" s="124"/>
      <c r="HGI170" s="126"/>
      <c r="HGJ170" s="124"/>
      <c r="HGL170" s="111"/>
      <c r="HGN170" s="200"/>
      <c r="HGO170" s="201"/>
      <c r="HGP170" s="201"/>
      <c r="HGQ170" s="200"/>
      <c r="HGR170" s="202"/>
      <c r="HGS170" s="203"/>
      <c r="HGT170" s="124"/>
      <c r="HGV170" s="126"/>
      <c r="HGW170" s="124"/>
      <c r="HGY170" s="111"/>
      <c r="HHA170" s="200"/>
      <c r="HHB170" s="201"/>
      <c r="HHC170" s="201"/>
      <c r="HHD170" s="200"/>
      <c r="HHE170" s="202"/>
      <c r="HHF170" s="203"/>
      <c r="HHG170" s="124"/>
      <c r="HHI170" s="126"/>
      <c r="HHJ170" s="124"/>
      <c r="HHL170" s="111"/>
      <c r="HHN170" s="200"/>
      <c r="HHO170" s="201"/>
      <c r="HHP170" s="201"/>
      <c r="HHQ170" s="200"/>
      <c r="HHR170" s="202"/>
      <c r="HHS170" s="203"/>
      <c r="HHT170" s="124"/>
      <c r="HHV170" s="126"/>
      <c r="HHW170" s="124"/>
      <c r="HHY170" s="111"/>
      <c r="HIA170" s="200"/>
      <c r="HIB170" s="201"/>
      <c r="HIC170" s="201"/>
      <c r="HID170" s="200"/>
      <c r="HIE170" s="202"/>
      <c r="HIF170" s="203"/>
      <c r="HIG170" s="124"/>
      <c r="HII170" s="126"/>
      <c r="HIJ170" s="124"/>
      <c r="HIL170" s="111"/>
      <c r="HIN170" s="200"/>
      <c r="HIO170" s="201"/>
      <c r="HIP170" s="201"/>
      <c r="HIQ170" s="200"/>
      <c r="HIR170" s="202"/>
      <c r="HIS170" s="203"/>
      <c r="HIT170" s="124"/>
      <c r="HIV170" s="126"/>
      <c r="HIW170" s="124"/>
      <c r="HIY170" s="111"/>
      <c r="HJA170" s="200"/>
      <c r="HJB170" s="201"/>
      <c r="HJC170" s="201"/>
      <c r="HJD170" s="200"/>
      <c r="HJE170" s="202"/>
      <c r="HJF170" s="203"/>
      <c r="HJG170" s="124"/>
      <c r="HJI170" s="126"/>
      <c r="HJJ170" s="124"/>
      <c r="HJL170" s="111"/>
      <c r="HJN170" s="200"/>
      <c r="HJO170" s="201"/>
      <c r="HJP170" s="201"/>
      <c r="HJQ170" s="200"/>
      <c r="HJR170" s="202"/>
      <c r="HJS170" s="203"/>
      <c r="HJT170" s="124"/>
      <c r="HJV170" s="126"/>
      <c r="HJW170" s="124"/>
      <c r="HJY170" s="111"/>
      <c r="HKA170" s="200"/>
      <c r="HKB170" s="201"/>
      <c r="HKC170" s="201"/>
      <c r="HKD170" s="200"/>
      <c r="HKE170" s="202"/>
      <c r="HKF170" s="203"/>
      <c r="HKG170" s="124"/>
      <c r="HKI170" s="126"/>
      <c r="HKJ170" s="124"/>
      <c r="HKL170" s="111"/>
      <c r="HKN170" s="200"/>
      <c r="HKO170" s="201"/>
      <c r="HKP170" s="201"/>
      <c r="HKQ170" s="200"/>
      <c r="HKR170" s="202"/>
      <c r="HKS170" s="203"/>
      <c r="HKT170" s="124"/>
      <c r="HKV170" s="126"/>
      <c r="HKW170" s="124"/>
      <c r="HKY170" s="111"/>
      <c r="HLA170" s="200"/>
      <c r="HLB170" s="201"/>
      <c r="HLC170" s="201"/>
      <c r="HLD170" s="200"/>
      <c r="HLE170" s="202"/>
      <c r="HLF170" s="203"/>
      <c r="HLG170" s="124"/>
      <c r="HLI170" s="126"/>
      <c r="HLJ170" s="124"/>
      <c r="HLL170" s="111"/>
      <c r="HLN170" s="200"/>
      <c r="HLO170" s="201"/>
      <c r="HLP170" s="201"/>
      <c r="HLQ170" s="200"/>
      <c r="HLR170" s="202"/>
      <c r="HLS170" s="203"/>
      <c r="HLT170" s="124"/>
      <c r="HLV170" s="126"/>
      <c r="HLW170" s="124"/>
      <c r="HLY170" s="111"/>
      <c r="HMA170" s="200"/>
      <c r="HMB170" s="201"/>
      <c r="HMC170" s="201"/>
      <c r="HMD170" s="200"/>
      <c r="HME170" s="202"/>
      <c r="HMF170" s="203"/>
      <c r="HMG170" s="124"/>
      <c r="HMI170" s="126"/>
      <c r="HMJ170" s="124"/>
      <c r="HML170" s="111"/>
      <c r="HMN170" s="200"/>
      <c r="HMO170" s="201"/>
      <c r="HMP170" s="201"/>
      <c r="HMQ170" s="200"/>
      <c r="HMR170" s="202"/>
      <c r="HMS170" s="203"/>
      <c r="HMT170" s="124"/>
      <c r="HMV170" s="126"/>
      <c r="HMW170" s="124"/>
      <c r="HMY170" s="111"/>
      <c r="HNA170" s="200"/>
      <c r="HNB170" s="201"/>
      <c r="HNC170" s="201"/>
      <c r="HND170" s="200"/>
      <c r="HNE170" s="202"/>
      <c r="HNF170" s="203"/>
      <c r="HNG170" s="124"/>
      <c r="HNI170" s="126"/>
      <c r="HNJ170" s="124"/>
      <c r="HNL170" s="111"/>
      <c r="HNN170" s="200"/>
      <c r="HNO170" s="201"/>
      <c r="HNP170" s="201"/>
      <c r="HNQ170" s="200"/>
      <c r="HNR170" s="202"/>
      <c r="HNS170" s="203"/>
      <c r="HNT170" s="124"/>
      <c r="HNV170" s="126"/>
      <c r="HNW170" s="124"/>
      <c r="HNY170" s="111"/>
      <c r="HOA170" s="200"/>
      <c r="HOB170" s="201"/>
      <c r="HOC170" s="201"/>
      <c r="HOD170" s="200"/>
      <c r="HOE170" s="202"/>
      <c r="HOF170" s="203"/>
      <c r="HOG170" s="124"/>
      <c r="HOI170" s="126"/>
      <c r="HOJ170" s="124"/>
      <c r="HOL170" s="111"/>
      <c r="HON170" s="200"/>
      <c r="HOO170" s="201"/>
      <c r="HOP170" s="201"/>
      <c r="HOQ170" s="200"/>
      <c r="HOR170" s="202"/>
      <c r="HOS170" s="203"/>
      <c r="HOT170" s="124"/>
      <c r="HOV170" s="126"/>
      <c r="HOW170" s="124"/>
      <c r="HOY170" s="111"/>
      <c r="HPA170" s="200"/>
      <c r="HPB170" s="201"/>
      <c r="HPC170" s="201"/>
      <c r="HPD170" s="200"/>
      <c r="HPE170" s="202"/>
      <c r="HPF170" s="203"/>
      <c r="HPG170" s="124"/>
      <c r="HPI170" s="126"/>
      <c r="HPJ170" s="124"/>
      <c r="HPL170" s="111"/>
      <c r="HPN170" s="200"/>
      <c r="HPO170" s="201"/>
      <c r="HPP170" s="201"/>
      <c r="HPQ170" s="200"/>
      <c r="HPR170" s="202"/>
      <c r="HPS170" s="203"/>
      <c r="HPT170" s="124"/>
      <c r="HPV170" s="126"/>
      <c r="HPW170" s="124"/>
      <c r="HPY170" s="111"/>
      <c r="HQA170" s="200"/>
      <c r="HQB170" s="201"/>
      <c r="HQC170" s="201"/>
      <c r="HQD170" s="200"/>
      <c r="HQE170" s="202"/>
      <c r="HQF170" s="203"/>
      <c r="HQG170" s="124"/>
      <c r="HQI170" s="126"/>
      <c r="HQJ170" s="124"/>
      <c r="HQL170" s="111"/>
      <c r="HQN170" s="200"/>
      <c r="HQO170" s="201"/>
      <c r="HQP170" s="201"/>
      <c r="HQQ170" s="200"/>
      <c r="HQR170" s="202"/>
      <c r="HQS170" s="203"/>
      <c r="HQT170" s="124"/>
      <c r="HQV170" s="126"/>
      <c r="HQW170" s="124"/>
      <c r="HQY170" s="111"/>
      <c r="HRA170" s="200"/>
      <c r="HRB170" s="201"/>
      <c r="HRC170" s="201"/>
      <c r="HRD170" s="200"/>
      <c r="HRE170" s="202"/>
      <c r="HRF170" s="203"/>
      <c r="HRG170" s="124"/>
      <c r="HRI170" s="126"/>
      <c r="HRJ170" s="124"/>
      <c r="HRL170" s="111"/>
      <c r="HRN170" s="200"/>
      <c r="HRO170" s="201"/>
      <c r="HRP170" s="201"/>
      <c r="HRQ170" s="200"/>
      <c r="HRR170" s="202"/>
      <c r="HRS170" s="203"/>
      <c r="HRT170" s="124"/>
      <c r="HRV170" s="126"/>
      <c r="HRW170" s="124"/>
      <c r="HRY170" s="111"/>
      <c r="HSA170" s="200"/>
      <c r="HSB170" s="201"/>
      <c r="HSC170" s="201"/>
      <c r="HSD170" s="200"/>
      <c r="HSE170" s="202"/>
      <c r="HSF170" s="203"/>
      <c r="HSG170" s="124"/>
      <c r="HSI170" s="126"/>
      <c r="HSJ170" s="124"/>
      <c r="HSL170" s="111"/>
      <c r="HSN170" s="200"/>
      <c r="HSO170" s="201"/>
      <c r="HSP170" s="201"/>
      <c r="HSQ170" s="200"/>
      <c r="HSR170" s="202"/>
      <c r="HSS170" s="203"/>
      <c r="HST170" s="124"/>
      <c r="HSV170" s="126"/>
      <c r="HSW170" s="124"/>
      <c r="HSY170" s="111"/>
      <c r="HTA170" s="200"/>
      <c r="HTB170" s="201"/>
      <c r="HTC170" s="201"/>
      <c r="HTD170" s="200"/>
      <c r="HTE170" s="202"/>
      <c r="HTF170" s="203"/>
      <c r="HTG170" s="124"/>
      <c r="HTI170" s="126"/>
      <c r="HTJ170" s="124"/>
      <c r="HTL170" s="111"/>
      <c r="HTN170" s="200"/>
      <c r="HTO170" s="201"/>
      <c r="HTP170" s="201"/>
      <c r="HTQ170" s="200"/>
      <c r="HTR170" s="202"/>
      <c r="HTS170" s="203"/>
      <c r="HTT170" s="124"/>
      <c r="HTV170" s="126"/>
      <c r="HTW170" s="124"/>
      <c r="HTY170" s="111"/>
      <c r="HUA170" s="200"/>
      <c r="HUB170" s="201"/>
      <c r="HUC170" s="201"/>
      <c r="HUD170" s="200"/>
      <c r="HUE170" s="202"/>
      <c r="HUF170" s="203"/>
      <c r="HUG170" s="124"/>
      <c r="HUI170" s="126"/>
      <c r="HUJ170" s="124"/>
      <c r="HUL170" s="111"/>
      <c r="HUN170" s="200"/>
      <c r="HUO170" s="201"/>
      <c r="HUP170" s="201"/>
      <c r="HUQ170" s="200"/>
      <c r="HUR170" s="202"/>
      <c r="HUS170" s="203"/>
      <c r="HUT170" s="124"/>
      <c r="HUV170" s="126"/>
      <c r="HUW170" s="124"/>
      <c r="HUY170" s="111"/>
      <c r="HVA170" s="200"/>
      <c r="HVB170" s="201"/>
      <c r="HVC170" s="201"/>
      <c r="HVD170" s="200"/>
      <c r="HVE170" s="202"/>
      <c r="HVF170" s="203"/>
      <c r="HVG170" s="124"/>
      <c r="HVI170" s="126"/>
      <c r="HVJ170" s="124"/>
      <c r="HVL170" s="111"/>
      <c r="HVN170" s="200"/>
      <c r="HVO170" s="201"/>
      <c r="HVP170" s="201"/>
      <c r="HVQ170" s="200"/>
      <c r="HVR170" s="202"/>
      <c r="HVS170" s="203"/>
      <c r="HVT170" s="124"/>
      <c r="HVV170" s="126"/>
      <c r="HVW170" s="124"/>
      <c r="HVY170" s="111"/>
      <c r="HWA170" s="200"/>
      <c r="HWB170" s="201"/>
      <c r="HWC170" s="201"/>
      <c r="HWD170" s="200"/>
      <c r="HWE170" s="202"/>
      <c r="HWF170" s="203"/>
      <c r="HWG170" s="124"/>
      <c r="HWI170" s="126"/>
      <c r="HWJ170" s="124"/>
      <c r="HWL170" s="111"/>
      <c r="HWN170" s="200"/>
      <c r="HWO170" s="201"/>
      <c r="HWP170" s="201"/>
      <c r="HWQ170" s="200"/>
      <c r="HWR170" s="202"/>
      <c r="HWS170" s="203"/>
      <c r="HWT170" s="124"/>
      <c r="HWV170" s="126"/>
      <c r="HWW170" s="124"/>
      <c r="HWY170" s="111"/>
      <c r="HXA170" s="200"/>
      <c r="HXB170" s="201"/>
      <c r="HXC170" s="201"/>
      <c r="HXD170" s="200"/>
      <c r="HXE170" s="202"/>
      <c r="HXF170" s="203"/>
      <c r="HXG170" s="124"/>
      <c r="HXI170" s="126"/>
      <c r="HXJ170" s="124"/>
      <c r="HXL170" s="111"/>
      <c r="HXN170" s="200"/>
      <c r="HXO170" s="201"/>
      <c r="HXP170" s="201"/>
      <c r="HXQ170" s="200"/>
      <c r="HXR170" s="202"/>
      <c r="HXS170" s="203"/>
      <c r="HXT170" s="124"/>
      <c r="HXV170" s="126"/>
      <c r="HXW170" s="124"/>
      <c r="HXY170" s="111"/>
      <c r="HYA170" s="200"/>
      <c r="HYB170" s="201"/>
      <c r="HYC170" s="201"/>
      <c r="HYD170" s="200"/>
      <c r="HYE170" s="202"/>
      <c r="HYF170" s="203"/>
      <c r="HYG170" s="124"/>
      <c r="HYI170" s="126"/>
      <c r="HYJ170" s="124"/>
      <c r="HYL170" s="111"/>
      <c r="HYN170" s="200"/>
      <c r="HYO170" s="201"/>
      <c r="HYP170" s="201"/>
      <c r="HYQ170" s="200"/>
      <c r="HYR170" s="202"/>
      <c r="HYS170" s="203"/>
      <c r="HYT170" s="124"/>
      <c r="HYV170" s="126"/>
      <c r="HYW170" s="124"/>
      <c r="HYY170" s="111"/>
      <c r="HZA170" s="200"/>
      <c r="HZB170" s="201"/>
      <c r="HZC170" s="201"/>
      <c r="HZD170" s="200"/>
      <c r="HZE170" s="202"/>
      <c r="HZF170" s="203"/>
      <c r="HZG170" s="124"/>
      <c r="HZI170" s="126"/>
      <c r="HZJ170" s="124"/>
      <c r="HZL170" s="111"/>
      <c r="HZN170" s="200"/>
      <c r="HZO170" s="201"/>
      <c r="HZP170" s="201"/>
      <c r="HZQ170" s="200"/>
      <c r="HZR170" s="202"/>
      <c r="HZS170" s="203"/>
      <c r="HZT170" s="124"/>
      <c r="HZV170" s="126"/>
      <c r="HZW170" s="124"/>
      <c r="HZY170" s="111"/>
      <c r="IAA170" s="200"/>
      <c r="IAB170" s="201"/>
      <c r="IAC170" s="201"/>
      <c r="IAD170" s="200"/>
      <c r="IAE170" s="202"/>
      <c r="IAF170" s="203"/>
      <c r="IAG170" s="124"/>
      <c r="IAI170" s="126"/>
      <c r="IAJ170" s="124"/>
      <c r="IAL170" s="111"/>
      <c r="IAN170" s="200"/>
      <c r="IAO170" s="201"/>
      <c r="IAP170" s="201"/>
      <c r="IAQ170" s="200"/>
      <c r="IAR170" s="202"/>
      <c r="IAS170" s="203"/>
      <c r="IAT170" s="124"/>
      <c r="IAV170" s="126"/>
      <c r="IAW170" s="124"/>
      <c r="IAY170" s="111"/>
      <c r="IBA170" s="200"/>
      <c r="IBB170" s="201"/>
      <c r="IBC170" s="201"/>
      <c r="IBD170" s="200"/>
      <c r="IBE170" s="202"/>
      <c r="IBF170" s="203"/>
      <c r="IBG170" s="124"/>
      <c r="IBI170" s="126"/>
      <c r="IBJ170" s="124"/>
      <c r="IBL170" s="111"/>
      <c r="IBN170" s="200"/>
      <c r="IBO170" s="201"/>
      <c r="IBP170" s="201"/>
      <c r="IBQ170" s="200"/>
      <c r="IBR170" s="202"/>
      <c r="IBS170" s="203"/>
      <c r="IBT170" s="124"/>
      <c r="IBV170" s="126"/>
      <c r="IBW170" s="124"/>
      <c r="IBY170" s="111"/>
      <c r="ICA170" s="200"/>
      <c r="ICB170" s="201"/>
      <c r="ICC170" s="201"/>
      <c r="ICD170" s="200"/>
      <c r="ICE170" s="202"/>
      <c r="ICF170" s="203"/>
      <c r="ICG170" s="124"/>
      <c r="ICI170" s="126"/>
      <c r="ICJ170" s="124"/>
      <c r="ICL170" s="111"/>
      <c r="ICN170" s="200"/>
      <c r="ICO170" s="201"/>
      <c r="ICP170" s="201"/>
      <c r="ICQ170" s="200"/>
      <c r="ICR170" s="202"/>
      <c r="ICS170" s="203"/>
      <c r="ICT170" s="124"/>
      <c r="ICV170" s="126"/>
      <c r="ICW170" s="124"/>
      <c r="ICY170" s="111"/>
      <c r="IDA170" s="200"/>
      <c r="IDB170" s="201"/>
      <c r="IDC170" s="201"/>
      <c r="IDD170" s="200"/>
      <c r="IDE170" s="202"/>
      <c r="IDF170" s="203"/>
      <c r="IDG170" s="124"/>
      <c r="IDI170" s="126"/>
      <c r="IDJ170" s="124"/>
      <c r="IDL170" s="111"/>
      <c r="IDN170" s="200"/>
      <c r="IDO170" s="201"/>
      <c r="IDP170" s="201"/>
      <c r="IDQ170" s="200"/>
      <c r="IDR170" s="202"/>
      <c r="IDS170" s="203"/>
      <c r="IDT170" s="124"/>
      <c r="IDV170" s="126"/>
      <c r="IDW170" s="124"/>
      <c r="IDY170" s="111"/>
      <c r="IEA170" s="200"/>
      <c r="IEB170" s="201"/>
      <c r="IEC170" s="201"/>
      <c r="IED170" s="200"/>
      <c r="IEE170" s="202"/>
      <c r="IEF170" s="203"/>
      <c r="IEG170" s="124"/>
      <c r="IEI170" s="126"/>
      <c r="IEJ170" s="124"/>
      <c r="IEL170" s="111"/>
      <c r="IEN170" s="200"/>
      <c r="IEO170" s="201"/>
      <c r="IEP170" s="201"/>
      <c r="IEQ170" s="200"/>
      <c r="IER170" s="202"/>
      <c r="IES170" s="203"/>
      <c r="IET170" s="124"/>
      <c r="IEV170" s="126"/>
      <c r="IEW170" s="124"/>
      <c r="IEY170" s="111"/>
      <c r="IFA170" s="200"/>
      <c r="IFB170" s="201"/>
      <c r="IFC170" s="201"/>
      <c r="IFD170" s="200"/>
      <c r="IFE170" s="202"/>
      <c r="IFF170" s="203"/>
      <c r="IFG170" s="124"/>
      <c r="IFI170" s="126"/>
      <c r="IFJ170" s="124"/>
      <c r="IFL170" s="111"/>
      <c r="IFN170" s="200"/>
      <c r="IFO170" s="201"/>
      <c r="IFP170" s="201"/>
      <c r="IFQ170" s="200"/>
      <c r="IFR170" s="202"/>
      <c r="IFS170" s="203"/>
      <c r="IFT170" s="124"/>
      <c r="IFV170" s="126"/>
      <c r="IFW170" s="124"/>
      <c r="IFY170" s="111"/>
      <c r="IGA170" s="200"/>
      <c r="IGB170" s="201"/>
      <c r="IGC170" s="201"/>
      <c r="IGD170" s="200"/>
      <c r="IGE170" s="202"/>
      <c r="IGF170" s="203"/>
      <c r="IGG170" s="124"/>
      <c r="IGI170" s="126"/>
      <c r="IGJ170" s="124"/>
      <c r="IGL170" s="111"/>
      <c r="IGN170" s="200"/>
      <c r="IGO170" s="201"/>
      <c r="IGP170" s="201"/>
      <c r="IGQ170" s="200"/>
      <c r="IGR170" s="202"/>
      <c r="IGS170" s="203"/>
      <c r="IGT170" s="124"/>
      <c r="IGV170" s="126"/>
      <c r="IGW170" s="124"/>
      <c r="IGY170" s="111"/>
      <c r="IHA170" s="200"/>
      <c r="IHB170" s="201"/>
      <c r="IHC170" s="201"/>
      <c r="IHD170" s="200"/>
      <c r="IHE170" s="202"/>
      <c r="IHF170" s="203"/>
      <c r="IHG170" s="124"/>
      <c r="IHI170" s="126"/>
      <c r="IHJ170" s="124"/>
      <c r="IHL170" s="111"/>
      <c r="IHN170" s="200"/>
      <c r="IHO170" s="201"/>
      <c r="IHP170" s="201"/>
      <c r="IHQ170" s="200"/>
      <c r="IHR170" s="202"/>
      <c r="IHS170" s="203"/>
      <c r="IHT170" s="124"/>
      <c r="IHV170" s="126"/>
      <c r="IHW170" s="124"/>
      <c r="IHY170" s="111"/>
      <c r="IIA170" s="200"/>
      <c r="IIB170" s="201"/>
      <c r="IIC170" s="201"/>
      <c r="IID170" s="200"/>
      <c r="IIE170" s="202"/>
      <c r="IIF170" s="203"/>
      <c r="IIG170" s="124"/>
      <c r="III170" s="126"/>
      <c r="IIJ170" s="124"/>
      <c r="IIL170" s="111"/>
      <c r="IIN170" s="200"/>
      <c r="IIO170" s="201"/>
      <c r="IIP170" s="201"/>
      <c r="IIQ170" s="200"/>
      <c r="IIR170" s="202"/>
      <c r="IIS170" s="203"/>
      <c r="IIT170" s="124"/>
      <c r="IIV170" s="126"/>
      <c r="IIW170" s="124"/>
      <c r="IIY170" s="111"/>
      <c r="IJA170" s="200"/>
      <c r="IJB170" s="201"/>
      <c r="IJC170" s="201"/>
      <c r="IJD170" s="200"/>
      <c r="IJE170" s="202"/>
      <c r="IJF170" s="203"/>
      <c r="IJG170" s="124"/>
      <c r="IJI170" s="126"/>
      <c r="IJJ170" s="124"/>
      <c r="IJL170" s="111"/>
      <c r="IJN170" s="200"/>
      <c r="IJO170" s="201"/>
      <c r="IJP170" s="201"/>
      <c r="IJQ170" s="200"/>
      <c r="IJR170" s="202"/>
      <c r="IJS170" s="203"/>
      <c r="IJT170" s="124"/>
      <c r="IJV170" s="126"/>
      <c r="IJW170" s="124"/>
      <c r="IJY170" s="111"/>
      <c r="IKA170" s="200"/>
      <c r="IKB170" s="201"/>
      <c r="IKC170" s="201"/>
      <c r="IKD170" s="200"/>
      <c r="IKE170" s="202"/>
      <c r="IKF170" s="203"/>
      <c r="IKG170" s="124"/>
      <c r="IKI170" s="126"/>
      <c r="IKJ170" s="124"/>
      <c r="IKL170" s="111"/>
      <c r="IKN170" s="200"/>
      <c r="IKO170" s="201"/>
      <c r="IKP170" s="201"/>
      <c r="IKQ170" s="200"/>
      <c r="IKR170" s="202"/>
      <c r="IKS170" s="203"/>
      <c r="IKT170" s="124"/>
      <c r="IKV170" s="126"/>
      <c r="IKW170" s="124"/>
      <c r="IKY170" s="111"/>
      <c r="ILA170" s="200"/>
      <c r="ILB170" s="201"/>
      <c r="ILC170" s="201"/>
      <c r="ILD170" s="200"/>
      <c r="ILE170" s="202"/>
      <c r="ILF170" s="203"/>
      <c r="ILG170" s="124"/>
      <c r="ILI170" s="126"/>
      <c r="ILJ170" s="124"/>
      <c r="ILL170" s="111"/>
      <c r="ILN170" s="200"/>
      <c r="ILO170" s="201"/>
      <c r="ILP170" s="201"/>
      <c r="ILQ170" s="200"/>
      <c r="ILR170" s="202"/>
      <c r="ILS170" s="203"/>
      <c r="ILT170" s="124"/>
      <c r="ILV170" s="126"/>
      <c r="ILW170" s="124"/>
      <c r="ILY170" s="111"/>
      <c r="IMA170" s="200"/>
      <c r="IMB170" s="201"/>
      <c r="IMC170" s="201"/>
      <c r="IMD170" s="200"/>
      <c r="IME170" s="202"/>
      <c r="IMF170" s="203"/>
      <c r="IMG170" s="124"/>
      <c r="IMI170" s="126"/>
      <c r="IMJ170" s="124"/>
      <c r="IML170" s="111"/>
      <c r="IMN170" s="200"/>
      <c r="IMO170" s="201"/>
      <c r="IMP170" s="201"/>
      <c r="IMQ170" s="200"/>
      <c r="IMR170" s="202"/>
      <c r="IMS170" s="203"/>
      <c r="IMT170" s="124"/>
      <c r="IMV170" s="126"/>
      <c r="IMW170" s="124"/>
      <c r="IMY170" s="111"/>
      <c r="INA170" s="200"/>
      <c r="INB170" s="201"/>
      <c r="INC170" s="201"/>
      <c r="IND170" s="200"/>
      <c r="INE170" s="202"/>
      <c r="INF170" s="203"/>
      <c r="ING170" s="124"/>
      <c r="INI170" s="126"/>
      <c r="INJ170" s="124"/>
      <c r="INL170" s="111"/>
      <c r="INN170" s="200"/>
      <c r="INO170" s="201"/>
      <c r="INP170" s="201"/>
      <c r="INQ170" s="200"/>
      <c r="INR170" s="202"/>
      <c r="INS170" s="203"/>
      <c r="INT170" s="124"/>
      <c r="INV170" s="126"/>
      <c r="INW170" s="124"/>
      <c r="INY170" s="111"/>
      <c r="IOA170" s="200"/>
      <c r="IOB170" s="201"/>
      <c r="IOC170" s="201"/>
      <c r="IOD170" s="200"/>
      <c r="IOE170" s="202"/>
      <c r="IOF170" s="203"/>
      <c r="IOG170" s="124"/>
      <c r="IOI170" s="126"/>
      <c r="IOJ170" s="124"/>
      <c r="IOL170" s="111"/>
      <c r="ION170" s="200"/>
      <c r="IOO170" s="201"/>
      <c r="IOP170" s="201"/>
      <c r="IOQ170" s="200"/>
      <c r="IOR170" s="202"/>
      <c r="IOS170" s="203"/>
      <c r="IOT170" s="124"/>
      <c r="IOV170" s="126"/>
      <c r="IOW170" s="124"/>
      <c r="IOY170" s="111"/>
      <c r="IPA170" s="200"/>
      <c r="IPB170" s="201"/>
      <c r="IPC170" s="201"/>
      <c r="IPD170" s="200"/>
      <c r="IPE170" s="202"/>
      <c r="IPF170" s="203"/>
      <c r="IPG170" s="124"/>
      <c r="IPI170" s="126"/>
      <c r="IPJ170" s="124"/>
      <c r="IPL170" s="111"/>
      <c r="IPN170" s="200"/>
      <c r="IPO170" s="201"/>
      <c r="IPP170" s="201"/>
      <c r="IPQ170" s="200"/>
      <c r="IPR170" s="202"/>
      <c r="IPS170" s="203"/>
      <c r="IPT170" s="124"/>
      <c r="IPV170" s="126"/>
      <c r="IPW170" s="124"/>
      <c r="IPY170" s="111"/>
      <c r="IQA170" s="200"/>
      <c r="IQB170" s="201"/>
      <c r="IQC170" s="201"/>
      <c r="IQD170" s="200"/>
      <c r="IQE170" s="202"/>
      <c r="IQF170" s="203"/>
      <c r="IQG170" s="124"/>
      <c r="IQI170" s="126"/>
      <c r="IQJ170" s="124"/>
      <c r="IQL170" s="111"/>
      <c r="IQN170" s="200"/>
      <c r="IQO170" s="201"/>
      <c r="IQP170" s="201"/>
      <c r="IQQ170" s="200"/>
      <c r="IQR170" s="202"/>
      <c r="IQS170" s="203"/>
      <c r="IQT170" s="124"/>
      <c r="IQV170" s="126"/>
      <c r="IQW170" s="124"/>
      <c r="IQY170" s="111"/>
      <c r="IRA170" s="200"/>
      <c r="IRB170" s="201"/>
      <c r="IRC170" s="201"/>
      <c r="IRD170" s="200"/>
      <c r="IRE170" s="202"/>
      <c r="IRF170" s="203"/>
      <c r="IRG170" s="124"/>
      <c r="IRI170" s="126"/>
      <c r="IRJ170" s="124"/>
      <c r="IRL170" s="111"/>
      <c r="IRN170" s="200"/>
      <c r="IRO170" s="201"/>
      <c r="IRP170" s="201"/>
      <c r="IRQ170" s="200"/>
      <c r="IRR170" s="202"/>
      <c r="IRS170" s="203"/>
      <c r="IRT170" s="124"/>
      <c r="IRV170" s="126"/>
      <c r="IRW170" s="124"/>
      <c r="IRY170" s="111"/>
      <c r="ISA170" s="200"/>
      <c r="ISB170" s="201"/>
      <c r="ISC170" s="201"/>
      <c r="ISD170" s="200"/>
      <c r="ISE170" s="202"/>
      <c r="ISF170" s="203"/>
      <c r="ISG170" s="124"/>
      <c r="ISI170" s="126"/>
      <c r="ISJ170" s="124"/>
      <c r="ISL170" s="111"/>
      <c r="ISN170" s="200"/>
      <c r="ISO170" s="201"/>
      <c r="ISP170" s="201"/>
      <c r="ISQ170" s="200"/>
      <c r="ISR170" s="202"/>
      <c r="ISS170" s="203"/>
      <c r="IST170" s="124"/>
      <c r="ISV170" s="126"/>
      <c r="ISW170" s="124"/>
      <c r="ISY170" s="111"/>
      <c r="ITA170" s="200"/>
      <c r="ITB170" s="201"/>
      <c r="ITC170" s="201"/>
      <c r="ITD170" s="200"/>
      <c r="ITE170" s="202"/>
      <c r="ITF170" s="203"/>
      <c r="ITG170" s="124"/>
      <c r="ITI170" s="126"/>
      <c r="ITJ170" s="124"/>
      <c r="ITL170" s="111"/>
      <c r="ITN170" s="200"/>
      <c r="ITO170" s="201"/>
      <c r="ITP170" s="201"/>
      <c r="ITQ170" s="200"/>
      <c r="ITR170" s="202"/>
      <c r="ITS170" s="203"/>
      <c r="ITT170" s="124"/>
      <c r="ITV170" s="126"/>
      <c r="ITW170" s="124"/>
      <c r="ITY170" s="111"/>
      <c r="IUA170" s="200"/>
      <c r="IUB170" s="201"/>
      <c r="IUC170" s="201"/>
      <c r="IUD170" s="200"/>
      <c r="IUE170" s="202"/>
      <c r="IUF170" s="203"/>
      <c r="IUG170" s="124"/>
      <c r="IUI170" s="126"/>
      <c r="IUJ170" s="124"/>
      <c r="IUL170" s="111"/>
      <c r="IUN170" s="200"/>
      <c r="IUO170" s="201"/>
      <c r="IUP170" s="201"/>
      <c r="IUQ170" s="200"/>
      <c r="IUR170" s="202"/>
      <c r="IUS170" s="203"/>
      <c r="IUT170" s="124"/>
      <c r="IUV170" s="126"/>
      <c r="IUW170" s="124"/>
      <c r="IUY170" s="111"/>
      <c r="IVA170" s="200"/>
      <c r="IVB170" s="201"/>
      <c r="IVC170" s="201"/>
      <c r="IVD170" s="200"/>
      <c r="IVE170" s="202"/>
      <c r="IVF170" s="203"/>
      <c r="IVG170" s="124"/>
      <c r="IVI170" s="126"/>
      <c r="IVJ170" s="124"/>
      <c r="IVL170" s="111"/>
      <c r="IVN170" s="200"/>
      <c r="IVO170" s="201"/>
      <c r="IVP170" s="201"/>
      <c r="IVQ170" s="200"/>
      <c r="IVR170" s="202"/>
      <c r="IVS170" s="203"/>
      <c r="IVT170" s="124"/>
      <c r="IVV170" s="126"/>
      <c r="IVW170" s="124"/>
      <c r="IVY170" s="111"/>
      <c r="IWA170" s="200"/>
      <c r="IWB170" s="201"/>
      <c r="IWC170" s="201"/>
      <c r="IWD170" s="200"/>
      <c r="IWE170" s="202"/>
      <c r="IWF170" s="203"/>
      <c r="IWG170" s="124"/>
      <c r="IWI170" s="126"/>
      <c r="IWJ170" s="124"/>
      <c r="IWL170" s="111"/>
      <c r="IWN170" s="200"/>
      <c r="IWO170" s="201"/>
      <c r="IWP170" s="201"/>
      <c r="IWQ170" s="200"/>
      <c r="IWR170" s="202"/>
      <c r="IWS170" s="203"/>
      <c r="IWT170" s="124"/>
      <c r="IWV170" s="126"/>
      <c r="IWW170" s="124"/>
      <c r="IWY170" s="111"/>
      <c r="IXA170" s="200"/>
      <c r="IXB170" s="201"/>
      <c r="IXC170" s="201"/>
      <c r="IXD170" s="200"/>
      <c r="IXE170" s="202"/>
      <c r="IXF170" s="203"/>
      <c r="IXG170" s="124"/>
      <c r="IXI170" s="126"/>
      <c r="IXJ170" s="124"/>
      <c r="IXL170" s="111"/>
      <c r="IXN170" s="200"/>
      <c r="IXO170" s="201"/>
      <c r="IXP170" s="201"/>
      <c r="IXQ170" s="200"/>
      <c r="IXR170" s="202"/>
      <c r="IXS170" s="203"/>
      <c r="IXT170" s="124"/>
      <c r="IXV170" s="126"/>
      <c r="IXW170" s="124"/>
      <c r="IXY170" s="111"/>
      <c r="IYA170" s="200"/>
      <c r="IYB170" s="201"/>
      <c r="IYC170" s="201"/>
      <c r="IYD170" s="200"/>
      <c r="IYE170" s="202"/>
      <c r="IYF170" s="203"/>
      <c r="IYG170" s="124"/>
      <c r="IYI170" s="126"/>
      <c r="IYJ170" s="124"/>
      <c r="IYL170" s="111"/>
      <c r="IYN170" s="200"/>
      <c r="IYO170" s="201"/>
      <c r="IYP170" s="201"/>
      <c r="IYQ170" s="200"/>
      <c r="IYR170" s="202"/>
      <c r="IYS170" s="203"/>
      <c r="IYT170" s="124"/>
      <c r="IYV170" s="126"/>
      <c r="IYW170" s="124"/>
      <c r="IYY170" s="111"/>
      <c r="IZA170" s="200"/>
      <c r="IZB170" s="201"/>
      <c r="IZC170" s="201"/>
      <c r="IZD170" s="200"/>
      <c r="IZE170" s="202"/>
      <c r="IZF170" s="203"/>
      <c r="IZG170" s="124"/>
      <c r="IZI170" s="126"/>
      <c r="IZJ170" s="124"/>
      <c r="IZL170" s="111"/>
      <c r="IZN170" s="200"/>
      <c r="IZO170" s="201"/>
      <c r="IZP170" s="201"/>
      <c r="IZQ170" s="200"/>
      <c r="IZR170" s="202"/>
      <c r="IZS170" s="203"/>
      <c r="IZT170" s="124"/>
      <c r="IZV170" s="126"/>
      <c r="IZW170" s="124"/>
      <c r="IZY170" s="111"/>
      <c r="JAA170" s="200"/>
      <c r="JAB170" s="201"/>
      <c r="JAC170" s="201"/>
      <c r="JAD170" s="200"/>
      <c r="JAE170" s="202"/>
      <c r="JAF170" s="203"/>
      <c r="JAG170" s="124"/>
      <c r="JAI170" s="126"/>
      <c r="JAJ170" s="124"/>
      <c r="JAL170" s="111"/>
      <c r="JAN170" s="200"/>
      <c r="JAO170" s="201"/>
      <c r="JAP170" s="201"/>
      <c r="JAQ170" s="200"/>
      <c r="JAR170" s="202"/>
      <c r="JAS170" s="203"/>
      <c r="JAT170" s="124"/>
      <c r="JAV170" s="126"/>
      <c r="JAW170" s="124"/>
      <c r="JAY170" s="111"/>
      <c r="JBA170" s="200"/>
      <c r="JBB170" s="201"/>
      <c r="JBC170" s="201"/>
      <c r="JBD170" s="200"/>
      <c r="JBE170" s="202"/>
      <c r="JBF170" s="203"/>
      <c r="JBG170" s="124"/>
      <c r="JBI170" s="126"/>
      <c r="JBJ170" s="124"/>
      <c r="JBL170" s="111"/>
      <c r="JBN170" s="200"/>
      <c r="JBO170" s="201"/>
      <c r="JBP170" s="201"/>
      <c r="JBQ170" s="200"/>
      <c r="JBR170" s="202"/>
      <c r="JBS170" s="203"/>
      <c r="JBT170" s="124"/>
      <c r="JBV170" s="126"/>
      <c r="JBW170" s="124"/>
      <c r="JBY170" s="111"/>
      <c r="JCA170" s="200"/>
      <c r="JCB170" s="201"/>
      <c r="JCC170" s="201"/>
      <c r="JCD170" s="200"/>
      <c r="JCE170" s="202"/>
      <c r="JCF170" s="203"/>
      <c r="JCG170" s="124"/>
      <c r="JCI170" s="126"/>
      <c r="JCJ170" s="124"/>
      <c r="JCL170" s="111"/>
      <c r="JCN170" s="200"/>
      <c r="JCO170" s="201"/>
      <c r="JCP170" s="201"/>
      <c r="JCQ170" s="200"/>
      <c r="JCR170" s="202"/>
      <c r="JCS170" s="203"/>
      <c r="JCT170" s="124"/>
      <c r="JCV170" s="126"/>
      <c r="JCW170" s="124"/>
      <c r="JCY170" s="111"/>
      <c r="JDA170" s="200"/>
      <c r="JDB170" s="201"/>
      <c r="JDC170" s="201"/>
      <c r="JDD170" s="200"/>
      <c r="JDE170" s="202"/>
      <c r="JDF170" s="203"/>
      <c r="JDG170" s="124"/>
      <c r="JDI170" s="126"/>
      <c r="JDJ170" s="124"/>
      <c r="JDL170" s="111"/>
      <c r="JDN170" s="200"/>
      <c r="JDO170" s="201"/>
      <c r="JDP170" s="201"/>
      <c r="JDQ170" s="200"/>
      <c r="JDR170" s="202"/>
      <c r="JDS170" s="203"/>
      <c r="JDT170" s="124"/>
      <c r="JDV170" s="126"/>
      <c r="JDW170" s="124"/>
      <c r="JDY170" s="111"/>
      <c r="JEA170" s="200"/>
      <c r="JEB170" s="201"/>
      <c r="JEC170" s="201"/>
      <c r="JED170" s="200"/>
      <c r="JEE170" s="202"/>
      <c r="JEF170" s="203"/>
      <c r="JEG170" s="124"/>
      <c r="JEI170" s="126"/>
      <c r="JEJ170" s="124"/>
      <c r="JEL170" s="111"/>
      <c r="JEN170" s="200"/>
      <c r="JEO170" s="201"/>
      <c r="JEP170" s="201"/>
      <c r="JEQ170" s="200"/>
      <c r="JER170" s="202"/>
      <c r="JES170" s="203"/>
      <c r="JET170" s="124"/>
      <c r="JEV170" s="126"/>
      <c r="JEW170" s="124"/>
      <c r="JEY170" s="111"/>
      <c r="JFA170" s="200"/>
      <c r="JFB170" s="201"/>
      <c r="JFC170" s="201"/>
      <c r="JFD170" s="200"/>
      <c r="JFE170" s="202"/>
      <c r="JFF170" s="203"/>
      <c r="JFG170" s="124"/>
      <c r="JFI170" s="126"/>
      <c r="JFJ170" s="124"/>
      <c r="JFL170" s="111"/>
      <c r="JFN170" s="200"/>
      <c r="JFO170" s="201"/>
      <c r="JFP170" s="201"/>
      <c r="JFQ170" s="200"/>
      <c r="JFR170" s="202"/>
      <c r="JFS170" s="203"/>
      <c r="JFT170" s="124"/>
      <c r="JFV170" s="126"/>
      <c r="JFW170" s="124"/>
      <c r="JFY170" s="111"/>
      <c r="JGA170" s="200"/>
      <c r="JGB170" s="201"/>
      <c r="JGC170" s="201"/>
      <c r="JGD170" s="200"/>
      <c r="JGE170" s="202"/>
      <c r="JGF170" s="203"/>
      <c r="JGG170" s="124"/>
      <c r="JGI170" s="126"/>
      <c r="JGJ170" s="124"/>
      <c r="JGL170" s="111"/>
      <c r="JGN170" s="200"/>
      <c r="JGO170" s="201"/>
      <c r="JGP170" s="201"/>
      <c r="JGQ170" s="200"/>
      <c r="JGR170" s="202"/>
      <c r="JGS170" s="203"/>
      <c r="JGT170" s="124"/>
      <c r="JGV170" s="126"/>
      <c r="JGW170" s="124"/>
      <c r="JGY170" s="111"/>
      <c r="JHA170" s="200"/>
      <c r="JHB170" s="201"/>
      <c r="JHC170" s="201"/>
      <c r="JHD170" s="200"/>
      <c r="JHE170" s="202"/>
      <c r="JHF170" s="203"/>
      <c r="JHG170" s="124"/>
      <c r="JHI170" s="126"/>
      <c r="JHJ170" s="124"/>
      <c r="JHL170" s="111"/>
      <c r="JHN170" s="200"/>
      <c r="JHO170" s="201"/>
      <c r="JHP170" s="201"/>
      <c r="JHQ170" s="200"/>
      <c r="JHR170" s="202"/>
      <c r="JHS170" s="203"/>
      <c r="JHT170" s="124"/>
      <c r="JHV170" s="126"/>
      <c r="JHW170" s="124"/>
      <c r="JHY170" s="111"/>
      <c r="JIA170" s="200"/>
      <c r="JIB170" s="201"/>
      <c r="JIC170" s="201"/>
      <c r="JID170" s="200"/>
      <c r="JIE170" s="202"/>
      <c r="JIF170" s="203"/>
      <c r="JIG170" s="124"/>
      <c r="JII170" s="126"/>
      <c r="JIJ170" s="124"/>
      <c r="JIL170" s="111"/>
      <c r="JIN170" s="200"/>
      <c r="JIO170" s="201"/>
      <c r="JIP170" s="201"/>
      <c r="JIQ170" s="200"/>
      <c r="JIR170" s="202"/>
      <c r="JIS170" s="203"/>
      <c r="JIT170" s="124"/>
      <c r="JIV170" s="126"/>
      <c r="JIW170" s="124"/>
      <c r="JIY170" s="111"/>
      <c r="JJA170" s="200"/>
      <c r="JJB170" s="201"/>
      <c r="JJC170" s="201"/>
      <c r="JJD170" s="200"/>
      <c r="JJE170" s="202"/>
      <c r="JJF170" s="203"/>
      <c r="JJG170" s="124"/>
      <c r="JJI170" s="126"/>
      <c r="JJJ170" s="124"/>
      <c r="JJL170" s="111"/>
      <c r="JJN170" s="200"/>
      <c r="JJO170" s="201"/>
      <c r="JJP170" s="201"/>
      <c r="JJQ170" s="200"/>
      <c r="JJR170" s="202"/>
      <c r="JJS170" s="203"/>
      <c r="JJT170" s="124"/>
      <c r="JJV170" s="126"/>
      <c r="JJW170" s="124"/>
      <c r="JJY170" s="111"/>
      <c r="JKA170" s="200"/>
      <c r="JKB170" s="201"/>
      <c r="JKC170" s="201"/>
      <c r="JKD170" s="200"/>
      <c r="JKE170" s="202"/>
      <c r="JKF170" s="203"/>
      <c r="JKG170" s="124"/>
      <c r="JKI170" s="126"/>
      <c r="JKJ170" s="124"/>
      <c r="JKL170" s="111"/>
      <c r="JKN170" s="200"/>
      <c r="JKO170" s="201"/>
      <c r="JKP170" s="201"/>
      <c r="JKQ170" s="200"/>
      <c r="JKR170" s="202"/>
      <c r="JKS170" s="203"/>
      <c r="JKT170" s="124"/>
      <c r="JKV170" s="126"/>
      <c r="JKW170" s="124"/>
      <c r="JKY170" s="111"/>
      <c r="JLA170" s="200"/>
      <c r="JLB170" s="201"/>
      <c r="JLC170" s="201"/>
      <c r="JLD170" s="200"/>
      <c r="JLE170" s="202"/>
      <c r="JLF170" s="203"/>
      <c r="JLG170" s="124"/>
      <c r="JLI170" s="126"/>
      <c r="JLJ170" s="124"/>
      <c r="JLL170" s="111"/>
      <c r="JLN170" s="200"/>
      <c r="JLO170" s="201"/>
      <c r="JLP170" s="201"/>
      <c r="JLQ170" s="200"/>
      <c r="JLR170" s="202"/>
      <c r="JLS170" s="203"/>
      <c r="JLT170" s="124"/>
      <c r="JLV170" s="126"/>
      <c r="JLW170" s="124"/>
      <c r="JLY170" s="111"/>
      <c r="JMA170" s="200"/>
      <c r="JMB170" s="201"/>
      <c r="JMC170" s="201"/>
      <c r="JMD170" s="200"/>
      <c r="JME170" s="202"/>
      <c r="JMF170" s="203"/>
      <c r="JMG170" s="124"/>
      <c r="JMI170" s="126"/>
      <c r="JMJ170" s="124"/>
      <c r="JML170" s="111"/>
      <c r="JMN170" s="200"/>
      <c r="JMO170" s="201"/>
      <c r="JMP170" s="201"/>
      <c r="JMQ170" s="200"/>
      <c r="JMR170" s="202"/>
      <c r="JMS170" s="203"/>
      <c r="JMT170" s="124"/>
      <c r="JMV170" s="126"/>
      <c r="JMW170" s="124"/>
      <c r="JMY170" s="111"/>
      <c r="JNA170" s="200"/>
      <c r="JNB170" s="201"/>
      <c r="JNC170" s="201"/>
      <c r="JND170" s="200"/>
      <c r="JNE170" s="202"/>
      <c r="JNF170" s="203"/>
      <c r="JNG170" s="124"/>
      <c r="JNI170" s="126"/>
      <c r="JNJ170" s="124"/>
      <c r="JNL170" s="111"/>
      <c r="JNN170" s="200"/>
      <c r="JNO170" s="201"/>
      <c r="JNP170" s="201"/>
      <c r="JNQ170" s="200"/>
      <c r="JNR170" s="202"/>
      <c r="JNS170" s="203"/>
      <c r="JNT170" s="124"/>
      <c r="JNV170" s="126"/>
      <c r="JNW170" s="124"/>
      <c r="JNY170" s="111"/>
      <c r="JOA170" s="200"/>
      <c r="JOB170" s="201"/>
      <c r="JOC170" s="201"/>
      <c r="JOD170" s="200"/>
      <c r="JOE170" s="202"/>
      <c r="JOF170" s="203"/>
      <c r="JOG170" s="124"/>
      <c r="JOI170" s="126"/>
      <c r="JOJ170" s="124"/>
      <c r="JOL170" s="111"/>
      <c r="JON170" s="200"/>
      <c r="JOO170" s="201"/>
      <c r="JOP170" s="201"/>
      <c r="JOQ170" s="200"/>
      <c r="JOR170" s="202"/>
      <c r="JOS170" s="203"/>
      <c r="JOT170" s="124"/>
      <c r="JOV170" s="126"/>
      <c r="JOW170" s="124"/>
      <c r="JOY170" s="111"/>
      <c r="JPA170" s="200"/>
      <c r="JPB170" s="201"/>
      <c r="JPC170" s="201"/>
      <c r="JPD170" s="200"/>
      <c r="JPE170" s="202"/>
      <c r="JPF170" s="203"/>
      <c r="JPG170" s="124"/>
      <c r="JPI170" s="126"/>
      <c r="JPJ170" s="124"/>
      <c r="JPL170" s="111"/>
      <c r="JPN170" s="200"/>
      <c r="JPO170" s="201"/>
      <c r="JPP170" s="201"/>
      <c r="JPQ170" s="200"/>
      <c r="JPR170" s="202"/>
      <c r="JPS170" s="203"/>
      <c r="JPT170" s="124"/>
      <c r="JPV170" s="126"/>
      <c r="JPW170" s="124"/>
      <c r="JPY170" s="111"/>
      <c r="JQA170" s="200"/>
      <c r="JQB170" s="201"/>
      <c r="JQC170" s="201"/>
      <c r="JQD170" s="200"/>
      <c r="JQE170" s="202"/>
      <c r="JQF170" s="203"/>
      <c r="JQG170" s="124"/>
      <c r="JQI170" s="126"/>
      <c r="JQJ170" s="124"/>
      <c r="JQL170" s="111"/>
      <c r="JQN170" s="200"/>
      <c r="JQO170" s="201"/>
      <c r="JQP170" s="201"/>
      <c r="JQQ170" s="200"/>
      <c r="JQR170" s="202"/>
      <c r="JQS170" s="203"/>
      <c r="JQT170" s="124"/>
      <c r="JQV170" s="126"/>
      <c r="JQW170" s="124"/>
      <c r="JQY170" s="111"/>
      <c r="JRA170" s="200"/>
      <c r="JRB170" s="201"/>
      <c r="JRC170" s="201"/>
      <c r="JRD170" s="200"/>
      <c r="JRE170" s="202"/>
      <c r="JRF170" s="203"/>
      <c r="JRG170" s="124"/>
      <c r="JRI170" s="126"/>
      <c r="JRJ170" s="124"/>
      <c r="JRL170" s="111"/>
      <c r="JRN170" s="200"/>
      <c r="JRO170" s="201"/>
      <c r="JRP170" s="201"/>
      <c r="JRQ170" s="200"/>
      <c r="JRR170" s="202"/>
      <c r="JRS170" s="203"/>
      <c r="JRT170" s="124"/>
      <c r="JRV170" s="126"/>
      <c r="JRW170" s="124"/>
      <c r="JRY170" s="111"/>
      <c r="JSA170" s="200"/>
      <c r="JSB170" s="201"/>
      <c r="JSC170" s="201"/>
      <c r="JSD170" s="200"/>
      <c r="JSE170" s="202"/>
      <c r="JSF170" s="203"/>
      <c r="JSG170" s="124"/>
      <c r="JSI170" s="126"/>
      <c r="JSJ170" s="124"/>
      <c r="JSL170" s="111"/>
      <c r="JSN170" s="200"/>
      <c r="JSO170" s="201"/>
      <c r="JSP170" s="201"/>
      <c r="JSQ170" s="200"/>
      <c r="JSR170" s="202"/>
      <c r="JSS170" s="203"/>
      <c r="JST170" s="124"/>
      <c r="JSV170" s="126"/>
      <c r="JSW170" s="124"/>
      <c r="JSY170" s="111"/>
      <c r="JTA170" s="200"/>
      <c r="JTB170" s="201"/>
      <c r="JTC170" s="201"/>
      <c r="JTD170" s="200"/>
      <c r="JTE170" s="202"/>
      <c r="JTF170" s="203"/>
      <c r="JTG170" s="124"/>
      <c r="JTI170" s="126"/>
      <c r="JTJ170" s="124"/>
      <c r="JTL170" s="111"/>
      <c r="JTN170" s="200"/>
      <c r="JTO170" s="201"/>
      <c r="JTP170" s="201"/>
      <c r="JTQ170" s="200"/>
      <c r="JTR170" s="202"/>
      <c r="JTS170" s="203"/>
      <c r="JTT170" s="124"/>
      <c r="JTV170" s="126"/>
      <c r="JTW170" s="124"/>
      <c r="JTY170" s="111"/>
      <c r="JUA170" s="200"/>
      <c r="JUB170" s="201"/>
      <c r="JUC170" s="201"/>
      <c r="JUD170" s="200"/>
      <c r="JUE170" s="202"/>
      <c r="JUF170" s="203"/>
      <c r="JUG170" s="124"/>
      <c r="JUI170" s="126"/>
      <c r="JUJ170" s="124"/>
      <c r="JUL170" s="111"/>
      <c r="JUN170" s="200"/>
      <c r="JUO170" s="201"/>
      <c r="JUP170" s="201"/>
      <c r="JUQ170" s="200"/>
      <c r="JUR170" s="202"/>
      <c r="JUS170" s="203"/>
      <c r="JUT170" s="124"/>
      <c r="JUV170" s="126"/>
      <c r="JUW170" s="124"/>
      <c r="JUY170" s="111"/>
      <c r="JVA170" s="200"/>
      <c r="JVB170" s="201"/>
      <c r="JVC170" s="201"/>
      <c r="JVD170" s="200"/>
      <c r="JVE170" s="202"/>
      <c r="JVF170" s="203"/>
      <c r="JVG170" s="124"/>
      <c r="JVI170" s="126"/>
      <c r="JVJ170" s="124"/>
      <c r="JVL170" s="111"/>
      <c r="JVN170" s="200"/>
      <c r="JVO170" s="201"/>
      <c r="JVP170" s="201"/>
      <c r="JVQ170" s="200"/>
      <c r="JVR170" s="202"/>
      <c r="JVS170" s="203"/>
      <c r="JVT170" s="124"/>
      <c r="JVV170" s="126"/>
      <c r="JVW170" s="124"/>
      <c r="JVY170" s="111"/>
      <c r="JWA170" s="200"/>
      <c r="JWB170" s="201"/>
      <c r="JWC170" s="201"/>
      <c r="JWD170" s="200"/>
      <c r="JWE170" s="202"/>
      <c r="JWF170" s="203"/>
      <c r="JWG170" s="124"/>
      <c r="JWI170" s="126"/>
      <c r="JWJ170" s="124"/>
      <c r="JWL170" s="111"/>
      <c r="JWN170" s="200"/>
      <c r="JWO170" s="201"/>
      <c r="JWP170" s="201"/>
      <c r="JWQ170" s="200"/>
      <c r="JWR170" s="202"/>
      <c r="JWS170" s="203"/>
      <c r="JWT170" s="124"/>
      <c r="JWV170" s="126"/>
      <c r="JWW170" s="124"/>
      <c r="JWY170" s="111"/>
      <c r="JXA170" s="200"/>
      <c r="JXB170" s="201"/>
      <c r="JXC170" s="201"/>
      <c r="JXD170" s="200"/>
      <c r="JXE170" s="202"/>
      <c r="JXF170" s="203"/>
      <c r="JXG170" s="124"/>
      <c r="JXI170" s="126"/>
      <c r="JXJ170" s="124"/>
      <c r="JXL170" s="111"/>
      <c r="JXN170" s="200"/>
      <c r="JXO170" s="201"/>
      <c r="JXP170" s="201"/>
      <c r="JXQ170" s="200"/>
      <c r="JXR170" s="202"/>
      <c r="JXS170" s="203"/>
      <c r="JXT170" s="124"/>
      <c r="JXV170" s="126"/>
      <c r="JXW170" s="124"/>
      <c r="JXY170" s="111"/>
      <c r="JYA170" s="200"/>
      <c r="JYB170" s="201"/>
      <c r="JYC170" s="201"/>
      <c r="JYD170" s="200"/>
      <c r="JYE170" s="202"/>
      <c r="JYF170" s="203"/>
      <c r="JYG170" s="124"/>
      <c r="JYI170" s="126"/>
      <c r="JYJ170" s="124"/>
      <c r="JYL170" s="111"/>
      <c r="JYN170" s="200"/>
      <c r="JYO170" s="201"/>
      <c r="JYP170" s="201"/>
      <c r="JYQ170" s="200"/>
      <c r="JYR170" s="202"/>
      <c r="JYS170" s="203"/>
      <c r="JYT170" s="124"/>
      <c r="JYV170" s="126"/>
      <c r="JYW170" s="124"/>
      <c r="JYY170" s="111"/>
      <c r="JZA170" s="200"/>
      <c r="JZB170" s="201"/>
      <c r="JZC170" s="201"/>
      <c r="JZD170" s="200"/>
      <c r="JZE170" s="202"/>
      <c r="JZF170" s="203"/>
      <c r="JZG170" s="124"/>
      <c r="JZI170" s="126"/>
      <c r="JZJ170" s="124"/>
      <c r="JZL170" s="111"/>
      <c r="JZN170" s="200"/>
      <c r="JZO170" s="201"/>
      <c r="JZP170" s="201"/>
      <c r="JZQ170" s="200"/>
      <c r="JZR170" s="202"/>
      <c r="JZS170" s="203"/>
      <c r="JZT170" s="124"/>
      <c r="JZV170" s="126"/>
      <c r="JZW170" s="124"/>
      <c r="JZY170" s="111"/>
      <c r="KAA170" s="200"/>
      <c r="KAB170" s="201"/>
      <c r="KAC170" s="201"/>
      <c r="KAD170" s="200"/>
      <c r="KAE170" s="202"/>
      <c r="KAF170" s="203"/>
      <c r="KAG170" s="124"/>
      <c r="KAI170" s="126"/>
      <c r="KAJ170" s="124"/>
      <c r="KAL170" s="111"/>
      <c r="KAN170" s="200"/>
      <c r="KAO170" s="201"/>
      <c r="KAP170" s="201"/>
      <c r="KAQ170" s="200"/>
      <c r="KAR170" s="202"/>
      <c r="KAS170" s="203"/>
      <c r="KAT170" s="124"/>
      <c r="KAV170" s="126"/>
      <c r="KAW170" s="124"/>
      <c r="KAY170" s="111"/>
      <c r="KBA170" s="200"/>
      <c r="KBB170" s="201"/>
      <c r="KBC170" s="201"/>
      <c r="KBD170" s="200"/>
      <c r="KBE170" s="202"/>
      <c r="KBF170" s="203"/>
      <c r="KBG170" s="124"/>
      <c r="KBI170" s="126"/>
      <c r="KBJ170" s="124"/>
      <c r="KBL170" s="111"/>
      <c r="KBN170" s="200"/>
      <c r="KBO170" s="201"/>
      <c r="KBP170" s="201"/>
      <c r="KBQ170" s="200"/>
      <c r="KBR170" s="202"/>
      <c r="KBS170" s="203"/>
      <c r="KBT170" s="124"/>
      <c r="KBV170" s="126"/>
      <c r="KBW170" s="124"/>
      <c r="KBY170" s="111"/>
      <c r="KCA170" s="200"/>
      <c r="KCB170" s="201"/>
      <c r="KCC170" s="201"/>
      <c r="KCD170" s="200"/>
      <c r="KCE170" s="202"/>
      <c r="KCF170" s="203"/>
      <c r="KCG170" s="124"/>
      <c r="KCI170" s="126"/>
      <c r="KCJ170" s="124"/>
      <c r="KCL170" s="111"/>
      <c r="KCN170" s="200"/>
      <c r="KCO170" s="201"/>
      <c r="KCP170" s="201"/>
      <c r="KCQ170" s="200"/>
      <c r="KCR170" s="202"/>
      <c r="KCS170" s="203"/>
      <c r="KCT170" s="124"/>
      <c r="KCV170" s="126"/>
      <c r="KCW170" s="124"/>
      <c r="KCY170" s="111"/>
      <c r="KDA170" s="200"/>
      <c r="KDB170" s="201"/>
      <c r="KDC170" s="201"/>
      <c r="KDD170" s="200"/>
      <c r="KDE170" s="202"/>
      <c r="KDF170" s="203"/>
      <c r="KDG170" s="124"/>
      <c r="KDI170" s="126"/>
      <c r="KDJ170" s="124"/>
      <c r="KDL170" s="111"/>
      <c r="KDN170" s="200"/>
      <c r="KDO170" s="201"/>
      <c r="KDP170" s="201"/>
      <c r="KDQ170" s="200"/>
      <c r="KDR170" s="202"/>
      <c r="KDS170" s="203"/>
      <c r="KDT170" s="124"/>
      <c r="KDV170" s="126"/>
      <c r="KDW170" s="124"/>
      <c r="KDY170" s="111"/>
      <c r="KEA170" s="200"/>
      <c r="KEB170" s="201"/>
      <c r="KEC170" s="201"/>
      <c r="KED170" s="200"/>
      <c r="KEE170" s="202"/>
      <c r="KEF170" s="203"/>
      <c r="KEG170" s="124"/>
      <c r="KEI170" s="126"/>
      <c r="KEJ170" s="124"/>
      <c r="KEL170" s="111"/>
      <c r="KEN170" s="200"/>
      <c r="KEO170" s="201"/>
      <c r="KEP170" s="201"/>
      <c r="KEQ170" s="200"/>
      <c r="KER170" s="202"/>
      <c r="KES170" s="203"/>
      <c r="KET170" s="124"/>
      <c r="KEV170" s="126"/>
      <c r="KEW170" s="124"/>
      <c r="KEY170" s="111"/>
      <c r="KFA170" s="200"/>
      <c r="KFB170" s="201"/>
      <c r="KFC170" s="201"/>
      <c r="KFD170" s="200"/>
      <c r="KFE170" s="202"/>
      <c r="KFF170" s="203"/>
      <c r="KFG170" s="124"/>
      <c r="KFI170" s="126"/>
      <c r="KFJ170" s="124"/>
      <c r="KFL170" s="111"/>
      <c r="KFN170" s="200"/>
      <c r="KFO170" s="201"/>
      <c r="KFP170" s="201"/>
      <c r="KFQ170" s="200"/>
      <c r="KFR170" s="202"/>
      <c r="KFS170" s="203"/>
      <c r="KFT170" s="124"/>
      <c r="KFV170" s="126"/>
      <c r="KFW170" s="124"/>
      <c r="KFY170" s="111"/>
      <c r="KGA170" s="200"/>
      <c r="KGB170" s="201"/>
      <c r="KGC170" s="201"/>
      <c r="KGD170" s="200"/>
      <c r="KGE170" s="202"/>
      <c r="KGF170" s="203"/>
      <c r="KGG170" s="124"/>
      <c r="KGI170" s="126"/>
      <c r="KGJ170" s="124"/>
      <c r="KGL170" s="111"/>
      <c r="KGN170" s="200"/>
      <c r="KGO170" s="201"/>
      <c r="KGP170" s="201"/>
      <c r="KGQ170" s="200"/>
      <c r="KGR170" s="202"/>
      <c r="KGS170" s="203"/>
      <c r="KGT170" s="124"/>
      <c r="KGV170" s="126"/>
      <c r="KGW170" s="124"/>
      <c r="KGY170" s="111"/>
      <c r="KHA170" s="200"/>
      <c r="KHB170" s="201"/>
      <c r="KHC170" s="201"/>
      <c r="KHD170" s="200"/>
      <c r="KHE170" s="202"/>
      <c r="KHF170" s="203"/>
      <c r="KHG170" s="124"/>
      <c r="KHI170" s="126"/>
      <c r="KHJ170" s="124"/>
      <c r="KHL170" s="111"/>
      <c r="KHN170" s="200"/>
      <c r="KHO170" s="201"/>
      <c r="KHP170" s="201"/>
      <c r="KHQ170" s="200"/>
      <c r="KHR170" s="202"/>
      <c r="KHS170" s="203"/>
      <c r="KHT170" s="124"/>
      <c r="KHV170" s="126"/>
      <c r="KHW170" s="124"/>
      <c r="KHY170" s="111"/>
      <c r="KIA170" s="200"/>
      <c r="KIB170" s="201"/>
      <c r="KIC170" s="201"/>
      <c r="KID170" s="200"/>
      <c r="KIE170" s="202"/>
      <c r="KIF170" s="203"/>
      <c r="KIG170" s="124"/>
      <c r="KII170" s="126"/>
      <c r="KIJ170" s="124"/>
      <c r="KIL170" s="111"/>
      <c r="KIN170" s="200"/>
      <c r="KIO170" s="201"/>
      <c r="KIP170" s="201"/>
      <c r="KIQ170" s="200"/>
      <c r="KIR170" s="202"/>
      <c r="KIS170" s="203"/>
      <c r="KIT170" s="124"/>
      <c r="KIV170" s="126"/>
      <c r="KIW170" s="124"/>
      <c r="KIY170" s="111"/>
      <c r="KJA170" s="200"/>
      <c r="KJB170" s="201"/>
      <c r="KJC170" s="201"/>
      <c r="KJD170" s="200"/>
      <c r="KJE170" s="202"/>
      <c r="KJF170" s="203"/>
      <c r="KJG170" s="124"/>
      <c r="KJI170" s="126"/>
      <c r="KJJ170" s="124"/>
      <c r="KJL170" s="111"/>
      <c r="KJN170" s="200"/>
      <c r="KJO170" s="201"/>
      <c r="KJP170" s="201"/>
      <c r="KJQ170" s="200"/>
      <c r="KJR170" s="202"/>
      <c r="KJS170" s="203"/>
      <c r="KJT170" s="124"/>
      <c r="KJV170" s="126"/>
      <c r="KJW170" s="124"/>
      <c r="KJY170" s="111"/>
      <c r="KKA170" s="200"/>
      <c r="KKB170" s="201"/>
      <c r="KKC170" s="201"/>
      <c r="KKD170" s="200"/>
      <c r="KKE170" s="202"/>
      <c r="KKF170" s="203"/>
      <c r="KKG170" s="124"/>
      <c r="KKI170" s="126"/>
      <c r="KKJ170" s="124"/>
      <c r="KKL170" s="111"/>
      <c r="KKN170" s="200"/>
      <c r="KKO170" s="201"/>
      <c r="KKP170" s="201"/>
      <c r="KKQ170" s="200"/>
      <c r="KKR170" s="202"/>
      <c r="KKS170" s="203"/>
      <c r="KKT170" s="124"/>
      <c r="KKV170" s="126"/>
      <c r="KKW170" s="124"/>
      <c r="KKY170" s="111"/>
      <c r="KLA170" s="200"/>
      <c r="KLB170" s="201"/>
      <c r="KLC170" s="201"/>
      <c r="KLD170" s="200"/>
      <c r="KLE170" s="202"/>
      <c r="KLF170" s="203"/>
      <c r="KLG170" s="124"/>
      <c r="KLI170" s="126"/>
      <c r="KLJ170" s="124"/>
      <c r="KLL170" s="111"/>
      <c r="KLN170" s="200"/>
      <c r="KLO170" s="201"/>
      <c r="KLP170" s="201"/>
      <c r="KLQ170" s="200"/>
      <c r="KLR170" s="202"/>
      <c r="KLS170" s="203"/>
      <c r="KLT170" s="124"/>
      <c r="KLV170" s="126"/>
      <c r="KLW170" s="124"/>
      <c r="KLY170" s="111"/>
      <c r="KMA170" s="200"/>
      <c r="KMB170" s="201"/>
      <c r="KMC170" s="201"/>
      <c r="KMD170" s="200"/>
      <c r="KME170" s="202"/>
      <c r="KMF170" s="203"/>
      <c r="KMG170" s="124"/>
      <c r="KMI170" s="126"/>
      <c r="KMJ170" s="124"/>
      <c r="KML170" s="111"/>
      <c r="KMN170" s="200"/>
      <c r="KMO170" s="201"/>
      <c r="KMP170" s="201"/>
      <c r="KMQ170" s="200"/>
      <c r="KMR170" s="202"/>
      <c r="KMS170" s="203"/>
      <c r="KMT170" s="124"/>
      <c r="KMV170" s="126"/>
      <c r="KMW170" s="124"/>
      <c r="KMY170" s="111"/>
      <c r="KNA170" s="200"/>
      <c r="KNB170" s="201"/>
      <c r="KNC170" s="201"/>
      <c r="KND170" s="200"/>
      <c r="KNE170" s="202"/>
      <c r="KNF170" s="203"/>
      <c r="KNG170" s="124"/>
      <c r="KNI170" s="126"/>
      <c r="KNJ170" s="124"/>
      <c r="KNL170" s="111"/>
      <c r="KNN170" s="200"/>
      <c r="KNO170" s="201"/>
      <c r="KNP170" s="201"/>
      <c r="KNQ170" s="200"/>
      <c r="KNR170" s="202"/>
      <c r="KNS170" s="203"/>
      <c r="KNT170" s="124"/>
      <c r="KNV170" s="126"/>
      <c r="KNW170" s="124"/>
      <c r="KNY170" s="111"/>
      <c r="KOA170" s="200"/>
      <c r="KOB170" s="201"/>
      <c r="KOC170" s="201"/>
      <c r="KOD170" s="200"/>
      <c r="KOE170" s="202"/>
      <c r="KOF170" s="203"/>
      <c r="KOG170" s="124"/>
      <c r="KOI170" s="126"/>
      <c r="KOJ170" s="124"/>
      <c r="KOL170" s="111"/>
      <c r="KON170" s="200"/>
      <c r="KOO170" s="201"/>
      <c r="KOP170" s="201"/>
      <c r="KOQ170" s="200"/>
      <c r="KOR170" s="202"/>
      <c r="KOS170" s="203"/>
      <c r="KOT170" s="124"/>
      <c r="KOV170" s="126"/>
      <c r="KOW170" s="124"/>
      <c r="KOY170" s="111"/>
      <c r="KPA170" s="200"/>
      <c r="KPB170" s="201"/>
      <c r="KPC170" s="201"/>
      <c r="KPD170" s="200"/>
      <c r="KPE170" s="202"/>
      <c r="KPF170" s="203"/>
      <c r="KPG170" s="124"/>
      <c r="KPI170" s="126"/>
      <c r="KPJ170" s="124"/>
      <c r="KPL170" s="111"/>
      <c r="KPN170" s="200"/>
      <c r="KPO170" s="201"/>
      <c r="KPP170" s="201"/>
      <c r="KPQ170" s="200"/>
      <c r="KPR170" s="202"/>
      <c r="KPS170" s="203"/>
      <c r="KPT170" s="124"/>
      <c r="KPV170" s="126"/>
      <c r="KPW170" s="124"/>
      <c r="KPY170" s="111"/>
      <c r="KQA170" s="200"/>
      <c r="KQB170" s="201"/>
      <c r="KQC170" s="201"/>
      <c r="KQD170" s="200"/>
      <c r="KQE170" s="202"/>
      <c r="KQF170" s="203"/>
      <c r="KQG170" s="124"/>
      <c r="KQI170" s="126"/>
      <c r="KQJ170" s="124"/>
      <c r="KQL170" s="111"/>
      <c r="KQN170" s="200"/>
      <c r="KQO170" s="201"/>
      <c r="KQP170" s="201"/>
      <c r="KQQ170" s="200"/>
      <c r="KQR170" s="202"/>
      <c r="KQS170" s="203"/>
      <c r="KQT170" s="124"/>
      <c r="KQV170" s="126"/>
      <c r="KQW170" s="124"/>
      <c r="KQY170" s="111"/>
      <c r="KRA170" s="200"/>
      <c r="KRB170" s="201"/>
      <c r="KRC170" s="201"/>
      <c r="KRD170" s="200"/>
      <c r="KRE170" s="202"/>
      <c r="KRF170" s="203"/>
      <c r="KRG170" s="124"/>
      <c r="KRI170" s="126"/>
      <c r="KRJ170" s="124"/>
      <c r="KRL170" s="111"/>
      <c r="KRN170" s="200"/>
      <c r="KRO170" s="201"/>
      <c r="KRP170" s="201"/>
      <c r="KRQ170" s="200"/>
      <c r="KRR170" s="202"/>
      <c r="KRS170" s="203"/>
      <c r="KRT170" s="124"/>
      <c r="KRV170" s="126"/>
      <c r="KRW170" s="124"/>
      <c r="KRY170" s="111"/>
      <c r="KSA170" s="200"/>
      <c r="KSB170" s="201"/>
      <c r="KSC170" s="201"/>
      <c r="KSD170" s="200"/>
      <c r="KSE170" s="202"/>
      <c r="KSF170" s="203"/>
      <c r="KSG170" s="124"/>
      <c r="KSI170" s="126"/>
      <c r="KSJ170" s="124"/>
      <c r="KSL170" s="111"/>
      <c r="KSN170" s="200"/>
      <c r="KSO170" s="201"/>
      <c r="KSP170" s="201"/>
      <c r="KSQ170" s="200"/>
      <c r="KSR170" s="202"/>
      <c r="KSS170" s="203"/>
      <c r="KST170" s="124"/>
      <c r="KSV170" s="126"/>
      <c r="KSW170" s="124"/>
      <c r="KSY170" s="111"/>
      <c r="KTA170" s="200"/>
      <c r="KTB170" s="201"/>
      <c r="KTC170" s="201"/>
      <c r="KTD170" s="200"/>
      <c r="KTE170" s="202"/>
      <c r="KTF170" s="203"/>
      <c r="KTG170" s="124"/>
      <c r="KTI170" s="126"/>
      <c r="KTJ170" s="124"/>
      <c r="KTL170" s="111"/>
      <c r="KTN170" s="200"/>
      <c r="KTO170" s="201"/>
      <c r="KTP170" s="201"/>
      <c r="KTQ170" s="200"/>
      <c r="KTR170" s="202"/>
      <c r="KTS170" s="203"/>
      <c r="KTT170" s="124"/>
      <c r="KTV170" s="126"/>
      <c r="KTW170" s="124"/>
      <c r="KTY170" s="111"/>
      <c r="KUA170" s="200"/>
      <c r="KUB170" s="201"/>
      <c r="KUC170" s="201"/>
      <c r="KUD170" s="200"/>
      <c r="KUE170" s="202"/>
      <c r="KUF170" s="203"/>
      <c r="KUG170" s="124"/>
      <c r="KUI170" s="126"/>
      <c r="KUJ170" s="124"/>
      <c r="KUL170" s="111"/>
      <c r="KUN170" s="200"/>
      <c r="KUO170" s="201"/>
      <c r="KUP170" s="201"/>
      <c r="KUQ170" s="200"/>
      <c r="KUR170" s="202"/>
      <c r="KUS170" s="203"/>
      <c r="KUT170" s="124"/>
      <c r="KUV170" s="126"/>
      <c r="KUW170" s="124"/>
      <c r="KUY170" s="111"/>
      <c r="KVA170" s="200"/>
      <c r="KVB170" s="201"/>
      <c r="KVC170" s="201"/>
      <c r="KVD170" s="200"/>
      <c r="KVE170" s="202"/>
      <c r="KVF170" s="203"/>
      <c r="KVG170" s="124"/>
      <c r="KVI170" s="126"/>
      <c r="KVJ170" s="124"/>
      <c r="KVL170" s="111"/>
      <c r="KVN170" s="200"/>
      <c r="KVO170" s="201"/>
      <c r="KVP170" s="201"/>
      <c r="KVQ170" s="200"/>
      <c r="KVR170" s="202"/>
      <c r="KVS170" s="203"/>
      <c r="KVT170" s="124"/>
      <c r="KVV170" s="126"/>
      <c r="KVW170" s="124"/>
      <c r="KVY170" s="111"/>
      <c r="KWA170" s="200"/>
      <c r="KWB170" s="201"/>
      <c r="KWC170" s="201"/>
      <c r="KWD170" s="200"/>
      <c r="KWE170" s="202"/>
      <c r="KWF170" s="203"/>
      <c r="KWG170" s="124"/>
      <c r="KWI170" s="126"/>
      <c r="KWJ170" s="124"/>
      <c r="KWL170" s="111"/>
      <c r="KWN170" s="200"/>
      <c r="KWO170" s="201"/>
      <c r="KWP170" s="201"/>
      <c r="KWQ170" s="200"/>
      <c r="KWR170" s="202"/>
      <c r="KWS170" s="203"/>
      <c r="KWT170" s="124"/>
      <c r="KWV170" s="126"/>
      <c r="KWW170" s="124"/>
      <c r="KWY170" s="111"/>
      <c r="KXA170" s="200"/>
      <c r="KXB170" s="201"/>
      <c r="KXC170" s="201"/>
      <c r="KXD170" s="200"/>
      <c r="KXE170" s="202"/>
      <c r="KXF170" s="203"/>
      <c r="KXG170" s="124"/>
      <c r="KXI170" s="126"/>
      <c r="KXJ170" s="124"/>
      <c r="KXL170" s="111"/>
      <c r="KXN170" s="200"/>
      <c r="KXO170" s="201"/>
      <c r="KXP170" s="201"/>
      <c r="KXQ170" s="200"/>
      <c r="KXR170" s="202"/>
      <c r="KXS170" s="203"/>
      <c r="KXT170" s="124"/>
      <c r="KXV170" s="126"/>
      <c r="KXW170" s="124"/>
      <c r="KXY170" s="111"/>
      <c r="KYA170" s="200"/>
      <c r="KYB170" s="201"/>
      <c r="KYC170" s="201"/>
      <c r="KYD170" s="200"/>
      <c r="KYE170" s="202"/>
      <c r="KYF170" s="203"/>
      <c r="KYG170" s="124"/>
      <c r="KYI170" s="126"/>
      <c r="KYJ170" s="124"/>
      <c r="KYL170" s="111"/>
      <c r="KYN170" s="200"/>
      <c r="KYO170" s="201"/>
      <c r="KYP170" s="201"/>
      <c r="KYQ170" s="200"/>
      <c r="KYR170" s="202"/>
      <c r="KYS170" s="203"/>
      <c r="KYT170" s="124"/>
      <c r="KYV170" s="126"/>
      <c r="KYW170" s="124"/>
      <c r="KYY170" s="111"/>
      <c r="KZA170" s="200"/>
      <c r="KZB170" s="201"/>
      <c r="KZC170" s="201"/>
      <c r="KZD170" s="200"/>
      <c r="KZE170" s="202"/>
      <c r="KZF170" s="203"/>
      <c r="KZG170" s="124"/>
      <c r="KZI170" s="126"/>
      <c r="KZJ170" s="124"/>
      <c r="KZL170" s="111"/>
      <c r="KZN170" s="200"/>
      <c r="KZO170" s="201"/>
      <c r="KZP170" s="201"/>
      <c r="KZQ170" s="200"/>
      <c r="KZR170" s="202"/>
      <c r="KZS170" s="203"/>
      <c r="KZT170" s="124"/>
      <c r="KZV170" s="126"/>
      <c r="KZW170" s="124"/>
      <c r="KZY170" s="111"/>
      <c r="LAA170" s="200"/>
      <c r="LAB170" s="201"/>
      <c r="LAC170" s="201"/>
      <c r="LAD170" s="200"/>
      <c r="LAE170" s="202"/>
      <c r="LAF170" s="203"/>
      <c r="LAG170" s="124"/>
      <c r="LAI170" s="126"/>
      <c r="LAJ170" s="124"/>
      <c r="LAL170" s="111"/>
      <c r="LAN170" s="200"/>
      <c r="LAO170" s="201"/>
      <c r="LAP170" s="201"/>
      <c r="LAQ170" s="200"/>
      <c r="LAR170" s="202"/>
      <c r="LAS170" s="203"/>
      <c r="LAT170" s="124"/>
      <c r="LAV170" s="126"/>
      <c r="LAW170" s="124"/>
      <c r="LAY170" s="111"/>
      <c r="LBA170" s="200"/>
      <c r="LBB170" s="201"/>
      <c r="LBC170" s="201"/>
      <c r="LBD170" s="200"/>
      <c r="LBE170" s="202"/>
      <c r="LBF170" s="203"/>
      <c r="LBG170" s="124"/>
      <c r="LBI170" s="126"/>
      <c r="LBJ170" s="124"/>
      <c r="LBL170" s="111"/>
      <c r="LBN170" s="200"/>
      <c r="LBO170" s="201"/>
      <c r="LBP170" s="201"/>
      <c r="LBQ170" s="200"/>
      <c r="LBR170" s="202"/>
      <c r="LBS170" s="203"/>
      <c r="LBT170" s="124"/>
      <c r="LBV170" s="126"/>
      <c r="LBW170" s="124"/>
      <c r="LBY170" s="111"/>
      <c r="LCA170" s="200"/>
      <c r="LCB170" s="201"/>
      <c r="LCC170" s="201"/>
      <c r="LCD170" s="200"/>
      <c r="LCE170" s="202"/>
      <c r="LCF170" s="203"/>
      <c r="LCG170" s="124"/>
      <c r="LCI170" s="126"/>
      <c r="LCJ170" s="124"/>
      <c r="LCL170" s="111"/>
      <c r="LCN170" s="200"/>
      <c r="LCO170" s="201"/>
      <c r="LCP170" s="201"/>
      <c r="LCQ170" s="200"/>
      <c r="LCR170" s="202"/>
      <c r="LCS170" s="203"/>
      <c r="LCT170" s="124"/>
      <c r="LCV170" s="126"/>
      <c r="LCW170" s="124"/>
      <c r="LCY170" s="111"/>
      <c r="LDA170" s="200"/>
      <c r="LDB170" s="201"/>
      <c r="LDC170" s="201"/>
      <c r="LDD170" s="200"/>
      <c r="LDE170" s="202"/>
      <c r="LDF170" s="203"/>
      <c r="LDG170" s="124"/>
      <c r="LDI170" s="126"/>
      <c r="LDJ170" s="124"/>
      <c r="LDL170" s="111"/>
      <c r="LDN170" s="200"/>
      <c r="LDO170" s="201"/>
      <c r="LDP170" s="201"/>
      <c r="LDQ170" s="200"/>
      <c r="LDR170" s="202"/>
      <c r="LDS170" s="203"/>
      <c r="LDT170" s="124"/>
      <c r="LDV170" s="126"/>
      <c r="LDW170" s="124"/>
      <c r="LDY170" s="111"/>
      <c r="LEA170" s="200"/>
      <c r="LEB170" s="201"/>
      <c r="LEC170" s="201"/>
      <c r="LED170" s="200"/>
      <c r="LEE170" s="202"/>
      <c r="LEF170" s="203"/>
      <c r="LEG170" s="124"/>
      <c r="LEI170" s="126"/>
      <c r="LEJ170" s="124"/>
      <c r="LEL170" s="111"/>
      <c r="LEN170" s="200"/>
      <c r="LEO170" s="201"/>
      <c r="LEP170" s="201"/>
      <c r="LEQ170" s="200"/>
      <c r="LER170" s="202"/>
      <c r="LES170" s="203"/>
      <c r="LET170" s="124"/>
      <c r="LEV170" s="126"/>
      <c r="LEW170" s="124"/>
      <c r="LEY170" s="111"/>
      <c r="LFA170" s="200"/>
      <c r="LFB170" s="201"/>
      <c r="LFC170" s="201"/>
      <c r="LFD170" s="200"/>
      <c r="LFE170" s="202"/>
      <c r="LFF170" s="203"/>
      <c r="LFG170" s="124"/>
      <c r="LFI170" s="126"/>
      <c r="LFJ170" s="124"/>
      <c r="LFL170" s="111"/>
      <c r="LFN170" s="200"/>
      <c r="LFO170" s="201"/>
      <c r="LFP170" s="201"/>
      <c r="LFQ170" s="200"/>
      <c r="LFR170" s="202"/>
      <c r="LFS170" s="203"/>
      <c r="LFT170" s="124"/>
      <c r="LFV170" s="126"/>
      <c r="LFW170" s="124"/>
      <c r="LFY170" s="111"/>
      <c r="LGA170" s="200"/>
      <c r="LGB170" s="201"/>
      <c r="LGC170" s="201"/>
      <c r="LGD170" s="200"/>
      <c r="LGE170" s="202"/>
      <c r="LGF170" s="203"/>
      <c r="LGG170" s="124"/>
      <c r="LGI170" s="126"/>
      <c r="LGJ170" s="124"/>
      <c r="LGL170" s="111"/>
      <c r="LGN170" s="200"/>
      <c r="LGO170" s="201"/>
      <c r="LGP170" s="201"/>
      <c r="LGQ170" s="200"/>
      <c r="LGR170" s="202"/>
      <c r="LGS170" s="203"/>
      <c r="LGT170" s="124"/>
      <c r="LGV170" s="126"/>
      <c r="LGW170" s="124"/>
      <c r="LGY170" s="111"/>
      <c r="LHA170" s="200"/>
      <c r="LHB170" s="201"/>
      <c r="LHC170" s="201"/>
      <c r="LHD170" s="200"/>
      <c r="LHE170" s="202"/>
      <c r="LHF170" s="203"/>
      <c r="LHG170" s="124"/>
      <c r="LHI170" s="126"/>
      <c r="LHJ170" s="124"/>
      <c r="LHL170" s="111"/>
      <c r="LHN170" s="200"/>
      <c r="LHO170" s="201"/>
      <c r="LHP170" s="201"/>
      <c r="LHQ170" s="200"/>
      <c r="LHR170" s="202"/>
      <c r="LHS170" s="203"/>
      <c r="LHT170" s="124"/>
      <c r="LHV170" s="126"/>
      <c r="LHW170" s="124"/>
      <c r="LHY170" s="111"/>
      <c r="LIA170" s="200"/>
      <c r="LIB170" s="201"/>
      <c r="LIC170" s="201"/>
      <c r="LID170" s="200"/>
      <c r="LIE170" s="202"/>
      <c r="LIF170" s="203"/>
      <c r="LIG170" s="124"/>
      <c r="LII170" s="126"/>
      <c r="LIJ170" s="124"/>
      <c r="LIL170" s="111"/>
      <c r="LIN170" s="200"/>
      <c r="LIO170" s="201"/>
      <c r="LIP170" s="201"/>
      <c r="LIQ170" s="200"/>
      <c r="LIR170" s="202"/>
      <c r="LIS170" s="203"/>
      <c r="LIT170" s="124"/>
      <c r="LIV170" s="126"/>
      <c r="LIW170" s="124"/>
      <c r="LIY170" s="111"/>
      <c r="LJA170" s="200"/>
      <c r="LJB170" s="201"/>
      <c r="LJC170" s="201"/>
      <c r="LJD170" s="200"/>
      <c r="LJE170" s="202"/>
      <c r="LJF170" s="203"/>
      <c r="LJG170" s="124"/>
      <c r="LJI170" s="126"/>
      <c r="LJJ170" s="124"/>
      <c r="LJL170" s="111"/>
      <c r="LJN170" s="200"/>
      <c r="LJO170" s="201"/>
      <c r="LJP170" s="201"/>
      <c r="LJQ170" s="200"/>
      <c r="LJR170" s="202"/>
      <c r="LJS170" s="203"/>
      <c r="LJT170" s="124"/>
      <c r="LJV170" s="126"/>
      <c r="LJW170" s="124"/>
      <c r="LJY170" s="111"/>
      <c r="LKA170" s="200"/>
      <c r="LKB170" s="201"/>
      <c r="LKC170" s="201"/>
      <c r="LKD170" s="200"/>
      <c r="LKE170" s="202"/>
      <c r="LKF170" s="203"/>
      <c r="LKG170" s="124"/>
      <c r="LKI170" s="126"/>
      <c r="LKJ170" s="124"/>
      <c r="LKL170" s="111"/>
      <c r="LKN170" s="200"/>
      <c r="LKO170" s="201"/>
      <c r="LKP170" s="201"/>
      <c r="LKQ170" s="200"/>
      <c r="LKR170" s="202"/>
      <c r="LKS170" s="203"/>
      <c r="LKT170" s="124"/>
      <c r="LKV170" s="126"/>
      <c r="LKW170" s="124"/>
      <c r="LKY170" s="111"/>
      <c r="LLA170" s="200"/>
      <c r="LLB170" s="201"/>
      <c r="LLC170" s="201"/>
      <c r="LLD170" s="200"/>
      <c r="LLE170" s="202"/>
      <c r="LLF170" s="203"/>
      <c r="LLG170" s="124"/>
      <c r="LLI170" s="126"/>
      <c r="LLJ170" s="124"/>
      <c r="LLL170" s="111"/>
      <c r="LLN170" s="200"/>
      <c r="LLO170" s="201"/>
      <c r="LLP170" s="201"/>
      <c r="LLQ170" s="200"/>
      <c r="LLR170" s="202"/>
      <c r="LLS170" s="203"/>
      <c r="LLT170" s="124"/>
      <c r="LLV170" s="126"/>
      <c r="LLW170" s="124"/>
      <c r="LLY170" s="111"/>
      <c r="LMA170" s="200"/>
      <c r="LMB170" s="201"/>
      <c r="LMC170" s="201"/>
      <c r="LMD170" s="200"/>
      <c r="LME170" s="202"/>
      <c r="LMF170" s="203"/>
      <c r="LMG170" s="124"/>
      <c r="LMI170" s="126"/>
      <c r="LMJ170" s="124"/>
      <c r="LML170" s="111"/>
      <c r="LMN170" s="200"/>
      <c r="LMO170" s="201"/>
      <c r="LMP170" s="201"/>
      <c r="LMQ170" s="200"/>
      <c r="LMR170" s="202"/>
      <c r="LMS170" s="203"/>
      <c r="LMT170" s="124"/>
      <c r="LMV170" s="126"/>
      <c r="LMW170" s="124"/>
      <c r="LMY170" s="111"/>
      <c r="LNA170" s="200"/>
      <c r="LNB170" s="201"/>
      <c r="LNC170" s="201"/>
      <c r="LND170" s="200"/>
      <c r="LNE170" s="202"/>
      <c r="LNF170" s="203"/>
      <c r="LNG170" s="124"/>
      <c r="LNI170" s="126"/>
      <c r="LNJ170" s="124"/>
      <c r="LNL170" s="111"/>
      <c r="LNN170" s="200"/>
      <c r="LNO170" s="201"/>
      <c r="LNP170" s="201"/>
      <c r="LNQ170" s="200"/>
      <c r="LNR170" s="202"/>
      <c r="LNS170" s="203"/>
      <c r="LNT170" s="124"/>
      <c r="LNV170" s="126"/>
      <c r="LNW170" s="124"/>
      <c r="LNY170" s="111"/>
      <c r="LOA170" s="200"/>
      <c r="LOB170" s="201"/>
      <c r="LOC170" s="201"/>
      <c r="LOD170" s="200"/>
      <c r="LOE170" s="202"/>
      <c r="LOF170" s="203"/>
      <c r="LOG170" s="124"/>
      <c r="LOI170" s="126"/>
      <c r="LOJ170" s="124"/>
      <c r="LOL170" s="111"/>
      <c r="LON170" s="200"/>
      <c r="LOO170" s="201"/>
      <c r="LOP170" s="201"/>
      <c r="LOQ170" s="200"/>
      <c r="LOR170" s="202"/>
      <c r="LOS170" s="203"/>
      <c r="LOT170" s="124"/>
      <c r="LOV170" s="126"/>
      <c r="LOW170" s="124"/>
      <c r="LOY170" s="111"/>
      <c r="LPA170" s="200"/>
      <c r="LPB170" s="201"/>
      <c r="LPC170" s="201"/>
      <c r="LPD170" s="200"/>
      <c r="LPE170" s="202"/>
      <c r="LPF170" s="203"/>
      <c r="LPG170" s="124"/>
      <c r="LPI170" s="126"/>
      <c r="LPJ170" s="124"/>
      <c r="LPL170" s="111"/>
      <c r="LPN170" s="200"/>
      <c r="LPO170" s="201"/>
      <c r="LPP170" s="201"/>
      <c r="LPQ170" s="200"/>
      <c r="LPR170" s="202"/>
      <c r="LPS170" s="203"/>
      <c r="LPT170" s="124"/>
      <c r="LPV170" s="126"/>
      <c r="LPW170" s="124"/>
      <c r="LPY170" s="111"/>
      <c r="LQA170" s="200"/>
      <c r="LQB170" s="201"/>
      <c r="LQC170" s="201"/>
      <c r="LQD170" s="200"/>
      <c r="LQE170" s="202"/>
      <c r="LQF170" s="203"/>
      <c r="LQG170" s="124"/>
      <c r="LQI170" s="126"/>
      <c r="LQJ170" s="124"/>
      <c r="LQL170" s="111"/>
      <c r="LQN170" s="200"/>
      <c r="LQO170" s="201"/>
      <c r="LQP170" s="201"/>
      <c r="LQQ170" s="200"/>
      <c r="LQR170" s="202"/>
      <c r="LQS170" s="203"/>
      <c r="LQT170" s="124"/>
      <c r="LQV170" s="126"/>
      <c r="LQW170" s="124"/>
      <c r="LQY170" s="111"/>
      <c r="LRA170" s="200"/>
      <c r="LRB170" s="201"/>
      <c r="LRC170" s="201"/>
      <c r="LRD170" s="200"/>
      <c r="LRE170" s="202"/>
      <c r="LRF170" s="203"/>
      <c r="LRG170" s="124"/>
      <c r="LRI170" s="126"/>
      <c r="LRJ170" s="124"/>
      <c r="LRL170" s="111"/>
      <c r="LRN170" s="200"/>
      <c r="LRO170" s="201"/>
      <c r="LRP170" s="201"/>
      <c r="LRQ170" s="200"/>
      <c r="LRR170" s="202"/>
      <c r="LRS170" s="203"/>
      <c r="LRT170" s="124"/>
      <c r="LRV170" s="126"/>
      <c r="LRW170" s="124"/>
      <c r="LRY170" s="111"/>
      <c r="LSA170" s="200"/>
      <c r="LSB170" s="201"/>
      <c r="LSC170" s="201"/>
      <c r="LSD170" s="200"/>
      <c r="LSE170" s="202"/>
      <c r="LSF170" s="203"/>
      <c r="LSG170" s="124"/>
      <c r="LSI170" s="126"/>
      <c r="LSJ170" s="124"/>
      <c r="LSL170" s="111"/>
      <c r="LSN170" s="200"/>
      <c r="LSO170" s="201"/>
      <c r="LSP170" s="201"/>
      <c r="LSQ170" s="200"/>
      <c r="LSR170" s="202"/>
      <c r="LSS170" s="203"/>
      <c r="LST170" s="124"/>
      <c r="LSV170" s="126"/>
      <c r="LSW170" s="124"/>
      <c r="LSY170" s="111"/>
      <c r="LTA170" s="200"/>
      <c r="LTB170" s="201"/>
      <c r="LTC170" s="201"/>
      <c r="LTD170" s="200"/>
      <c r="LTE170" s="202"/>
      <c r="LTF170" s="203"/>
      <c r="LTG170" s="124"/>
      <c r="LTI170" s="126"/>
      <c r="LTJ170" s="124"/>
      <c r="LTL170" s="111"/>
      <c r="LTN170" s="200"/>
      <c r="LTO170" s="201"/>
      <c r="LTP170" s="201"/>
      <c r="LTQ170" s="200"/>
      <c r="LTR170" s="202"/>
      <c r="LTS170" s="203"/>
      <c r="LTT170" s="124"/>
      <c r="LTV170" s="126"/>
      <c r="LTW170" s="124"/>
      <c r="LTY170" s="111"/>
      <c r="LUA170" s="200"/>
      <c r="LUB170" s="201"/>
      <c r="LUC170" s="201"/>
      <c r="LUD170" s="200"/>
      <c r="LUE170" s="202"/>
      <c r="LUF170" s="203"/>
      <c r="LUG170" s="124"/>
      <c r="LUI170" s="126"/>
      <c r="LUJ170" s="124"/>
      <c r="LUL170" s="111"/>
      <c r="LUN170" s="200"/>
      <c r="LUO170" s="201"/>
      <c r="LUP170" s="201"/>
      <c r="LUQ170" s="200"/>
      <c r="LUR170" s="202"/>
      <c r="LUS170" s="203"/>
      <c r="LUT170" s="124"/>
      <c r="LUV170" s="126"/>
      <c r="LUW170" s="124"/>
      <c r="LUY170" s="111"/>
      <c r="LVA170" s="200"/>
      <c r="LVB170" s="201"/>
      <c r="LVC170" s="201"/>
      <c r="LVD170" s="200"/>
      <c r="LVE170" s="202"/>
      <c r="LVF170" s="203"/>
      <c r="LVG170" s="124"/>
      <c r="LVI170" s="126"/>
      <c r="LVJ170" s="124"/>
      <c r="LVL170" s="111"/>
      <c r="LVN170" s="200"/>
      <c r="LVO170" s="201"/>
      <c r="LVP170" s="201"/>
      <c r="LVQ170" s="200"/>
      <c r="LVR170" s="202"/>
      <c r="LVS170" s="203"/>
      <c r="LVT170" s="124"/>
      <c r="LVV170" s="126"/>
      <c r="LVW170" s="124"/>
      <c r="LVY170" s="111"/>
      <c r="LWA170" s="200"/>
      <c r="LWB170" s="201"/>
      <c r="LWC170" s="201"/>
      <c r="LWD170" s="200"/>
      <c r="LWE170" s="202"/>
      <c r="LWF170" s="203"/>
      <c r="LWG170" s="124"/>
      <c r="LWI170" s="126"/>
      <c r="LWJ170" s="124"/>
      <c r="LWL170" s="111"/>
      <c r="LWN170" s="200"/>
      <c r="LWO170" s="201"/>
      <c r="LWP170" s="201"/>
      <c r="LWQ170" s="200"/>
      <c r="LWR170" s="202"/>
      <c r="LWS170" s="203"/>
      <c r="LWT170" s="124"/>
      <c r="LWV170" s="126"/>
      <c r="LWW170" s="124"/>
      <c r="LWY170" s="111"/>
      <c r="LXA170" s="200"/>
      <c r="LXB170" s="201"/>
      <c r="LXC170" s="201"/>
      <c r="LXD170" s="200"/>
      <c r="LXE170" s="202"/>
      <c r="LXF170" s="203"/>
      <c r="LXG170" s="124"/>
      <c r="LXI170" s="126"/>
      <c r="LXJ170" s="124"/>
      <c r="LXL170" s="111"/>
      <c r="LXN170" s="200"/>
      <c r="LXO170" s="201"/>
      <c r="LXP170" s="201"/>
      <c r="LXQ170" s="200"/>
      <c r="LXR170" s="202"/>
      <c r="LXS170" s="203"/>
      <c r="LXT170" s="124"/>
      <c r="LXV170" s="126"/>
      <c r="LXW170" s="124"/>
      <c r="LXY170" s="111"/>
      <c r="LYA170" s="200"/>
      <c r="LYB170" s="201"/>
      <c r="LYC170" s="201"/>
      <c r="LYD170" s="200"/>
      <c r="LYE170" s="202"/>
      <c r="LYF170" s="203"/>
      <c r="LYG170" s="124"/>
      <c r="LYI170" s="126"/>
      <c r="LYJ170" s="124"/>
      <c r="LYL170" s="111"/>
      <c r="LYN170" s="200"/>
      <c r="LYO170" s="201"/>
      <c r="LYP170" s="201"/>
      <c r="LYQ170" s="200"/>
      <c r="LYR170" s="202"/>
      <c r="LYS170" s="203"/>
      <c r="LYT170" s="124"/>
      <c r="LYV170" s="126"/>
      <c r="LYW170" s="124"/>
      <c r="LYY170" s="111"/>
      <c r="LZA170" s="200"/>
      <c r="LZB170" s="201"/>
      <c r="LZC170" s="201"/>
      <c r="LZD170" s="200"/>
      <c r="LZE170" s="202"/>
      <c r="LZF170" s="203"/>
      <c r="LZG170" s="124"/>
      <c r="LZI170" s="126"/>
      <c r="LZJ170" s="124"/>
      <c r="LZL170" s="111"/>
      <c r="LZN170" s="200"/>
      <c r="LZO170" s="201"/>
      <c r="LZP170" s="201"/>
      <c r="LZQ170" s="200"/>
      <c r="LZR170" s="202"/>
      <c r="LZS170" s="203"/>
      <c r="LZT170" s="124"/>
      <c r="LZV170" s="126"/>
      <c r="LZW170" s="124"/>
      <c r="LZY170" s="111"/>
      <c r="MAA170" s="200"/>
      <c r="MAB170" s="201"/>
      <c r="MAC170" s="201"/>
      <c r="MAD170" s="200"/>
      <c r="MAE170" s="202"/>
      <c r="MAF170" s="203"/>
      <c r="MAG170" s="124"/>
      <c r="MAI170" s="126"/>
      <c r="MAJ170" s="124"/>
      <c r="MAL170" s="111"/>
      <c r="MAN170" s="200"/>
      <c r="MAO170" s="201"/>
      <c r="MAP170" s="201"/>
      <c r="MAQ170" s="200"/>
      <c r="MAR170" s="202"/>
      <c r="MAS170" s="203"/>
      <c r="MAT170" s="124"/>
      <c r="MAV170" s="126"/>
      <c r="MAW170" s="124"/>
      <c r="MAY170" s="111"/>
      <c r="MBA170" s="200"/>
      <c r="MBB170" s="201"/>
      <c r="MBC170" s="201"/>
      <c r="MBD170" s="200"/>
      <c r="MBE170" s="202"/>
      <c r="MBF170" s="203"/>
      <c r="MBG170" s="124"/>
      <c r="MBI170" s="126"/>
      <c r="MBJ170" s="124"/>
      <c r="MBL170" s="111"/>
      <c r="MBN170" s="200"/>
      <c r="MBO170" s="201"/>
      <c r="MBP170" s="201"/>
      <c r="MBQ170" s="200"/>
      <c r="MBR170" s="202"/>
      <c r="MBS170" s="203"/>
      <c r="MBT170" s="124"/>
      <c r="MBV170" s="126"/>
      <c r="MBW170" s="124"/>
      <c r="MBY170" s="111"/>
      <c r="MCA170" s="200"/>
      <c r="MCB170" s="201"/>
      <c r="MCC170" s="201"/>
      <c r="MCD170" s="200"/>
      <c r="MCE170" s="202"/>
      <c r="MCF170" s="203"/>
      <c r="MCG170" s="124"/>
      <c r="MCI170" s="126"/>
      <c r="MCJ170" s="124"/>
      <c r="MCL170" s="111"/>
      <c r="MCN170" s="200"/>
      <c r="MCO170" s="201"/>
      <c r="MCP170" s="201"/>
      <c r="MCQ170" s="200"/>
      <c r="MCR170" s="202"/>
      <c r="MCS170" s="203"/>
      <c r="MCT170" s="124"/>
      <c r="MCV170" s="126"/>
      <c r="MCW170" s="124"/>
      <c r="MCY170" s="111"/>
      <c r="MDA170" s="200"/>
      <c r="MDB170" s="201"/>
      <c r="MDC170" s="201"/>
      <c r="MDD170" s="200"/>
      <c r="MDE170" s="202"/>
      <c r="MDF170" s="203"/>
      <c r="MDG170" s="124"/>
      <c r="MDI170" s="126"/>
      <c r="MDJ170" s="124"/>
      <c r="MDL170" s="111"/>
      <c r="MDN170" s="200"/>
      <c r="MDO170" s="201"/>
      <c r="MDP170" s="201"/>
      <c r="MDQ170" s="200"/>
      <c r="MDR170" s="202"/>
      <c r="MDS170" s="203"/>
      <c r="MDT170" s="124"/>
      <c r="MDV170" s="126"/>
      <c r="MDW170" s="124"/>
      <c r="MDY170" s="111"/>
      <c r="MEA170" s="200"/>
      <c r="MEB170" s="201"/>
      <c r="MEC170" s="201"/>
      <c r="MED170" s="200"/>
      <c r="MEE170" s="202"/>
      <c r="MEF170" s="203"/>
      <c r="MEG170" s="124"/>
      <c r="MEI170" s="126"/>
      <c r="MEJ170" s="124"/>
      <c r="MEL170" s="111"/>
      <c r="MEN170" s="200"/>
      <c r="MEO170" s="201"/>
      <c r="MEP170" s="201"/>
      <c r="MEQ170" s="200"/>
      <c r="MER170" s="202"/>
      <c r="MES170" s="203"/>
      <c r="MET170" s="124"/>
      <c r="MEV170" s="126"/>
      <c r="MEW170" s="124"/>
      <c r="MEY170" s="111"/>
      <c r="MFA170" s="200"/>
      <c r="MFB170" s="201"/>
      <c r="MFC170" s="201"/>
      <c r="MFD170" s="200"/>
      <c r="MFE170" s="202"/>
      <c r="MFF170" s="203"/>
      <c r="MFG170" s="124"/>
      <c r="MFI170" s="126"/>
      <c r="MFJ170" s="124"/>
      <c r="MFL170" s="111"/>
      <c r="MFN170" s="200"/>
      <c r="MFO170" s="201"/>
      <c r="MFP170" s="201"/>
      <c r="MFQ170" s="200"/>
      <c r="MFR170" s="202"/>
      <c r="MFS170" s="203"/>
      <c r="MFT170" s="124"/>
      <c r="MFV170" s="126"/>
      <c r="MFW170" s="124"/>
      <c r="MFY170" s="111"/>
      <c r="MGA170" s="200"/>
      <c r="MGB170" s="201"/>
      <c r="MGC170" s="201"/>
      <c r="MGD170" s="200"/>
      <c r="MGE170" s="202"/>
      <c r="MGF170" s="203"/>
      <c r="MGG170" s="124"/>
      <c r="MGI170" s="126"/>
      <c r="MGJ170" s="124"/>
      <c r="MGL170" s="111"/>
      <c r="MGN170" s="200"/>
      <c r="MGO170" s="201"/>
      <c r="MGP170" s="201"/>
      <c r="MGQ170" s="200"/>
      <c r="MGR170" s="202"/>
      <c r="MGS170" s="203"/>
      <c r="MGT170" s="124"/>
      <c r="MGV170" s="126"/>
      <c r="MGW170" s="124"/>
      <c r="MGY170" s="111"/>
      <c r="MHA170" s="200"/>
      <c r="MHB170" s="201"/>
      <c r="MHC170" s="201"/>
      <c r="MHD170" s="200"/>
      <c r="MHE170" s="202"/>
      <c r="MHF170" s="203"/>
      <c r="MHG170" s="124"/>
      <c r="MHI170" s="126"/>
      <c r="MHJ170" s="124"/>
      <c r="MHL170" s="111"/>
      <c r="MHN170" s="200"/>
      <c r="MHO170" s="201"/>
      <c r="MHP170" s="201"/>
      <c r="MHQ170" s="200"/>
      <c r="MHR170" s="202"/>
      <c r="MHS170" s="203"/>
      <c r="MHT170" s="124"/>
      <c r="MHV170" s="126"/>
      <c r="MHW170" s="124"/>
      <c r="MHY170" s="111"/>
      <c r="MIA170" s="200"/>
      <c r="MIB170" s="201"/>
      <c r="MIC170" s="201"/>
      <c r="MID170" s="200"/>
      <c r="MIE170" s="202"/>
      <c r="MIF170" s="203"/>
      <c r="MIG170" s="124"/>
      <c r="MII170" s="126"/>
      <c r="MIJ170" s="124"/>
      <c r="MIL170" s="111"/>
      <c r="MIN170" s="200"/>
      <c r="MIO170" s="201"/>
      <c r="MIP170" s="201"/>
      <c r="MIQ170" s="200"/>
      <c r="MIR170" s="202"/>
      <c r="MIS170" s="203"/>
      <c r="MIT170" s="124"/>
      <c r="MIV170" s="126"/>
      <c r="MIW170" s="124"/>
      <c r="MIY170" s="111"/>
      <c r="MJA170" s="200"/>
      <c r="MJB170" s="201"/>
      <c r="MJC170" s="201"/>
      <c r="MJD170" s="200"/>
      <c r="MJE170" s="202"/>
      <c r="MJF170" s="203"/>
      <c r="MJG170" s="124"/>
      <c r="MJI170" s="126"/>
      <c r="MJJ170" s="124"/>
      <c r="MJL170" s="111"/>
      <c r="MJN170" s="200"/>
      <c r="MJO170" s="201"/>
      <c r="MJP170" s="201"/>
      <c r="MJQ170" s="200"/>
      <c r="MJR170" s="202"/>
      <c r="MJS170" s="203"/>
      <c r="MJT170" s="124"/>
      <c r="MJV170" s="126"/>
      <c r="MJW170" s="124"/>
      <c r="MJY170" s="111"/>
      <c r="MKA170" s="200"/>
      <c r="MKB170" s="201"/>
      <c r="MKC170" s="201"/>
      <c r="MKD170" s="200"/>
      <c r="MKE170" s="202"/>
      <c r="MKF170" s="203"/>
      <c r="MKG170" s="124"/>
      <c r="MKI170" s="126"/>
      <c r="MKJ170" s="124"/>
      <c r="MKL170" s="111"/>
      <c r="MKN170" s="200"/>
      <c r="MKO170" s="201"/>
      <c r="MKP170" s="201"/>
      <c r="MKQ170" s="200"/>
      <c r="MKR170" s="202"/>
      <c r="MKS170" s="203"/>
      <c r="MKT170" s="124"/>
      <c r="MKV170" s="126"/>
      <c r="MKW170" s="124"/>
      <c r="MKY170" s="111"/>
      <c r="MLA170" s="200"/>
      <c r="MLB170" s="201"/>
      <c r="MLC170" s="201"/>
      <c r="MLD170" s="200"/>
      <c r="MLE170" s="202"/>
      <c r="MLF170" s="203"/>
      <c r="MLG170" s="124"/>
      <c r="MLI170" s="126"/>
      <c r="MLJ170" s="124"/>
      <c r="MLL170" s="111"/>
      <c r="MLN170" s="200"/>
      <c r="MLO170" s="201"/>
      <c r="MLP170" s="201"/>
      <c r="MLQ170" s="200"/>
      <c r="MLR170" s="202"/>
      <c r="MLS170" s="203"/>
      <c r="MLT170" s="124"/>
      <c r="MLV170" s="126"/>
      <c r="MLW170" s="124"/>
      <c r="MLY170" s="111"/>
      <c r="MMA170" s="200"/>
      <c r="MMB170" s="201"/>
      <c r="MMC170" s="201"/>
      <c r="MMD170" s="200"/>
      <c r="MME170" s="202"/>
      <c r="MMF170" s="203"/>
      <c r="MMG170" s="124"/>
      <c r="MMI170" s="126"/>
      <c r="MMJ170" s="124"/>
      <c r="MML170" s="111"/>
      <c r="MMN170" s="200"/>
      <c r="MMO170" s="201"/>
      <c r="MMP170" s="201"/>
      <c r="MMQ170" s="200"/>
      <c r="MMR170" s="202"/>
      <c r="MMS170" s="203"/>
      <c r="MMT170" s="124"/>
      <c r="MMV170" s="126"/>
      <c r="MMW170" s="124"/>
      <c r="MMY170" s="111"/>
      <c r="MNA170" s="200"/>
      <c r="MNB170" s="201"/>
      <c r="MNC170" s="201"/>
      <c r="MND170" s="200"/>
      <c r="MNE170" s="202"/>
      <c r="MNF170" s="203"/>
      <c r="MNG170" s="124"/>
      <c r="MNI170" s="126"/>
      <c r="MNJ170" s="124"/>
      <c r="MNL170" s="111"/>
      <c r="MNN170" s="200"/>
      <c r="MNO170" s="201"/>
      <c r="MNP170" s="201"/>
      <c r="MNQ170" s="200"/>
      <c r="MNR170" s="202"/>
      <c r="MNS170" s="203"/>
      <c r="MNT170" s="124"/>
      <c r="MNV170" s="126"/>
      <c r="MNW170" s="124"/>
      <c r="MNY170" s="111"/>
      <c r="MOA170" s="200"/>
      <c r="MOB170" s="201"/>
      <c r="MOC170" s="201"/>
      <c r="MOD170" s="200"/>
      <c r="MOE170" s="202"/>
      <c r="MOF170" s="203"/>
      <c r="MOG170" s="124"/>
      <c r="MOI170" s="126"/>
      <c r="MOJ170" s="124"/>
      <c r="MOL170" s="111"/>
      <c r="MON170" s="200"/>
      <c r="MOO170" s="201"/>
      <c r="MOP170" s="201"/>
      <c r="MOQ170" s="200"/>
      <c r="MOR170" s="202"/>
      <c r="MOS170" s="203"/>
      <c r="MOT170" s="124"/>
      <c r="MOV170" s="126"/>
      <c r="MOW170" s="124"/>
      <c r="MOY170" s="111"/>
      <c r="MPA170" s="200"/>
      <c r="MPB170" s="201"/>
      <c r="MPC170" s="201"/>
      <c r="MPD170" s="200"/>
      <c r="MPE170" s="202"/>
      <c r="MPF170" s="203"/>
      <c r="MPG170" s="124"/>
      <c r="MPI170" s="126"/>
      <c r="MPJ170" s="124"/>
      <c r="MPL170" s="111"/>
      <c r="MPN170" s="200"/>
      <c r="MPO170" s="201"/>
      <c r="MPP170" s="201"/>
      <c r="MPQ170" s="200"/>
      <c r="MPR170" s="202"/>
      <c r="MPS170" s="203"/>
      <c r="MPT170" s="124"/>
      <c r="MPV170" s="126"/>
      <c r="MPW170" s="124"/>
      <c r="MPY170" s="111"/>
      <c r="MQA170" s="200"/>
      <c r="MQB170" s="201"/>
      <c r="MQC170" s="201"/>
      <c r="MQD170" s="200"/>
      <c r="MQE170" s="202"/>
      <c r="MQF170" s="203"/>
      <c r="MQG170" s="124"/>
      <c r="MQI170" s="126"/>
      <c r="MQJ170" s="124"/>
      <c r="MQL170" s="111"/>
      <c r="MQN170" s="200"/>
      <c r="MQO170" s="201"/>
      <c r="MQP170" s="201"/>
      <c r="MQQ170" s="200"/>
      <c r="MQR170" s="202"/>
      <c r="MQS170" s="203"/>
      <c r="MQT170" s="124"/>
      <c r="MQV170" s="126"/>
      <c r="MQW170" s="124"/>
      <c r="MQY170" s="111"/>
      <c r="MRA170" s="200"/>
      <c r="MRB170" s="201"/>
      <c r="MRC170" s="201"/>
      <c r="MRD170" s="200"/>
      <c r="MRE170" s="202"/>
      <c r="MRF170" s="203"/>
      <c r="MRG170" s="124"/>
      <c r="MRI170" s="126"/>
      <c r="MRJ170" s="124"/>
      <c r="MRL170" s="111"/>
      <c r="MRN170" s="200"/>
      <c r="MRO170" s="201"/>
      <c r="MRP170" s="201"/>
      <c r="MRQ170" s="200"/>
      <c r="MRR170" s="202"/>
      <c r="MRS170" s="203"/>
      <c r="MRT170" s="124"/>
      <c r="MRV170" s="126"/>
      <c r="MRW170" s="124"/>
      <c r="MRY170" s="111"/>
      <c r="MSA170" s="200"/>
      <c r="MSB170" s="201"/>
      <c r="MSC170" s="201"/>
      <c r="MSD170" s="200"/>
      <c r="MSE170" s="202"/>
      <c r="MSF170" s="203"/>
      <c r="MSG170" s="124"/>
      <c r="MSI170" s="126"/>
      <c r="MSJ170" s="124"/>
      <c r="MSL170" s="111"/>
      <c r="MSN170" s="200"/>
      <c r="MSO170" s="201"/>
      <c r="MSP170" s="201"/>
      <c r="MSQ170" s="200"/>
      <c r="MSR170" s="202"/>
      <c r="MSS170" s="203"/>
      <c r="MST170" s="124"/>
      <c r="MSV170" s="126"/>
      <c r="MSW170" s="124"/>
      <c r="MSY170" s="111"/>
      <c r="MTA170" s="200"/>
      <c r="MTB170" s="201"/>
      <c r="MTC170" s="201"/>
      <c r="MTD170" s="200"/>
      <c r="MTE170" s="202"/>
      <c r="MTF170" s="203"/>
      <c r="MTG170" s="124"/>
      <c r="MTI170" s="126"/>
      <c r="MTJ170" s="124"/>
      <c r="MTL170" s="111"/>
      <c r="MTN170" s="200"/>
      <c r="MTO170" s="201"/>
      <c r="MTP170" s="201"/>
      <c r="MTQ170" s="200"/>
      <c r="MTR170" s="202"/>
      <c r="MTS170" s="203"/>
      <c r="MTT170" s="124"/>
      <c r="MTV170" s="126"/>
      <c r="MTW170" s="124"/>
      <c r="MTY170" s="111"/>
      <c r="MUA170" s="200"/>
      <c r="MUB170" s="201"/>
      <c r="MUC170" s="201"/>
      <c r="MUD170" s="200"/>
      <c r="MUE170" s="202"/>
      <c r="MUF170" s="203"/>
      <c r="MUG170" s="124"/>
      <c r="MUI170" s="126"/>
      <c r="MUJ170" s="124"/>
      <c r="MUL170" s="111"/>
      <c r="MUN170" s="200"/>
      <c r="MUO170" s="201"/>
      <c r="MUP170" s="201"/>
      <c r="MUQ170" s="200"/>
      <c r="MUR170" s="202"/>
      <c r="MUS170" s="203"/>
      <c r="MUT170" s="124"/>
      <c r="MUV170" s="126"/>
      <c r="MUW170" s="124"/>
      <c r="MUY170" s="111"/>
      <c r="MVA170" s="200"/>
      <c r="MVB170" s="201"/>
      <c r="MVC170" s="201"/>
      <c r="MVD170" s="200"/>
      <c r="MVE170" s="202"/>
      <c r="MVF170" s="203"/>
      <c r="MVG170" s="124"/>
      <c r="MVI170" s="126"/>
      <c r="MVJ170" s="124"/>
      <c r="MVL170" s="111"/>
      <c r="MVN170" s="200"/>
      <c r="MVO170" s="201"/>
      <c r="MVP170" s="201"/>
      <c r="MVQ170" s="200"/>
      <c r="MVR170" s="202"/>
      <c r="MVS170" s="203"/>
      <c r="MVT170" s="124"/>
      <c r="MVV170" s="126"/>
      <c r="MVW170" s="124"/>
      <c r="MVY170" s="111"/>
      <c r="MWA170" s="200"/>
      <c r="MWB170" s="201"/>
      <c r="MWC170" s="201"/>
      <c r="MWD170" s="200"/>
      <c r="MWE170" s="202"/>
      <c r="MWF170" s="203"/>
      <c r="MWG170" s="124"/>
      <c r="MWI170" s="126"/>
      <c r="MWJ170" s="124"/>
      <c r="MWL170" s="111"/>
      <c r="MWN170" s="200"/>
      <c r="MWO170" s="201"/>
      <c r="MWP170" s="201"/>
      <c r="MWQ170" s="200"/>
      <c r="MWR170" s="202"/>
      <c r="MWS170" s="203"/>
      <c r="MWT170" s="124"/>
      <c r="MWV170" s="126"/>
      <c r="MWW170" s="124"/>
      <c r="MWY170" s="111"/>
      <c r="MXA170" s="200"/>
      <c r="MXB170" s="201"/>
      <c r="MXC170" s="201"/>
      <c r="MXD170" s="200"/>
      <c r="MXE170" s="202"/>
      <c r="MXF170" s="203"/>
      <c r="MXG170" s="124"/>
      <c r="MXI170" s="126"/>
      <c r="MXJ170" s="124"/>
      <c r="MXL170" s="111"/>
      <c r="MXN170" s="200"/>
      <c r="MXO170" s="201"/>
      <c r="MXP170" s="201"/>
      <c r="MXQ170" s="200"/>
      <c r="MXR170" s="202"/>
      <c r="MXS170" s="203"/>
      <c r="MXT170" s="124"/>
      <c r="MXV170" s="126"/>
      <c r="MXW170" s="124"/>
      <c r="MXY170" s="111"/>
      <c r="MYA170" s="200"/>
      <c r="MYB170" s="201"/>
      <c r="MYC170" s="201"/>
      <c r="MYD170" s="200"/>
      <c r="MYE170" s="202"/>
      <c r="MYF170" s="203"/>
      <c r="MYG170" s="124"/>
      <c r="MYI170" s="126"/>
      <c r="MYJ170" s="124"/>
      <c r="MYL170" s="111"/>
      <c r="MYN170" s="200"/>
      <c r="MYO170" s="201"/>
      <c r="MYP170" s="201"/>
      <c r="MYQ170" s="200"/>
      <c r="MYR170" s="202"/>
      <c r="MYS170" s="203"/>
      <c r="MYT170" s="124"/>
      <c r="MYV170" s="126"/>
      <c r="MYW170" s="124"/>
      <c r="MYY170" s="111"/>
      <c r="MZA170" s="200"/>
      <c r="MZB170" s="201"/>
      <c r="MZC170" s="201"/>
      <c r="MZD170" s="200"/>
      <c r="MZE170" s="202"/>
      <c r="MZF170" s="203"/>
      <c r="MZG170" s="124"/>
      <c r="MZI170" s="126"/>
      <c r="MZJ170" s="124"/>
      <c r="MZL170" s="111"/>
      <c r="MZN170" s="200"/>
      <c r="MZO170" s="201"/>
      <c r="MZP170" s="201"/>
      <c r="MZQ170" s="200"/>
      <c r="MZR170" s="202"/>
      <c r="MZS170" s="203"/>
      <c r="MZT170" s="124"/>
      <c r="MZV170" s="126"/>
      <c r="MZW170" s="124"/>
      <c r="MZY170" s="111"/>
      <c r="NAA170" s="200"/>
      <c r="NAB170" s="201"/>
      <c r="NAC170" s="201"/>
      <c r="NAD170" s="200"/>
      <c r="NAE170" s="202"/>
      <c r="NAF170" s="203"/>
      <c r="NAG170" s="124"/>
      <c r="NAI170" s="126"/>
      <c r="NAJ170" s="124"/>
      <c r="NAL170" s="111"/>
      <c r="NAN170" s="200"/>
      <c r="NAO170" s="201"/>
      <c r="NAP170" s="201"/>
      <c r="NAQ170" s="200"/>
      <c r="NAR170" s="202"/>
      <c r="NAS170" s="203"/>
      <c r="NAT170" s="124"/>
      <c r="NAV170" s="126"/>
      <c r="NAW170" s="124"/>
      <c r="NAY170" s="111"/>
      <c r="NBA170" s="200"/>
      <c r="NBB170" s="201"/>
      <c r="NBC170" s="201"/>
      <c r="NBD170" s="200"/>
      <c r="NBE170" s="202"/>
      <c r="NBF170" s="203"/>
      <c r="NBG170" s="124"/>
      <c r="NBI170" s="126"/>
      <c r="NBJ170" s="124"/>
      <c r="NBL170" s="111"/>
      <c r="NBN170" s="200"/>
      <c r="NBO170" s="201"/>
      <c r="NBP170" s="201"/>
      <c r="NBQ170" s="200"/>
      <c r="NBR170" s="202"/>
      <c r="NBS170" s="203"/>
      <c r="NBT170" s="124"/>
      <c r="NBV170" s="126"/>
      <c r="NBW170" s="124"/>
      <c r="NBY170" s="111"/>
      <c r="NCA170" s="200"/>
      <c r="NCB170" s="201"/>
      <c r="NCC170" s="201"/>
      <c r="NCD170" s="200"/>
      <c r="NCE170" s="202"/>
      <c r="NCF170" s="203"/>
      <c r="NCG170" s="124"/>
      <c r="NCI170" s="126"/>
      <c r="NCJ170" s="124"/>
      <c r="NCL170" s="111"/>
      <c r="NCN170" s="200"/>
      <c r="NCO170" s="201"/>
      <c r="NCP170" s="201"/>
      <c r="NCQ170" s="200"/>
      <c r="NCR170" s="202"/>
      <c r="NCS170" s="203"/>
      <c r="NCT170" s="124"/>
      <c r="NCV170" s="126"/>
      <c r="NCW170" s="124"/>
      <c r="NCY170" s="111"/>
      <c r="NDA170" s="200"/>
      <c r="NDB170" s="201"/>
      <c r="NDC170" s="201"/>
      <c r="NDD170" s="200"/>
      <c r="NDE170" s="202"/>
      <c r="NDF170" s="203"/>
      <c r="NDG170" s="124"/>
      <c r="NDI170" s="126"/>
      <c r="NDJ170" s="124"/>
      <c r="NDL170" s="111"/>
      <c r="NDN170" s="200"/>
      <c r="NDO170" s="201"/>
      <c r="NDP170" s="201"/>
      <c r="NDQ170" s="200"/>
      <c r="NDR170" s="202"/>
      <c r="NDS170" s="203"/>
      <c r="NDT170" s="124"/>
      <c r="NDV170" s="126"/>
      <c r="NDW170" s="124"/>
      <c r="NDY170" s="111"/>
      <c r="NEA170" s="200"/>
      <c r="NEB170" s="201"/>
      <c r="NEC170" s="201"/>
      <c r="NED170" s="200"/>
      <c r="NEE170" s="202"/>
      <c r="NEF170" s="203"/>
      <c r="NEG170" s="124"/>
      <c r="NEI170" s="126"/>
      <c r="NEJ170" s="124"/>
      <c r="NEL170" s="111"/>
      <c r="NEN170" s="200"/>
      <c r="NEO170" s="201"/>
      <c r="NEP170" s="201"/>
      <c r="NEQ170" s="200"/>
      <c r="NER170" s="202"/>
      <c r="NES170" s="203"/>
      <c r="NET170" s="124"/>
      <c r="NEV170" s="126"/>
      <c r="NEW170" s="124"/>
      <c r="NEY170" s="111"/>
      <c r="NFA170" s="200"/>
      <c r="NFB170" s="201"/>
      <c r="NFC170" s="201"/>
      <c r="NFD170" s="200"/>
      <c r="NFE170" s="202"/>
      <c r="NFF170" s="203"/>
      <c r="NFG170" s="124"/>
      <c r="NFI170" s="126"/>
      <c r="NFJ170" s="124"/>
      <c r="NFL170" s="111"/>
      <c r="NFN170" s="200"/>
      <c r="NFO170" s="201"/>
      <c r="NFP170" s="201"/>
      <c r="NFQ170" s="200"/>
      <c r="NFR170" s="202"/>
      <c r="NFS170" s="203"/>
      <c r="NFT170" s="124"/>
      <c r="NFV170" s="126"/>
      <c r="NFW170" s="124"/>
      <c r="NFY170" s="111"/>
      <c r="NGA170" s="200"/>
      <c r="NGB170" s="201"/>
      <c r="NGC170" s="201"/>
      <c r="NGD170" s="200"/>
      <c r="NGE170" s="202"/>
      <c r="NGF170" s="203"/>
      <c r="NGG170" s="124"/>
      <c r="NGI170" s="126"/>
      <c r="NGJ170" s="124"/>
      <c r="NGL170" s="111"/>
      <c r="NGN170" s="200"/>
      <c r="NGO170" s="201"/>
      <c r="NGP170" s="201"/>
      <c r="NGQ170" s="200"/>
      <c r="NGR170" s="202"/>
      <c r="NGS170" s="203"/>
      <c r="NGT170" s="124"/>
      <c r="NGV170" s="126"/>
      <c r="NGW170" s="124"/>
      <c r="NGY170" s="111"/>
      <c r="NHA170" s="200"/>
      <c r="NHB170" s="201"/>
      <c r="NHC170" s="201"/>
      <c r="NHD170" s="200"/>
      <c r="NHE170" s="202"/>
      <c r="NHF170" s="203"/>
      <c r="NHG170" s="124"/>
      <c r="NHI170" s="126"/>
      <c r="NHJ170" s="124"/>
      <c r="NHL170" s="111"/>
      <c r="NHN170" s="200"/>
      <c r="NHO170" s="201"/>
      <c r="NHP170" s="201"/>
      <c r="NHQ170" s="200"/>
      <c r="NHR170" s="202"/>
      <c r="NHS170" s="203"/>
      <c r="NHT170" s="124"/>
      <c r="NHV170" s="126"/>
      <c r="NHW170" s="124"/>
      <c r="NHY170" s="111"/>
      <c r="NIA170" s="200"/>
      <c r="NIB170" s="201"/>
      <c r="NIC170" s="201"/>
      <c r="NID170" s="200"/>
      <c r="NIE170" s="202"/>
      <c r="NIF170" s="203"/>
      <c r="NIG170" s="124"/>
      <c r="NII170" s="126"/>
      <c r="NIJ170" s="124"/>
      <c r="NIL170" s="111"/>
      <c r="NIN170" s="200"/>
      <c r="NIO170" s="201"/>
      <c r="NIP170" s="201"/>
      <c r="NIQ170" s="200"/>
      <c r="NIR170" s="202"/>
      <c r="NIS170" s="203"/>
      <c r="NIT170" s="124"/>
      <c r="NIV170" s="126"/>
      <c r="NIW170" s="124"/>
      <c r="NIY170" s="111"/>
      <c r="NJA170" s="200"/>
      <c r="NJB170" s="201"/>
      <c r="NJC170" s="201"/>
      <c r="NJD170" s="200"/>
      <c r="NJE170" s="202"/>
      <c r="NJF170" s="203"/>
      <c r="NJG170" s="124"/>
      <c r="NJI170" s="126"/>
      <c r="NJJ170" s="124"/>
      <c r="NJL170" s="111"/>
      <c r="NJN170" s="200"/>
      <c r="NJO170" s="201"/>
      <c r="NJP170" s="201"/>
      <c r="NJQ170" s="200"/>
      <c r="NJR170" s="202"/>
      <c r="NJS170" s="203"/>
      <c r="NJT170" s="124"/>
      <c r="NJV170" s="126"/>
      <c r="NJW170" s="124"/>
      <c r="NJY170" s="111"/>
      <c r="NKA170" s="200"/>
      <c r="NKB170" s="201"/>
      <c r="NKC170" s="201"/>
      <c r="NKD170" s="200"/>
      <c r="NKE170" s="202"/>
      <c r="NKF170" s="203"/>
      <c r="NKG170" s="124"/>
      <c r="NKI170" s="126"/>
      <c r="NKJ170" s="124"/>
      <c r="NKL170" s="111"/>
      <c r="NKN170" s="200"/>
      <c r="NKO170" s="201"/>
      <c r="NKP170" s="201"/>
      <c r="NKQ170" s="200"/>
      <c r="NKR170" s="202"/>
      <c r="NKS170" s="203"/>
      <c r="NKT170" s="124"/>
      <c r="NKV170" s="126"/>
      <c r="NKW170" s="124"/>
      <c r="NKY170" s="111"/>
      <c r="NLA170" s="200"/>
      <c r="NLB170" s="201"/>
      <c r="NLC170" s="201"/>
      <c r="NLD170" s="200"/>
      <c r="NLE170" s="202"/>
      <c r="NLF170" s="203"/>
      <c r="NLG170" s="124"/>
      <c r="NLI170" s="126"/>
      <c r="NLJ170" s="124"/>
      <c r="NLL170" s="111"/>
      <c r="NLN170" s="200"/>
      <c r="NLO170" s="201"/>
      <c r="NLP170" s="201"/>
      <c r="NLQ170" s="200"/>
      <c r="NLR170" s="202"/>
      <c r="NLS170" s="203"/>
      <c r="NLT170" s="124"/>
      <c r="NLV170" s="126"/>
      <c r="NLW170" s="124"/>
      <c r="NLY170" s="111"/>
      <c r="NMA170" s="200"/>
      <c r="NMB170" s="201"/>
      <c r="NMC170" s="201"/>
      <c r="NMD170" s="200"/>
      <c r="NME170" s="202"/>
      <c r="NMF170" s="203"/>
      <c r="NMG170" s="124"/>
      <c r="NMI170" s="126"/>
      <c r="NMJ170" s="124"/>
      <c r="NML170" s="111"/>
      <c r="NMN170" s="200"/>
      <c r="NMO170" s="201"/>
      <c r="NMP170" s="201"/>
      <c r="NMQ170" s="200"/>
      <c r="NMR170" s="202"/>
      <c r="NMS170" s="203"/>
      <c r="NMT170" s="124"/>
      <c r="NMV170" s="126"/>
      <c r="NMW170" s="124"/>
      <c r="NMY170" s="111"/>
      <c r="NNA170" s="200"/>
      <c r="NNB170" s="201"/>
      <c r="NNC170" s="201"/>
      <c r="NND170" s="200"/>
      <c r="NNE170" s="202"/>
      <c r="NNF170" s="203"/>
      <c r="NNG170" s="124"/>
      <c r="NNI170" s="126"/>
      <c r="NNJ170" s="124"/>
      <c r="NNL170" s="111"/>
      <c r="NNN170" s="200"/>
      <c r="NNO170" s="201"/>
      <c r="NNP170" s="201"/>
      <c r="NNQ170" s="200"/>
      <c r="NNR170" s="202"/>
      <c r="NNS170" s="203"/>
      <c r="NNT170" s="124"/>
      <c r="NNV170" s="126"/>
      <c r="NNW170" s="124"/>
      <c r="NNY170" s="111"/>
      <c r="NOA170" s="200"/>
      <c r="NOB170" s="201"/>
      <c r="NOC170" s="201"/>
      <c r="NOD170" s="200"/>
      <c r="NOE170" s="202"/>
      <c r="NOF170" s="203"/>
      <c r="NOG170" s="124"/>
      <c r="NOI170" s="126"/>
      <c r="NOJ170" s="124"/>
      <c r="NOL170" s="111"/>
      <c r="NON170" s="200"/>
      <c r="NOO170" s="201"/>
      <c r="NOP170" s="201"/>
      <c r="NOQ170" s="200"/>
      <c r="NOR170" s="202"/>
      <c r="NOS170" s="203"/>
      <c r="NOT170" s="124"/>
      <c r="NOV170" s="126"/>
      <c r="NOW170" s="124"/>
      <c r="NOY170" s="111"/>
      <c r="NPA170" s="200"/>
      <c r="NPB170" s="201"/>
      <c r="NPC170" s="201"/>
      <c r="NPD170" s="200"/>
      <c r="NPE170" s="202"/>
      <c r="NPF170" s="203"/>
      <c r="NPG170" s="124"/>
      <c r="NPI170" s="126"/>
      <c r="NPJ170" s="124"/>
      <c r="NPL170" s="111"/>
      <c r="NPN170" s="200"/>
      <c r="NPO170" s="201"/>
      <c r="NPP170" s="201"/>
      <c r="NPQ170" s="200"/>
      <c r="NPR170" s="202"/>
      <c r="NPS170" s="203"/>
      <c r="NPT170" s="124"/>
      <c r="NPV170" s="126"/>
      <c r="NPW170" s="124"/>
      <c r="NPY170" s="111"/>
      <c r="NQA170" s="200"/>
      <c r="NQB170" s="201"/>
      <c r="NQC170" s="201"/>
      <c r="NQD170" s="200"/>
      <c r="NQE170" s="202"/>
      <c r="NQF170" s="203"/>
      <c r="NQG170" s="124"/>
      <c r="NQI170" s="126"/>
      <c r="NQJ170" s="124"/>
      <c r="NQL170" s="111"/>
      <c r="NQN170" s="200"/>
      <c r="NQO170" s="201"/>
      <c r="NQP170" s="201"/>
      <c r="NQQ170" s="200"/>
      <c r="NQR170" s="202"/>
      <c r="NQS170" s="203"/>
      <c r="NQT170" s="124"/>
      <c r="NQV170" s="126"/>
      <c r="NQW170" s="124"/>
      <c r="NQY170" s="111"/>
      <c r="NRA170" s="200"/>
      <c r="NRB170" s="201"/>
      <c r="NRC170" s="201"/>
      <c r="NRD170" s="200"/>
      <c r="NRE170" s="202"/>
      <c r="NRF170" s="203"/>
      <c r="NRG170" s="124"/>
      <c r="NRI170" s="126"/>
      <c r="NRJ170" s="124"/>
      <c r="NRL170" s="111"/>
      <c r="NRN170" s="200"/>
      <c r="NRO170" s="201"/>
      <c r="NRP170" s="201"/>
      <c r="NRQ170" s="200"/>
      <c r="NRR170" s="202"/>
      <c r="NRS170" s="203"/>
      <c r="NRT170" s="124"/>
      <c r="NRV170" s="126"/>
      <c r="NRW170" s="124"/>
      <c r="NRY170" s="111"/>
      <c r="NSA170" s="200"/>
      <c r="NSB170" s="201"/>
      <c r="NSC170" s="201"/>
      <c r="NSD170" s="200"/>
      <c r="NSE170" s="202"/>
      <c r="NSF170" s="203"/>
      <c r="NSG170" s="124"/>
      <c r="NSI170" s="126"/>
      <c r="NSJ170" s="124"/>
      <c r="NSL170" s="111"/>
      <c r="NSN170" s="200"/>
      <c r="NSO170" s="201"/>
      <c r="NSP170" s="201"/>
      <c r="NSQ170" s="200"/>
      <c r="NSR170" s="202"/>
      <c r="NSS170" s="203"/>
      <c r="NST170" s="124"/>
      <c r="NSV170" s="126"/>
      <c r="NSW170" s="124"/>
      <c r="NSY170" s="111"/>
      <c r="NTA170" s="200"/>
      <c r="NTB170" s="201"/>
      <c r="NTC170" s="201"/>
      <c r="NTD170" s="200"/>
      <c r="NTE170" s="202"/>
      <c r="NTF170" s="203"/>
      <c r="NTG170" s="124"/>
      <c r="NTI170" s="126"/>
      <c r="NTJ170" s="124"/>
      <c r="NTL170" s="111"/>
      <c r="NTN170" s="200"/>
      <c r="NTO170" s="201"/>
      <c r="NTP170" s="201"/>
      <c r="NTQ170" s="200"/>
      <c r="NTR170" s="202"/>
      <c r="NTS170" s="203"/>
      <c r="NTT170" s="124"/>
      <c r="NTV170" s="126"/>
      <c r="NTW170" s="124"/>
      <c r="NTY170" s="111"/>
      <c r="NUA170" s="200"/>
      <c r="NUB170" s="201"/>
      <c r="NUC170" s="201"/>
      <c r="NUD170" s="200"/>
      <c r="NUE170" s="202"/>
      <c r="NUF170" s="203"/>
      <c r="NUG170" s="124"/>
      <c r="NUI170" s="126"/>
      <c r="NUJ170" s="124"/>
      <c r="NUL170" s="111"/>
      <c r="NUN170" s="200"/>
      <c r="NUO170" s="201"/>
      <c r="NUP170" s="201"/>
      <c r="NUQ170" s="200"/>
      <c r="NUR170" s="202"/>
      <c r="NUS170" s="203"/>
      <c r="NUT170" s="124"/>
      <c r="NUV170" s="126"/>
      <c r="NUW170" s="124"/>
      <c r="NUY170" s="111"/>
      <c r="NVA170" s="200"/>
      <c r="NVB170" s="201"/>
      <c r="NVC170" s="201"/>
      <c r="NVD170" s="200"/>
      <c r="NVE170" s="202"/>
      <c r="NVF170" s="203"/>
      <c r="NVG170" s="124"/>
      <c r="NVI170" s="126"/>
      <c r="NVJ170" s="124"/>
      <c r="NVL170" s="111"/>
      <c r="NVN170" s="200"/>
      <c r="NVO170" s="201"/>
      <c r="NVP170" s="201"/>
      <c r="NVQ170" s="200"/>
      <c r="NVR170" s="202"/>
      <c r="NVS170" s="203"/>
      <c r="NVT170" s="124"/>
      <c r="NVV170" s="126"/>
      <c r="NVW170" s="124"/>
      <c r="NVY170" s="111"/>
      <c r="NWA170" s="200"/>
      <c r="NWB170" s="201"/>
      <c r="NWC170" s="201"/>
      <c r="NWD170" s="200"/>
      <c r="NWE170" s="202"/>
      <c r="NWF170" s="203"/>
      <c r="NWG170" s="124"/>
      <c r="NWI170" s="126"/>
      <c r="NWJ170" s="124"/>
      <c r="NWL170" s="111"/>
      <c r="NWN170" s="200"/>
      <c r="NWO170" s="201"/>
      <c r="NWP170" s="201"/>
      <c r="NWQ170" s="200"/>
      <c r="NWR170" s="202"/>
      <c r="NWS170" s="203"/>
      <c r="NWT170" s="124"/>
      <c r="NWV170" s="126"/>
      <c r="NWW170" s="124"/>
      <c r="NWY170" s="111"/>
      <c r="NXA170" s="200"/>
      <c r="NXB170" s="201"/>
      <c r="NXC170" s="201"/>
      <c r="NXD170" s="200"/>
      <c r="NXE170" s="202"/>
      <c r="NXF170" s="203"/>
      <c r="NXG170" s="124"/>
      <c r="NXI170" s="126"/>
      <c r="NXJ170" s="124"/>
      <c r="NXL170" s="111"/>
      <c r="NXN170" s="200"/>
      <c r="NXO170" s="201"/>
      <c r="NXP170" s="201"/>
      <c r="NXQ170" s="200"/>
      <c r="NXR170" s="202"/>
      <c r="NXS170" s="203"/>
      <c r="NXT170" s="124"/>
      <c r="NXV170" s="126"/>
      <c r="NXW170" s="124"/>
      <c r="NXY170" s="111"/>
      <c r="NYA170" s="200"/>
      <c r="NYB170" s="201"/>
      <c r="NYC170" s="201"/>
      <c r="NYD170" s="200"/>
      <c r="NYE170" s="202"/>
      <c r="NYF170" s="203"/>
      <c r="NYG170" s="124"/>
      <c r="NYI170" s="126"/>
      <c r="NYJ170" s="124"/>
      <c r="NYL170" s="111"/>
      <c r="NYN170" s="200"/>
      <c r="NYO170" s="201"/>
      <c r="NYP170" s="201"/>
      <c r="NYQ170" s="200"/>
      <c r="NYR170" s="202"/>
      <c r="NYS170" s="203"/>
      <c r="NYT170" s="124"/>
      <c r="NYV170" s="126"/>
      <c r="NYW170" s="124"/>
      <c r="NYY170" s="111"/>
      <c r="NZA170" s="200"/>
      <c r="NZB170" s="201"/>
      <c r="NZC170" s="201"/>
      <c r="NZD170" s="200"/>
      <c r="NZE170" s="202"/>
      <c r="NZF170" s="203"/>
      <c r="NZG170" s="124"/>
      <c r="NZI170" s="126"/>
      <c r="NZJ170" s="124"/>
      <c r="NZL170" s="111"/>
      <c r="NZN170" s="200"/>
      <c r="NZO170" s="201"/>
      <c r="NZP170" s="201"/>
      <c r="NZQ170" s="200"/>
      <c r="NZR170" s="202"/>
      <c r="NZS170" s="203"/>
      <c r="NZT170" s="124"/>
      <c r="NZV170" s="126"/>
      <c r="NZW170" s="124"/>
      <c r="NZY170" s="111"/>
      <c r="OAA170" s="200"/>
      <c r="OAB170" s="201"/>
      <c r="OAC170" s="201"/>
      <c r="OAD170" s="200"/>
      <c r="OAE170" s="202"/>
      <c r="OAF170" s="203"/>
      <c r="OAG170" s="124"/>
      <c r="OAI170" s="126"/>
      <c r="OAJ170" s="124"/>
      <c r="OAL170" s="111"/>
      <c r="OAN170" s="200"/>
      <c r="OAO170" s="201"/>
      <c r="OAP170" s="201"/>
      <c r="OAQ170" s="200"/>
      <c r="OAR170" s="202"/>
      <c r="OAS170" s="203"/>
      <c r="OAT170" s="124"/>
      <c r="OAV170" s="126"/>
      <c r="OAW170" s="124"/>
      <c r="OAY170" s="111"/>
      <c r="OBA170" s="200"/>
      <c r="OBB170" s="201"/>
      <c r="OBC170" s="201"/>
      <c r="OBD170" s="200"/>
      <c r="OBE170" s="202"/>
      <c r="OBF170" s="203"/>
      <c r="OBG170" s="124"/>
      <c r="OBI170" s="126"/>
      <c r="OBJ170" s="124"/>
      <c r="OBL170" s="111"/>
      <c r="OBN170" s="200"/>
      <c r="OBO170" s="201"/>
      <c r="OBP170" s="201"/>
      <c r="OBQ170" s="200"/>
      <c r="OBR170" s="202"/>
      <c r="OBS170" s="203"/>
      <c r="OBT170" s="124"/>
      <c r="OBV170" s="126"/>
      <c r="OBW170" s="124"/>
      <c r="OBY170" s="111"/>
      <c r="OCA170" s="200"/>
      <c r="OCB170" s="201"/>
      <c r="OCC170" s="201"/>
      <c r="OCD170" s="200"/>
      <c r="OCE170" s="202"/>
      <c r="OCF170" s="203"/>
      <c r="OCG170" s="124"/>
      <c r="OCI170" s="126"/>
      <c r="OCJ170" s="124"/>
      <c r="OCL170" s="111"/>
      <c r="OCN170" s="200"/>
      <c r="OCO170" s="201"/>
      <c r="OCP170" s="201"/>
      <c r="OCQ170" s="200"/>
      <c r="OCR170" s="202"/>
      <c r="OCS170" s="203"/>
      <c r="OCT170" s="124"/>
      <c r="OCV170" s="126"/>
      <c r="OCW170" s="124"/>
      <c r="OCY170" s="111"/>
      <c r="ODA170" s="200"/>
      <c r="ODB170" s="201"/>
      <c r="ODC170" s="201"/>
      <c r="ODD170" s="200"/>
      <c r="ODE170" s="202"/>
      <c r="ODF170" s="203"/>
      <c r="ODG170" s="124"/>
      <c r="ODI170" s="126"/>
      <c r="ODJ170" s="124"/>
      <c r="ODL170" s="111"/>
      <c r="ODN170" s="200"/>
      <c r="ODO170" s="201"/>
      <c r="ODP170" s="201"/>
      <c r="ODQ170" s="200"/>
      <c r="ODR170" s="202"/>
      <c r="ODS170" s="203"/>
      <c r="ODT170" s="124"/>
      <c r="ODV170" s="126"/>
      <c r="ODW170" s="124"/>
      <c r="ODY170" s="111"/>
      <c r="OEA170" s="200"/>
      <c r="OEB170" s="201"/>
      <c r="OEC170" s="201"/>
      <c r="OED170" s="200"/>
      <c r="OEE170" s="202"/>
      <c r="OEF170" s="203"/>
      <c r="OEG170" s="124"/>
      <c r="OEI170" s="126"/>
      <c r="OEJ170" s="124"/>
      <c r="OEL170" s="111"/>
      <c r="OEN170" s="200"/>
      <c r="OEO170" s="201"/>
      <c r="OEP170" s="201"/>
      <c r="OEQ170" s="200"/>
      <c r="OER170" s="202"/>
      <c r="OES170" s="203"/>
      <c r="OET170" s="124"/>
      <c r="OEV170" s="126"/>
      <c r="OEW170" s="124"/>
      <c r="OEY170" s="111"/>
      <c r="OFA170" s="200"/>
      <c r="OFB170" s="201"/>
      <c r="OFC170" s="201"/>
      <c r="OFD170" s="200"/>
      <c r="OFE170" s="202"/>
      <c r="OFF170" s="203"/>
      <c r="OFG170" s="124"/>
      <c r="OFI170" s="126"/>
      <c r="OFJ170" s="124"/>
      <c r="OFL170" s="111"/>
      <c r="OFN170" s="200"/>
      <c r="OFO170" s="201"/>
      <c r="OFP170" s="201"/>
      <c r="OFQ170" s="200"/>
      <c r="OFR170" s="202"/>
      <c r="OFS170" s="203"/>
      <c r="OFT170" s="124"/>
      <c r="OFV170" s="126"/>
      <c r="OFW170" s="124"/>
      <c r="OFY170" s="111"/>
      <c r="OGA170" s="200"/>
      <c r="OGB170" s="201"/>
      <c r="OGC170" s="201"/>
      <c r="OGD170" s="200"/>
      <c r="OGE170" s="202"/>
      <c r="OGF170" s="203"/>
      <c r="OGG170" s="124"/>
      <c r="OGI170" s="126"/>
      <c r="OGJ170" s="124"/>
      <c r="OGL170" s="111"/>
      <c r="OGN170" s="200"/>
      <c r="OGO170" s="201"/>
      <c r="OGP170" s="201"/>
      <c r="OGQ170" s="200"/>
      <c r="OGR170" s="202"/>
      <c r="OGS170" s="203"/>
      <c r="OGT170" s="124"/>
      <c r="OGV170" s="126"/>
      <c r="OGW170" s="124"/>
      <c r="OGY170" s="111"/>
      <c r="OHA170" s="200"/>
      <c r="OHB170" s="201"/>
      <c r="OHC170" s="201"/>
      <c r="OHD170" s="200"/>
      <c r="OHE170" s="202"/>
      <c r="OHF170" s="203"/>
      <c r="OHG170" s="124"/>
      <c r="OHI170" s="126"/>
      <c r="OHJ170" s="124"/>
      <c r="OHL170" s="111"/>
      <c r="OHN170" s="200"/>
      <c r="OHO170" s="201"/>
      <c r="OHP170" s="201"/>
      <c r="OHQ170" s="200"/>
      <c r="OHR170" s="202"/>
      <c r="OHS170" s="203"/>
      <c r="OHT170" s="124"/>
      <c r="OHV170" s="126"/>
      <c r="OHW170" s="124"/>
      <c r="OHY170" s="111"/>
      <c r="OIA170" s="200"/>
      <c r="OIB170" s="201"/>
      <c r="OIC170" s="201"/>
      <c r="OID170" s="200"/>
      <c r="OIE170" s="202"/>
      <c r="OIF170" s="203"/>
      <c r="OIG170" s="124"/>
      <c r="OII170" s="126"/>
      <c r="OIJ170" s="124"/>
      <c r="OIL170" s="111"/>
      <c r="OIN170" s="200"/>
      <c r="OIO170" s="201"/>
      <c r="OIP170" s="201"/>
      <c r="OIQ170" s="200"/>
      <c r="OIR170" s="202"/>
      <c r="OIS170" s="203"/>
      <c r="OIT170" s="124"/>
      <c r="OIV170" s="126"/>
      <c r="OIW170" s="124"/>
      <c r="OIY170" s="111"/>
      <c r="OJA170" s="200"/>
      <c r="OJB170" s="201"/>
      <c r="OJC170" s="201"/>
      <c r="OJD170" s="200"/>
      <c r="OJE170" s="202"/>
      <c r="OJF170" s="203"/>
      <c r="OJG170" s="124"/>
      <c r="OJI170" s="126"/>
      <c r="OJJ170" s="124"/>
      <c r="OJL170" s="111"/>
      <c r="OJN170" s="200"/>
      <c r="OJO170" s="201"/>
      <c r="OJP170" s="201"/>
      <c r="OJQ170" s="200"/>
      <c r="OJR170" s="202"/>
      <c r="OJS170" s="203"/>
      <c r="OJT170" s="124"/>
      <c r="OJV170" s="126"/>
      <c r="OJW170" s="124"/>
      <c r="OJY170" s="111"/>
      <c r="OKA170" s="200"/>
      <c r="OKB170" s="201"/>
      <c r="OKC170" s="201"/>
      <c r="OKD170" s="200"/>
      <c r="OKE170" s="202"/>
      <c r="OKF170" s="203"/>
      <c r="OKG170" s="124"/>
      <c r="OKI170" s="126"/>
      <c r="OKJ170" s="124"/>
      <c r="OKL170" s="111"/>
      <c r="OKN170" s="200"/>
      <c r="OKO170" s="201"/>
      <c r="OKP170" s="201"/>
      <c r="OKQ170" s="200"/>
      <c r="OKR170" s="202"/>
      <c r="OKS170" s="203"/>
      <c r="OKT170" s="124"/>
      <c r="OKV170" s="126"/>
      <c r="OKW170" s="124"/>
      <c r="OKY170" s="111"/>
      <c r="OLA170" s="200"/>
      <c r="OLB170" s="201"/>
      <c r="OLC170" s="201"/>
      <c r="OLD170" s="200"/>
      <c r="OLE170" s="202"/>
      <c r="OLF170" s="203"/>
      <c r="OLG170" s="124"/>
      <c r="OLI170" s="126"/>
      <c r="OLJ170" s="124"/>
      <c r="OLL170" s="111"/>
      <c r="OLN170" s="200"/>
      <c r="OLO170" s="201"/>
      <c r="OLP170" s="201"/>
      <c r="OLQ170" s="200"/>
      <c r="OLR170" s="202"/>
      <c r="OLS170" s="203"/>
      <c r="OLT170" s="124"/>
      <c r="OLV170" s="126"/>
      <c r="OLW170" s="124"/>
      <c r="OLY170" s="111"/>
      <c r="OMA170" s="200"/>
      <c r="OMB170" s="201"/>
      <c r="OMC170" s="201"/>
      <c r="OMD170" s="200"/>
      <c r="OME170" s="202"/>
      <c r="OMF170" s="203"/>
      <c r="OMG170" s="124"/>
      <c r="OMI170" s="126"/>
      <c r="OMJ170" s="124"/>
      <c r="OML170" s="111"/>
      <c r="OMN170" s="200"/>
      <c r="OMO170" s="201"/>
      <c r="OMP170" s="201"/>
      <c r="OMQ170" s="200"/>
      <c r="OMR170" s="202"/>
      <c r="OMS170" s="203"/>
      <c r="OMT170" s="124"/>
      <c r="OMV170" s="126"/>
      <c r="OMW170" s="124"/>
      <c r="OMY170" s="111"/>
      <c r="ONA170" s="200"/>
      <c r="ONB170" s="201"/>
      <c r="ONC170" s="201"/>
      <c r="OND170" s="200"/>
      <c r="ONE170" s="202"/>
      <c r="ONF170" s="203"/>
      <c r="ONG170" s="124"/>
      <c r="ONI170" s="126"/>
      <c r="ONJ170" s="124"/>
      <c r="ONL170" s="111"/>
      <c r="ONN170" s="200"/>
      <c r="ONO170" s="201"/>
      <c r="ONP170" s="201"/>
      <c r="ONQ170" s="200"/>
      <c r="ONR170" s="202"/>
      <c r="ONS170" s="203"/>
      <c r="ONT170" s="124"/>
      <c r="ONV170" s="126"/>
      <c r="ONW170" s="124"/>
      <c r="ONY170" s="111"/>
      <c r="OOA170" s="200"/>
      <c r="OOB170" s="201"/>
      <c r="OOC170" s="201"/>
      <c r="OOD170" s="200"/>
      <c r="OOE170" s="202"/>
      <c r="OOF170" s="203"/>
      <c r="OOG170" s="124"/>
      <c r="OOI170" s="126"/>
      <c r="OOJ170" s="124"/>
      <c r="OOL170" s="111"/>
      <c r="OON170" s="200"/>
      <c r="OOO170" s="201"/>
      <c r="OOP170" s="201"/>
      <c r="OOQ170" s="200"/>
      <c r="OOR170" s="202"/>
      <c r="OOS170" s="203"/>
      <c r="OOT170" s="124"/>
      <c r="OOV170" s="126"/>
      <c r="OOW170" s="124"/>
      <c r="OOY170" s="111"/>
      <c r="OPA170" s="200"/>
      <c r="OPB170" s="201"/>
      <c r="OPC170" s="201"/>
      <c r="OPD170" s="200"/>
      <c r="OPE170" s="202"/>
      <c r="OPF170" s="203"/>
      <c r="OPG170" s="124"/>
      <c r="OPI170" s="126"/>
      <c r="OPJ170" s="124"/>
      <c r="OPL170" s="111"/>
      <c r="OPN170" s="200"/>
      <c r="OPO170" s="201"/>
      <c r="OPP170" s="201"/>
      <c r="OPQ170" s="200"/>
      <c r="OPR170" s="202"/>
      <c r="OPS170" s="203"/>
      <c r="OPT170" s="124"/>
      <c r="OPV170" s="126"/>
      <c r="OPW170" s="124"/>
      <c r="OPY170" s="111"/>
      <c r="OQA170" s="200"/>
      <c r="OQB170" s="201"/>
      <c r="OQC170" s="201"/>
      <c r="OQD170" s="200"/>
      <c r="OQE170" s="202"/>
      <c r="OQF170" s="203"/>
      <c r="OQG170" s="124"/>
      <c r="OQI170" s="126"/>
      <c r="OQJ170" s="124"/>
      <c r="OQL170" s="111"/>
      <c r="OQN170" s="200"/>
      <c r="OQO170" s="201"/>
      <c r="OQP170" s="201"/>
      <c r="OQQ170" s="200"/>
      <c r="OQR170" s="202"/>
      <c r="OQS170" s="203"/>
      <c r="OQT170" s="124"/>
      <c r="OQV170" s="126"/>
      <c r="OQW170" s="124"/>
      <c r="OQY170" s="111"/>
      <c r="ORA170" s="200"/>
      <c r="ORB170" s="201"/>
      <c r="ORC170" s="201"/>
      <c r="ORD170" s="200"/>
      <c r="ORE170" s="202"/>
      <c r="ORF170" s="203"/>
      <c r="ORG170" s="124"/>
      <c r="ORI170" s="126"/>
      <c r="ORJ170" s="124"/>
      <c r="ORL170" s="111"/>
      <c r="ORN170" s="200"/>
      <c r="ORO170" s="201"/>
      <c r="ORP170" s="201"/>
      <c r="ORQ170" s="200"/>
      <c r="ORR170" s="202"/>
      <c r="ORS170" s="203"/>
      <c r="ORT170" s="124"/>
      <c r="ORV170" s="126"/>
      <c r="ORW170" s="124"/>
      <c r="ORY170" s="111"/>
      <c r="OSA170" s="200"/>
      <c r="OSB170" s="201"/>
      <c r="OSC170" s="201"/>
      <c r="OSD170" s="200"/>
      <c r="OSE170" s="202"/>
      <c r="OSF170" s="203"/>
      <c r="OSG170" s="124"/>
      <c r="OSI170" s="126"/>
      <c r="OSJ170" s="124"/>
      <c r="OSL170" s="111"/>
      <c r="OSN170" s="200"/>
      <c r="OSO170" s="201"/>
      <c r="OSP170" s="201"/>
      <c r="OSQ170" s="200"/>
      <c r="OSR170" s="202"/>
      <c r="OSS170" s="203"/>
      <c r="OST170" s="124"/>
      <c r="OSV170" s="126"/>
      <c r="OSW170" s="124"/>
      <c r="OSY170" s="111"/>
      <c r="OTA170" s="200"/>
      <c r="OTB170" s="201"/>
      <c r="OTC170" s="201"/>
      <c r="OTD170" s="200"/>
      <c r="OTE170" s="202"/>
      <c r="OTF170" s="203"/>
      <c r="OTG170" s="124"/>
      <c r="OTI170" s="126"/>
      <c r="OTJ170" s="124"/>
      <c r="OTL170" s="111"/>
      <c r="OTN170" s="200"/>
      <c r="OTO170" s="201"/>
      <c r="OTP170" s="201"/>
      <c r="OTQ170" s="200"/>
      <c r="OTR170" s="202"/>
      <c r="OTS170" s="203"/>
      <c r="OTT170" s="124"/>
      <c r="OTV170" s="126"/>
      <c r="OTW170" s="124"/>
      <c r="OTY170" s="111"/>
      <c r="OUA170" s="200"/>
      <c r="OUB170" s="201"/>
      <c r="OUC170" s="201"/>
      <c r="OUD170" s="200"/>
      <c r="OUE170" s="202"/>
      <c r="OUF170" s="203"/>
      <c r="OUG170" s="124"/>
      <c r="OUI170" s="126"/>
      <c r="OUJ170" s="124"/>
      <c r="OUL170" s="111"/>
      <c r="OUN170" s="200"/>
      <c r="OUO170" s="201"/>
      <c r="OUP170" s="201"/>
      <c r="OUQ170" s="200"/>
      <c r="OUR170" s="202"/>
      <c r="OUS170" s="203"/>
      <c r="OUT170" s="124"/>
      <c r="OUV170" s="126"/>
      <c r="OUW170" s="124"/>
      <c r="OUY170" s="111"/>
      <c r="OVA170" s="200"/>
      <c r="OVB170" s="201"/>
      <c r="OVC170" s="201"/>
      <c r="OVD170" s="200"/>
      <c r="OVE170" s="202"/>
      <c r="OVF170" s="203"/>
      <c r="OVG170" s="124"/>
      <c r="OVI170" s="126"/>
      <c r="OVJ170" s="124"/>
      <c r="OVL170" s="111"/>
      <c r="OVN170" s="200"/>
      <c r="OVO170" s="201"/>
      <c r="OVP170" s="201"/>
      <c r="OVQ170" s="200"/>
      <c r="OVR170" s="202"/>
      <c r="OVS170" s="203"/>
      <c r="OVT170" s="124"/>
      <c r="OVV170" s="126"/>
      <c r="OVW170" s="124"/>
      <c r="OVY170" s="111"/>
      <c r="OWA170" s="200"/>
      <c r="OWB170" s="201"/>
      <c r="OWC170" s="201"/>
      <c r="OWD170" s="200"/>
      <c r="OWE170" s="202"/>
      <c r="OWF170" s="203"/>
      <c r="OWG170" s="124"/>
      <c r="OWI170" s="126"/>
      <c r="OWJ170" s="124"/>
      <c r="OWL170" s="111"/>
      <c r="OWN170" s="200"/>
      <c r="OWO170" s="201"/>
      <c r="OWP170" s="201"/>
      <c r="OWQ170" s="200"/>
      <c r="OWR170" s="202"/>
      <c r="OWS170" s="203"/>
      <c r="OWT170" s="124"/>
      <c r="OWV170" s="126"/>
      <c r="OWW170" s="124"/>
      <c r="OWY170" s="111"/>
      <c r="OXA170" s="200"/>
      <c r="OXB170" s="201"/>
      <c r="OXC170" s="201"/>
      <c r="OXD170" s="200"/>
      <c r="OXE170" s="202"/>
      <c r="OXF170" s="203"/>
      <c r="OXG170" s="124"/>
      <c r="OXI170" s="126"/>
      <c r="OXJ170" s="124"/>
      <c r="OXL170" s="111"/>
      <c r="OXN170" s="200"/>
      <c r="OXO170" s="201"/>
      <c r="OXP170" s="201"/>
      <c r="OXQ170" s="200"/>
      <c r="OXR170" s="202"/>
      <c r="OXS170" s="203"/>
      <c r="OXT170" s="124"/>
      <c r="OXV170" s="126"/>
      <c r="OXW170" s="124"/>
      <c r="OXY170" s="111"/>
      <c r="OYA170" s="200"/>
      <c r="OYB170" s="201"/>
      <c r="OYC170" s="201"/>
      <c r="OYD170" s="200"/>
      <c r="OYE170" s="202"/>
      <c r="OYF170" s="203"/>
      <c r="OYG170" s="124"/>
      <c r="OYI170" s="126"/>
      <c r="OYJ170" s="124"/>
      <c r="OYL170" s="111"/>
      <c r="OYN170" s="200"/>
      <c r="OYO170" s="201"/>
      <c r="OYP170" s="201"/>
      <c r="OYQ170" s="200"/>
      <c r="OYR170" s="202"/>
      <c r="OYS170" s="203"/>
      <c r="OYT170" s="124"/>
      <c r="OYV170" s="126"/>
      <c r="OYW170" s="124"/>
      <c r="OYY170" s="111"/>
      <c r="OZA170" s="200"/>
      <c r="OZB170" s="201"/>
      <c r="OZC170" s="201"/>
      <c r="OZD170" s="200"/>
      <c r="OZE170" s="202"/>
      <c r="OZF170" s="203"/>
      <c r="OZG170" s="124"/>
      <c r="OZI170" s="126"/>
      <c r="OZJ170" s="124"/>
      <c r="OZL170" s="111"/>
      <c r="OZN170" s="200"/>
      <c r="OZO170" s="201"/>
      <c r="OZP170" s="201"/>
      <c r="OZQ170" s="200"/>
      <c r="OZR170" s="202"/>
      <c r="OZS170" s="203"/>
      <c r="OZT170" s="124"/>
      <c r="OZV170" s="126"/>
      <c r="OZW170" s="124"/>
      <c r="OZY170" s="111"/>
      <c r="PAA170" s="200"/>
      <c r="PAB170" s="201"/>
      <c r="PAC170" s="201"/>
      <c r="PAD170" s="200"/>
      <c r="PAE170" s="202"/>
      <c r="PAF170" s="203"/>
      <c r="PAG170" s="124"/>
      <c r="PAI170" s="126"/>
      <c r="PAJ170" s="124"/>
      <c r="PAL170" s="111"/>
      <c r="PAN170" s="200"/>
      <c r="PAO170" s="201"/>
      <c r="PAP170" s="201"/>
      <c r="PAQ170" s="200"/>
      <c r="PAR170" s="202"/>
      <c r="PAS170" s="203"/>
      <c r="PAT170" s="124"/>
      <c r="PAV170" s="126"/>
      <c r="PAW170" s="124"/>
      <c r="PAY170" s="111"/>
      <c r="PBA170" s="200"/>
      <c r="PBB170" s="201"/>
      <c r="PBC170" s="201"/>
      <c r="PBD170" s="200"/>
      <c r="PBE170" s="202"/>
      <c r="PBF170" s="203"/>
      <c r="PBG170" s="124"/>
      <c r="PBI170" s="126"/>
      <c r="PBJ170" s="124"/>
      <c r="PBL170" s="111"/>
      <c r="PBN170" s="200"/>
      <c r="PBO170" s="201"/>
      <c r="PBP170" s="201"/>
      <c r="PBQ170" s="200"/>
      <c r="PBR170" s="202"/>
      <c r="PBS170" s="203"/>
      <c r="PBT170" s="124"/>
      <c r="PBV170" s="126"/>
      <c r="PBW170" s="124"/>
      <c r="PBY170" s="111"/>
      <c r="PCA170" s="200"/>
      <c r="PCB170" s="201"/>
      <c r="PCC170" s="201"/>
      <c r="PCD170" s="200"/>
      <c r="PCE170" s="202"/>
      <c r="PCF170" s="203"/>
      <c r="PCG170" s="124"/>
      <c r="PCI170" s="126"/>
      <c r="PCJ170" s="124"/>
      <c r="PCL170" s="111"/>
      <c r="PCN170" s="200"/>
      <c r="PCO170" s="201"/>
      <c r="PCP170" s="201"/>
      <c r="PCQ170" s="200"/>
      <c r="PCR170" s="202"/>
      <c r="PCS170" s="203"/>
      <c r="PCT170" s="124"/>
      <c r="PCV170" s="126"/>
      <c r="PCW170" s="124"/>
      <c r="PCY170" s="111"/>
      <c r="PDA170" s="200"/>
      <c r="PDB170" s="201"/>
      <c r="PDC170" s="201"/>
      <c r="PDD170" s="200"/>
      <c r="PDE170" s="202"/>
      <c r="PDF170" s="203"/>
      <c r="PDG170" s="124"/>
      <c r="PDI170" s="126"/>
      <c r="PDJ170" s="124"/>
      <c r="PDL170" s="111"/>
      <c r="PDN170" s="200"/>
      <c r="PDO170" s="201"/>
      <c r="PDP170" s="201"/>
      <c r="PDQ170" s="200"/>
      <c r="PDR170" s="202"/>
      <c r="PDS170" s="203"/>
      <c r="PDT170" s="124"/>
      <c r="PDV170" s="126"/>
      <c r="PDW170" s="124"/>
      <c r="PDY170" s="111"/>
      <c r="PEA170" s="200"/>
      <c r="PEB170" s="201"/>
      <c r="PEC170" s="201"/>
      <c r="PED170" s="200"/>
      <c r="PEE170" s="202"/>
      <c r="PEF170" s="203"/>
      <c r="PEG170" s="124"/>
      <c r="PEI170" s="126"/>
      <c r="PEJ170" s="124"/>
      <c r="PEL170" s="111"/>
      <c r="PEN170" s="200"/>
      <c r="PEO170" s="201"/>
      <c r="PEP170" s="201"/>
      <c r="PEQ170" s="200"/>
      <c r="PER170" s="202"/>
      <c r="PES170" s="203"/>
      <c r="PET170" s="124"/>
      <c r="PEV170" s="126"/>
      <c r="PEW170" s="124"/>
      <c r="PEY170" s="111"/>
      <c r="PFA170" s="200"/>
      <c r="PFB170" s="201"/>
      <c r="PFC170" s="201"/>
      <c r="PFD170" s="200"/>
      <c r="PFE170" s="202"/>
      <c r="PFF170" s="203"/>
      <c r="PFG170" s="124"/>
      <c r="PFI170" s="126"/>
      <c r="PFJ170" s="124"/>
      <c r="PFL170" s="111"/>
      <c r="PFN170" s="200"/>
      <c r="PFO170" s="201"/>
      <c r="PFP170" s="201"/>
      <c r="PFQ170" s="200"/>
      <c r="PFR170" s="202"/>
      <c r="PFS170" s="203"/>
      <c r="PFT170" s="124"/>
      <c r="PFV170" s="126"/>
      <c r="PFW170" s="124"/>
      <c r="PFY170" s="111"/>
      <c r="PGA170" s="200"/>
      <c r="PGB170" s="201"/>
      <c r="PGC170" s="201"/>
      <c r="PGD170" s="200"/>
      <c r="PGE170" s="202"/>
      <c r="PGF170" s="203"/>
      <c r="PGG170" s="124"/>
      <c r="PGI170" s="126"/>
      <c r="PGJ170" s="124"/>
      <c r="PGL170" s="111"/>
      <c r="PGN170" s="200"/>
      <c r="PGO170" s="201"/>
      <c r="PGP170" s="201"/>
      <c r="PGQ170" s="200"/>
      <c r="PGR170" s="202"/>
      <c r="PGS170" s="203"/>
      <c r="PGT170" s="124"/>
      <c r="PGV170" s="126"/>
      <c r="PGW170" s="124"/>
      <c r="PGY170" s="111"/>
      <c r="PHA170" s="200"/>
      <c r="PHB170" s="201"/>
      <c r="PHC170" s="201"/>
      <c r="PHD170" s="200"/>
      <c r="PHE170" s="202"/>
      <c r="PHF170" s="203"/>
      <c r="PHG170" s="124"/>
      <c r="PHI170" s="126"/>
      <c r="PHJ170" s="124"/>
      <c r="PHL170" s="111"/>
      <c r="PHN170" s="200"/>
      <c r="PHO170" s="201"/>
      <c r="PHP170" s="201"/>
      <c r="PHQ170" s="200"/>
      <c r="PHR170" s="202"/>
      <c r="PHS170" s="203"/>
      <c r="PHT170" s="124"/>
      <c r="PHV170" s="126"/>
      <c r="PHW170" s="124"/>
      <c r="PHY170" s="111"/>
      <c r="PIA170" s="200"/>
      <c r="PIB170" s="201"/>
      <c r="PIC170" s="201"/>
      <c r="PID170" s="200"/>
      <c r="PIE170" s="202"/>
      <c r="PIF170" s="203"/>
      <c r="PIG170" s="124"/>
      <c r="PII170" s="126"/>
      <c r="PIJ170" s="124"/>
      <c r="PIL170" s="111"/>
      <c r="PIN170" s="200"/>
      <c r="PIO170" s="201"/>
      <c r="PIP170" s="201"/>
      <c r="PIQ170" s="200"/>
      <c r="PIR170" s="202"/>
      <c r="PIS170" s="203"/>
      <c r="PIT170" s="124"/>
      <c r="PIV170" s="126"/>
      <c r="PIW170" s="124"/>
      <c r="PIY170" s="111"/>
      <c r="PJA170" s="200"/>
      <c r="PJB170" s="201"/>
      <c r="PJC170" s="201"/>
      <c r="PJD170" s="200"/>
      <c r="PJE170" s="202"/>
      <c r="PJF170" s="203"/>
      <c r="PJG170" s="124"/>
      <c r="PJI170" s="126"/>
      <c r="PJJ170" s="124"/>
      <c r="PJL170" s="111"/>
      <c r="PJN170" s="200"/>
      <c r="PJO170" s="201"/>
      <c r="PJP170" s="201"/>
      <c r="PJQ170" s="200"/>
      <c r="PJR170" s="202"/>
      <c r="PJS170" s="203"/>
      <c r="PJT170" s="124"/>
      <c r="PJV170" s="126"/>
      <c r="PJW170" s="124"/>
      <c r="PJY170" s="111"/>
      <c r="PKA170" s="200"/>
      <c r="PKB170" s="201"/>
      <c r="PKC170" s="201"/>
      <c r="PKD170" s="200"/>
      <c r="PKE170" s="202"/>
      <c r="PKF170" s="203"/>
      <c r="PKG170" s="124"/>
      <c r="PKI170" s="126"/>
      <c r="PKJ170" s="124"/>
      <c r="PKL170" s="111"/>
      <c r="PKN170" s="200"/>
      <c r="PKO170" s="201"/>
      <c r="PKP170" s="201"/>
      <c r="PKQ170" s="200"/>
      <c r="PKR170" s="202"/>
      <c r="PKS170" s="203"/>
      <c r="PKT170" s="124"/>
      <c r="PKV170" s="126"/>
      <c r="PKW170" s="124"/>
      <c r="PKY170" s="111"/>
      <c r="PLA170" s="200"/>
      <c r="PLB170" s="201"/>
      <c r="PLC170" s="201"/>
      <c r="PLD170" s="200"/>
      <c r="PLE170" s="202"/>
      <c r="PLF170" s="203"/>
      <c r="PLG170" s="124"/>
      <c r="PLI170" s="126"/>
      <c r="PLJ170" s="124"/>
      <c r="PLL170" s="111"/>
      <c r="PLN170" s="200"/>
      <c r="PLO170" s="201"/>
      <c r="PLP170" s="201"/>
      <c r="PLQ170" s="200"/>
      <c r="PLR170" s="202"/>
      <c r="PLS170" s="203"/>
      <c r="PLT170" s="124"/>
      <c r="PLV170" s="126"/>
      <c r="PLW170" s="124"/>
      <c r="PLY170" s="111"/>
      <c r="PMA170" s="200"/>
      <c r="PMB170" s="201"/>
      <c r="PMC170" s="201"/>
      <c r="PMD170" s="200"/>
      <c r="PME170" s="202"/>
      <c r="PMF170" s="203"/>
      <c r="PMG170" s="124"/>
      <c r="PMI170" s="126"/>
      <c r="PMJ170" s="124"/>
      <c r="PML170" s="111"/>
      <c r="PMN170" s="200"/>
      <c r="PMO170" s="201"/>
      <c r="PMP170" s="201"/>
      <c r="PMQ170" s="200"/>
      <c r="PMR170" s="202"/>
      <c r="PMS170" s="203"/>
      <c r="PMT170" s="124"/>
      <c r="PMV170" s="126"/>
      <c r="PMW170" s="124"/>
      <c r="PMY170" s="111"/>
      <c r="PNA170" s="200"/>
      <c r="PNB170" s="201"/>
      <c r="PNC170" s="201"/>
      <c r="PND170" s="200"/>
      <c r="PNE170" s="202"/>
      <c r="PNF170" s="203"/>
      <c r="PNG170" s="124"/>
      <c r="PNI170" s="126"/>
      <c r="PNJ170" s="124"/>
      <c r="PNL170" s="111"/>
      <c r="PNN170" s="200"/>
      <c r="PNO170" s="201"/>
      <c r="PNP170" s="201"/>
      <c r="PNQ170" s="200"/>
      <c r="PNR170" s="202"/>
      <c r="PNS170" s="203"/>
      <c r="PNT170" s="124"/>
      <c r="PNV170" s="126"/>
      <c r="PNW170" s="124"/>
      <c r="PNY170" s="111"/>
      <c r="POA170" s="200"/>
      <c r="POB170" s="201"/>
      <c r="POC170" s="201"/>
      <c r="POD170" s="200"/>
      <c r="POE170" s="202"/>
      <c r="POF170" s="203"/>
      <c r="POG170" s="124"/>
      <c r="POI170" s="126"/>
      <c r="POJ170" s="124"/>
      <c r="POL170" s="111"/>
      <c r="PON170" s="200"/>
      <c r="POO170" s="201"/>
      <c r="POP170" s="201"/>
      <c r="POQ170" s="200"/>
      <c r="POR170" s="202"/>
      <c r="POS170" s="203"/>
      <c r="POT170" s="124"/>
      <c r="POV170" s="126"/>
      <c r="POW170" s="124"/>
      <c r="POY170" s="111"/>
      <c r="PPA170" s="200"/>
      <c r="PPB170" s="201"/>
      <c r="PPC170" s="201"/>
      <c r="PPD170" s="200"/>
      <c r="PPE170" s="202"/>
      <c r="PPF170" s="203"/>
      <c r="PPG170" s="124"/>
      <c r="PPI170" s="126"/>
      <c r="PPJ170" s="124"/>
      <c r="PPL170" s="111"/>
      <c r="PPN170" s="200"/>
      <c r="PPO170" s="201"/>
      <c r="PPP170" s="201"/>
      <c r="PPQ170" s="200"/>
      <c r="PPR170" s="202"/>
      <c r="PPS170" s="203"/>
      <c r="PPT170" s="124"/>
      <c r="PPV170" s="126"/>
      <c r="PPW170" s="124"/>
      <c r="PPY170" s="111"/>
      <c r="PQA170" s="200"/>
      <c r="PQB170" s="201"/>
      <c r="PQC170" s="201"/>
      <c r="PQD170" s="200"/>
      <c r="PQE170" s="202"/>
      <c r="PQF170" s="203"/>
      <c r="PQG170" s="124"/>
      <c r="PQI170" s="126"/>
      <c r="PQJ170" s="124"/>
      <c r="PQL170" s="111"/>
      <c r="PQN170" s="200"/>
      <c r="PQO170" s="201"/>
      <c r="PQP170" s="201"/>
      <c r="PQQ170" s="200"/>
      <c r="PQR170" s="202"/>
      <c r="PQS170" s="203"/>
      <c r="PQT170" s="124"/>
      <c r="PQV170" s="126"/>
      <c r="PQW170" s="124"/>
      <c r="PQY170" s="111"/>
      <c r="PRA170" s="200"/>
      <c r="PRB170" s="201"/>
      <c r="PRC170" s="201"/>
      <c r="PRD170" s="200"/>
      <c r="PRE170" s="202"/>
      <c r="PRF170" s="203"/>
      <c r="PRG170" s="124"/>
      <c r="PRI170" s="126"/>
      <c r="PRJ170" s="124"/>
      <c r="PRL170" s="111"/>
      <c r="PRN170" s="200"/>
      <c r="PRO170" s="201"/>
      <c r="PRP170" s="201"/>
      <c r="PRQ170" s="200"/>
      <c r="PRR170" s="202"/>
      <c r="PRS170" s="203"/>
      <c r="PRT170" s="124"/>
      <c r="PRV170" s="126"/>
      <c r="PRW170" s="124"/>
      <c r="PRY170" s="111"/>
      <c r="PSA170" s="200"/>
      <c r="PSB170" s="201"/>
      <c r="PSC170" s="201"/>
      <c r="PSD170" s="200"/>
      <c r="PSE170" s="202"/>
      <c r="PSF170" s="203"/>
      <c r="PSG170" s="124"/>
      <c r="PSI170" s="126"/>
      <c r="PSJ170" s="124"/>
      <c r="PSL170" s="111"/>
      <c r="PSN170" s="200"/>
      <c r="PSO170" s="201"/>
      <c r="PSP170" s="201"/>
      <c r="PSQ170" s="200"/>
      <c r="PSR170" s="202"/>
      <c r="PSS170" s="203"/>
      <c r="PST170" s="124"/>
      <c r="PSV170" s="126"/>
      <c r="PSW170" s="124"/>
      <c r="PSY170" s="111"/>
      <c r="PTA170" s="200"/>
      <c r="PTB170" s="201"/>
      <c r="PTC170" s="201"/>
      <c r="PTD170" s="200"/>
      <c r="PTE170" s="202"/>
      <c r="PTF170" s="203"/>
      <c r="PTG170" s="124"/>
      <c r="PTI170" s="126"/>
      <c r="PTJ170" s="124"/>
      <c r="PTL170" s="111"/>
      <c r="PTN170" s="200"/>
      <c r="PTO170" s="201"/>
      <c r="PTP170" s="201"/>
      <c r="PTQ170" s="200"/>
      <c r="PTR170" s="202"/>
      <c r="PTS170" s="203"/>
      <c r="PTT170" s="124"/>
      <c r="PTV170" s="126"/>
      <c r="PTW170" s="124"/>
      <c r="PTY170" s="111"/>
      <c r="PUA170" s="200"/>
      <c r="PUB170" s="201"/>
      <c r="PUC170" s="201"/>
      <c r="PUD170" s="200"/>
      <c r="PUE170" s="202"/>
      <c r="PUF170" s="203"/>
      <c r="PUG170" s="124"/>
      <c r="PUI170" s="126"/>
      <c r="PUJ170" s="124"/>
      <c r="PUL170" s="111"/>
      <c r="PUN170" s="200"/>
      <c r="PUO170" s="201"/>
      <c r="PUP170" s="201"/>
      <c r="PUQ170" s="200"/>
      <c r="PUR170" s="202"/>
      <c r="PUS170" s="203"/>
      <c r="PUT170" s="124"/>
      <c r="PUV170" s="126"/>
      <c r="PUW170" s="124"/>
      <c r="PUY170" s="111"/>
      <c r="PVA170" s="200"/>
      <c r="PVB170" s="201"/>
      <c r="PVC170" s="201"/>
      <c r="PVD170" s="200"/>
      <c r="PVE170" s="202"/>
      <c r="PVF170" s="203"/>
      <c r="PVG170" s="124"/>
      <c r="PVI170" s="126"/>
      <c r="PVJ170" s="124"/>
      <c r="PVL170" s="111"/>
      <c r="PVN170" s="200"/>
      <c r="PVO170" s="201"/>
      <c r="PVP170" s="201"/>
      <c r="PVQ170" s="200"/>
      <c r="PVR170" s="202"/>
      <c r="PVS170" s="203"/>
      <c r="PVT170" s="124"/>
      <c r="PVV170" s="126"/>
      <c r="PVW170" s="124"/>
      <c r="PVY170" s="111"/>
      <c r="PWA170" s="200"/>
      <c r="PWB170" s="201"/>
      <c r="PWC170" s="201"/>
      <c r="PWD170" s="200"/>
      <c r="PWE170" s="202"/>
      <c r="PWF170" s="203"/>
      <c r="PWG170" s="124"/>
      <c r="PWI170" s="126"/>
      <c r="PWJ170" s="124"/>
      <c r="PWL170" s="111"/>
      <c r="PWN170" s="200"/>
      <c r="PWO170" s="201"/>
      <c r="PWP170" s="201"/>
      <c r="PWQ170" s="200"/>
      <c r="PWR170" s="202"/>
      <c r="PWS170" s="203"/>
      <c r="PWT170" s="124"/>
      <c r="PWV170" s="126"/>
      <c r="PWW170" s="124"/>
      <c r="PWY170" s="111"/>
      <c r="PXA170" s="200"/>
      <c r="PXB170" s="201"/>
      <c r="PXC170" s="201"/>
      <c r="PXD170" s="200"/>
      <c r="PXE170" s="202"/>
      <c r="PXF170" s="203"/>
      <c r="PXG170" s="124"/>
      <c r="PXI170" s="126"/>
      <c r="PXJ170" s="124"/>
      <c r="PXL170" s="111"/>
      <c r="PXN170" s="200"/>
      <c r="PXO170" s="201"/>
      <c r="PXP170" s="201"/>
      <c r="PXQ170" s="200"/>
      <c r="PXR170" s="202"/>
      <c r="PXS170" s="203"/>
      <c r="PXT170" s="124"/>
      <c r="PXV170" s="126"/>
      <c r="PXW170" s="124"/>
      <c r="PXY170" s="111"/>
      <c r="PYA170" s="200"/>
      <c r="PYB170" s="201"/>
      <c r="PYC170" s="201"/>
      <c r="PYD170" s="200"/>
      <c r="PYE170" s="202"/>
      <c r="PYF170" s="203"/>
      <c r="PYG170" s="124"/>
      <c r="PYI170" s="126"/>
      <c r="PYJ170" s="124"/>
      <c r="PYL170" s="111"/>
      <c r="PYN170" s="200"/>
      <c r="PYO170" s="201"/>
      <c r="PYP170" s="201"/>
      <c r="PYQ170" s="200"/>
      <c r="PYR170" s="202"/>
      <c r="PYS170" s="203"/>
      <c r="PYT170" s="124"/>
      <c r="PYV170" s="126"/>
      <c r="PYW170" s="124"/>
      <c r="PYY170" s="111"/>
      <c r="PZA170" s="200"/>
      <c r="PZB170" s="201"/>
      <c r="PZC170" s="201"/>
      <c r="PZD170" s="200"/>
      <c r="PZE170" s="202"/>
      <c r="PZF170" s="203"/>
      <c r="PZG170" s="124"/>
      <c r="PZI170" s="126"/>
      <c r="PZJ170" s="124"/>
      <c r="PZL170" s="111"/>
      <c r="PZN170" s="200"/>
      <c r="PZO170" s="201"/>
      <c r="PZP170" s="201"/>
      <c r="PZQ170" s="200"/>
      <c r="PZR170" s="202"/>
      <c r="PZS170" s="203"/>
      <c r="PZT170" s="124"/>
      <c r="PZV170" s="126"/>
      <c r="PZW170" s="124"/>
      <c r="PZY170" s="111"/>
      <c r="QAA170" s="200"/>
      <c r="QAB170" s="201"/>
      <c r="QAC170" s="201"/>
      <c r="QAD170" s="200"/>
      <c r="QAE170" s="202"/>
      <c r="QAF170" s="203"/>
      <c r="QAG170" s="124"/>
      <c r="QAI170" s="126"/>
      <c r="QAJ170" s="124"/>
      <c r="QAL170" s="111"/>
      <c r="QAN170" s="200"/>
      <c r="QAO170" s="201"/>
      <c r="QAP170" s="201"/>
      <c r="QAQ170" s="200"/>
      <c r="QAR170" s="202"/>
      <c r="QAS170" s="203"/>
      <c r="QAT170" s="124"/>
      <c r="QAV170" s="126"/>
      <c r="QAW170" s="124"/>
      <c r="QAY170" s="111"/>
      <c r="QBA170" s="200"/>
      <c r="QBB170" s="201"/>
      <c r="QBC170" s="201"/>
      <c r="QBD170" s="200"/>
      <c r="QBE170" s="202"/>
      <c r="QBF170" s="203"/>
      <c r="QBG170" s="124"/>
      <c r="QBI170" s="126"/>
      <c r="QBJ170" s="124"/>
      <c r="QBL170" s="111"/>
      <c r="QBN170" s="200"/>
      <c r="QBO170" s="201"/>
      <c r="QBP170" s="201"/>
      <c r="QBQ170" s="200"/>
      <c r="QBR170" s="202"/>
      <c r="QBS170" s="203"/>
      <c r="QBT170" s="124"/>
      <c r="QBV170" s="126"/>
      <c r="QBW170" s="124"/>
      <c r="QBY170" s="111"/>
      <c r="QCA170" s="200"/>
      <c r="QCB170" s="201"/>
      <c r="QCC170" s="201"/>
      <c r="QCD170" s="200"/>
      <c r="QCE170" s="202"/>
      <c r="QCF170" s="203"/>
      <c r="QCG170" s="124"/>
      <c r="QCI170" s="126"/>
      <c r="QCJ170" s="124"/>
      <c r="QCL170" s="111"/>
      <c r="QCN170" s="200"/>
      <c r="QCO170" s="201"/>
      <c r="QCP170" s="201"/>
      <c r="QCQ170" s="200"/>
      <c r="QCR170" s="202"/>
      <c r="QCS170" s="203"/>
      <c r="QCT170" s="124"/>
      <c r="QCV170" s="126"/>
      <c r="QCW170" s="124"/>
      <c r="QCY170" s="111"/>
      <c r="QDA170" s="200"/>
      <c r="QDB170" s="201"/>
      <c r="QDC170" s="201"/>
      <c r="QDD170" s="200"/>
      <c r="QDE170" s="202"/>
      <c r="QDF170" s="203"/>
      <c r="QDG170" s="124"/>
      <c r="QDI170" s="126"/>
      <c r="QDJ170" s="124"/>
      <c r="QDL170" s="111"/>
      <c r="QDN170" s="200"/>
      <c r="QDO170" s="201"/>
      <c r="QDP170" s="201"/>
      <c r="QDQ170" s="200"/>
      <c r="QDR170" s="202"/>
      <c r="QDS170" s="203"/>
      <c r="QDT170" s="124"/>
      <c r="QDV170" s="126"/>
      <c r="QDW170" s="124"/>
      <c r="QDY170" s="111"/>
      <c r="QEA170" s="200"/>
      <c r="QEB170" s="201"/>
      <c r="QEC170" s="201"/>
      <c r="QED170" s="200"/>
      <c r="QEE170" s="202"/>
      <c r="QEF170" s="203"/>
      <c r="QEG170" s="124"/>
      <c r="QEI170" s="126"/>
      <c r="QEJ170" s="124"/>
      <c r="QEL170" s="111"/>
      <c r="QEN170" s="200"/>
      <c r="QEO170" s="201"/>
      <c r="QEP170" s="201"/>
      <c r="QEQ170" s="200"/>
      <c r="QER170" s="202"/>
      <c r="QES170" s="203"/>
      <c r="QET170" s="124"/>
      <c r="QEV170" s="126"/>
      <c r="QEW170" s="124"/>
      <c r="QEY170" s="111"/>
      <c r="QFA170" s="200"/>
      <c r="QFB170" s="201"/>
      <c r="QFC170" s="201"/>
      <c r="QFD170" s="200"/>
      <c r="QFE170" s="202"/>
      <c r="QFF170" s="203"/>
      <c r="QFG170" s="124"/>
      <c r="QFI170" s="126"/>
      <c r="QFJ170" s="124"/>
      <c r="QFL170" s="111"/>
      <c r="QFN170" s="200"/>
      <c r="QFO170" s="201"/>
      <c r="QFP170" s="201"/>
      <c r="QFQ170" s="200"/>
      <c r="QFR170" s="202"/>
      <c r="QFS170" s="203"/>
      <c r="QFT170" s="124"/>
      <c r="QFV170" s="126"/>
      <c r="QFW170" s="124"/>
      <c r="QFY170" s="111"/>
      <c r="QGA170" s="200"/>
      <c r="QGB170" s="201"/>
      <c r="QGC170" s="201"/>
      <c r="QGD170" s="200"/>
      <c r="QGE170" s="202"/>
      <c r="QGF170" s="203"/>
      <c r="QGG170" s="124"/>
      <c r="QGI170" s="126"/>
      <c r="QGJ170" s="124"/>
      <c r="QGL170" s="111"/>
      <c r="QGN170" s="200"/>
      <c r="QGO170" s="201"/>
      <c r="QGP170" s="201"/>
      <c r="QGQ170" s="200"/>
      <c r="QGR170" s="202"/>
      <c r="QGS170" s="203"/>
      <c r="QGT170" s="124"/>
      <c r="QGV170" s="126"/>
      <c r="QGW170" s="124"/>
      <c r="QGY170" s="111"/>
      <c r="QHA170" s="200"/>
      <c r="QHB170" s="201"/>
      <c r="QHC170" s="201"/>
      <c r="QHD170" s="200"/>
      <c r="QHE170" s="202"/>
      <c r="QHF170" s="203"/>
      <c r="QHG170" s="124"/>
      <c r="QHI170" s="126"/>
      <c r="QHJ170" s="124"/>
      <c r="QHL170" s="111"/>
      <c r="QHN170" s="200"/>
      <c r="QHO170" s="201"/>
      <c r="QHP170" s="201"/>
      <c r="QHQ170" s="200"/>
      <c r="QHR170" s="202"/>
      <c r="QHS170" s="203"/>
      <c r="QHT170" s="124"/>
      <c r="QHV170" s="126"/>
      <c r="QHW170" s="124"/>
      <c r="QHY170" s="111"/>
      <c r="QIA170" s="200"/>
      <c r="QIB170" s="201"/>
      <c r="QIC170" s="201"/>
      <c r="QID170" s="200"/>
      <c r="QIE170" s="202"/>
      <c r="QIF170" s="203"/>
      <c r="QIG170" s="124"/>
      <c r="QII170" s="126"/>
      <c r="QIJ170" s="124"/>
      <c r="QIL170" s="111"/>
      <c r="QIN170" s="200"/>
      <c r="QIO170" s="201"/>
      <c r="QIP170" s="201"/>
      <c r="QIQ170" s="200"/>
      <c r="QIR170" s="202"/>
      <c r="QIS170" s="203"/>
      <c r="QIT170" s="124"/>
      <c r="QIV170" s="126"/>
      <c r="QIW170" s="124"/>
      <c r="QIY170" s="111"/>
      <c r="QJA170" s="200"/>
      <c r="QJB170" s="201"/>
      <c r="QJC170" s="201"/>
      <c r="QJD170" s="200"/>
      <c r="QJE170" s="202"/>
      <c r="QJF170" s="203"/>
      <c r="QJG170" s="124"/>
      <c r="QJI170" s="126"/>
      <c r="QJJ170" s="124"/>
      <c r="QJL170" s="111"/>
      <c r="QJN170" s="200"/>
      <c r="QJO170" s="201"/>
      <c r="QJP170" s="201"/>
      <c r="QJQ170" s="200"/>
      <c r="QJR170" s="202"/>
      <c r="QJS170" s="203"/>
      <c r="QJT170" s="124"/>
      <c r="QJV170" s="126"/>
      <c r="QJW170" s="124"/>
      <c r="QJY170" s="111"/>
      <c r="QKA170" s="200"/>
      <c r="QKB170" s="201"/>
      <c r="QKC170" s="201"/>
      <c r="QKD170" s="200"/>
      <c r="QKE170" s="202"/>
      <c r="QKF170" s="203"/>
      <c r="QKG170" s="124"/>
      <c r="QKI170" s="126"/>
      <c r="QKJ170" s="124"/>
      <c r="QKL170" s="111"/>
      <c r="QKN170" s="200"/>
      <c r="QKO170" s="201"/>
      <c r="QKP170" s="201"/>
      <c r="QKQ170" s="200"/>
      <c r="QKR170" s="202"/>
      <c r="QKS170" s="203"/>
      <c r="QKT170" s="124"/>
      <c r="QKV170" s="126"/>
      <c r="QKW170" s="124"/>
      <c r="QKY170" s="111"/>
      <c r="QLA170" s="200"/>
      <c r="QLB170" s="201"/>
      <c r="QLC170" s="201"/>
      <c r="QLD170" s="200"/>
      <c r="QLE170" s="202"/>
      <c r="QLF170" s="203"/>
      <c r="QLG170" s="124"/>
      <c r="QLI170" s="126"/>
      <c r="QLJ170" s="124"/>
      <c r="QLL170" s="111"/>
      <c r="QLN170" s="200"/>
      <c r="QLO170" s="201"/>
      <c r="QLP170" s="201"/>
      <c r="QLQ170" s="200"/>
      <c r="QLR170" s="202"/>
      <c r="QLS170" s="203"/>
      <c r="QLT170" s="124"/>
      <c r="QLV170" s="126"/>
      <c r="QLW170" s="124"/>
      <c r="QLY170" s="111"/>
      <c r="QMA170" s="200"/>
      <c r="QMB170" s="201"/>
      <c r="QMC170" s="201"/>
      <c r="QMD170" s="200"/>
      <c r="QME170" s="202"/>
      <c r="QMF170" s="203"/>
      <c r="QMG170" s="124"/>
      <c r="QMI170" s="126"/>
      <c r="QMJ170" s="124"/>
      <c r="QML170" s="111"/>
      <c r="QMN170" s="200"/>
      <c r="QMO170" s="201"/>
      <c r="QMP170" s="201"/>
      <c r="QMQ170" s="200"/>
      <c r="QMR170" s="202"/>
      <c r="QMS170" s="203"/>
      <c r="QMT170" s="124"/>
      <c r="QMV170" s="126"/>
      <c r="QMW170" s="124"/>
      <c r="QMY170" s="111"/>
      <c r="QNA170" s="200"/>
      <c r="QNB170" s="201"/>
      <c r="QNC170" s="201"/>
      <c r="QND170" s="200"/>
      <c r="QNE170" s="202"/>
      <c r="QNF170" s="203"/>
      <c r="QNG170" s="124"/>
      <c r="QNI170" s="126"/>
      <c r="QNJ170" s="124"/>
      <c r="QNL170" s="111"/>
      <c r="QNN170" s="200"/>
      <c r="QNO170" s="201"/>
      <c r="QNP170" s="201"/>
      <c r="QNQ170" s="200"/>
      <c r="QNR170" s="202"/>
      <c r="QNS170" s="203"/>
      <c r="QNT170" s="124"/>
      <c r="QNV170" s="126"/>
      <c r="QNW170" s="124"/>
      <c r="QNY170" s="111"/>
      <c r="QOA170" s="200"/>
      <c r="QOB170" s="201"/>
      <c r="QOC170" s="201"/>
      <c r="QOD170" s="200"/>
      <c r="QOE170" s="202"/>
      <c r="QOF170" s="203"/>
      <c r="QOG170" s="124"/>
      <c r="QOI170" s="126"/>
      <c r="QOJ170" s="124"/>
      <c r="QOL170" s="111"/>
      <c r="QON170" s="200"/>
      <c r="QOO170" s="201"/>
      <c r="QOP170" s="201"/>
      <c r="QOQ170" s="200"/>
      <c r="QOR170" s="202"/>
      <c r="QOS170" s="203"/>
      <c r="QOT170" s="124"/>
      <c r="QOV170" s="126"/>
      <c r="QOW170" s="124"/>
      <c r="QOY170" s="111"/>
      <c r="QPA170" s="200"/>
      <c r="QPB170" s="201"/>
      <c r="QPC170" s="201"/>
      <c r="QPD170" s="200"/>
      <c r="QPE170" s="202"/>
      <c r="QPF170" s="203"/>
      <c r="QPG170" s="124"/>
      <c r="QPI170" s="126"/>
      <c r="QPJ170" s="124"/>
      <c r="QPL170" s="111"/>
      <c r="QPN170" s="200"/>
      <c r="QPO170" s="201"/>
      <c r="QPP170" s="201"/>
      <c r="QPQ170" s="200"/>
      <c r="QPR170" s="202"/>
      <c r="QPS170" s="203"/>
      <c r="QPT170" s="124"/>
      <c r="QPV170" s="126"/>
      <c r="QPW170" s="124"/>
      <c r="QPY170" s="111"/>
      <c r="QQA170" s="200"/>
      <c r="QQB170" s="201"/>
      <c r="QQC170" s="201"/>
      <c r="QQD170" s="200"/>
      <c r="QQE170" s="202"/>
      <c r="QQF170" s="203"/>
      <c r="QQG170" s="124"/>
      <c r="QQI170" s="126"/>
      <c r="QQJ170" s="124"/>
      <c r="QQL170" s="111"/>
      <c r="QQN170" s="200"/>
      <c r="QQO170" s="201"/>
      <c r="QQP170" s="201"/>
      <c r="QQQ170" s="200"/>
      <c r="QQR170" s="202"/>
      <c r="QQS170" s="203"/>
      <c r="QQT170" s="124"/>
      <c r="QQV170" s="126"/>
      <c r="QQW170" s="124"/>
      <c r="QQY170" s="111"/>
      <c r="QRA170" s="200"/>
      <c r="QRB170" s="201"/>
      <c r="QRC170" s="201"/>
      <c r="QRD170" s="200"/>
      <c r="QRE170" s="202"/>
      <c r="QRF170" s="203"/>
      <c r="QRG170" s="124"/>
      <c r="QRI170" s="126"/>
      <c r="QRJ170" s="124"/>
      <c r="QRL170" s="111"/>
      <c r="QRN170" s="200"/>
      <c r="QRO170" s="201"/>
      <c r="QRP170" s="201"/>
      <c r="QRQ170" s="200"/>
      <c r="QRR170" s="202"/>
      <c r="QRS170" s="203"/>
      <c r="QRT170" s="124"/>
      <c r="QRV170" s="126"/>
      <c r="QRW170" s="124"/>
      <c r="QRY170" s="111"/>
      <c r="QSA170" s="200"/>
      <c r="QSB170" s="201"/>
      <c r="QSC170" s="201"/>
      <c r="QSD170" s="200"/>
      <c r="QSE170" s="202"/>
      <c r="QSF170" s="203"/>
      <c r="QSG170" s="124"/>
      <c r="QSI170" s="126"/>
      <c r="QSJ170" s="124"/>
      <c r="QSL170" s="111"/>
      <c r="QSN170" s="200"/>
      <c r="QSO170" s="201"/>
      <c r="QSP170" s="201"/>
      <c r="QSQ170" s="200"/>
      <c r="QSR170" s="202"/>
      <c r="QSS170" s="203"/>
      <c r="QST170" s="124"/>
      <c r="QSV170" s="126"/>
      <c r="QSW170" s="124"/>
      <c r="QSY170" s="111"/>
      <c r="QTA170" s="200"/>
      <c r="QTB170" s="201"/>
      <c r="QTC170" s="201"/>
      <c r="QTD170" s="200"/>
      <c r="QTE170" s="202"/>
      <c r="QTF170" s="203"/>
      <c r="QTG170" s="124"/>
      <c r="QTI170" s="126"/>
      <c r="QTJ170" s="124"/>
      <c r="QTL170" s="111"/>
      <c r="QTN170" s="200"/>
      <c r="QTO170" s="201"/>
      <c r="QTP170" s="201"/>
      <c r="QTQ170" s="200"/>
      <c r="QTR170" s="202"/>
      <c r="QTS170" s="203"/>
      <c r="QTT170" s="124"/>
      <c r="QTV170" s="126"/>
      <c r="QTW170" s="124"/>
      <c r="QTY170" s="111"/>
      <c r="QUA170" s="200"/>
      <c r="QUB170" s="201"/>
      <c r="QUC170" s="201"/>
      <c r="QUD170" s="200"/>
      <c r="QUE170" s="202"/>
      <c r="QUF170" s="203"/>
      <c r="QUG170" s="124"/>
      <c r="QUI170" s="126"/>
      <c r="QUJ170" s="124"/>
      <c r="QUL170" s="111"/>
      <c r="QUN170" s="200"/>
      <c r="QUO170" s="201"/>
      <c r="QUP170" s="201"/>
      <c r="QUQ170" s="200"/>
      <c r="QUR170" s="202"/>
      <c r="QUS170" s="203"/>
      <c r="QUT170" s="124"/>
      <c r="QUV170" s="126"/>
      <c r="QUW170" s="124"/>
      <c r="QUY170" s="111"/>
      <c r="QVA170" s="200"/>
      <c r="QVB170" s="201"/>
      <c r="QVC170" s="201"/>
      <c r="QVD170" s="200"/>
      <c r="QVE170" s="202"/>
      <c r="QVF170" s="203"/>
      <c r="QVG170" s="124"/>
      <c r="QVI170" s="126"/>
      <c r="QVJ170" s="124"/>
      <c r="QVL170" s="111"/>
      <c r="QVN170" s="200"/>
      <c r="QVO170" s="201"/>
      <c r="QVP170" s="201"/>
      <c r="QVQ170" s="200"/>
      <c r="QVR170" s="202"/>
      <c r="QVS170" s="203"/>
      <c r="QVT170" s="124"/>
      <c r="QVV170" s="126"/>
      <c r="QVW170" s="124"/>
      <c r="QVY170" s="111"/>
      <c r="QWA170" s="200"/>
      <c r="QWB170" s="201"/>
      <c r="QWC170" s="201"/>
      <c r="QWD170" s="200"/>
      <c r="QWE170" s="202"/>
      <c r="QWF170" s="203"/>
      <c r="QWG170" s="124"/>
      <c r="QWI170" s="126"/>
      <c r="QWJ170" s="124"/>
      <c r="QWL170" s="111"/>
      <c r="QWN170" s="200"/>
      <c r="QWO170" s="201"/>
      <c r="QWP170" s="201"/>
      <c r="QWQ170" s="200"/>
      <c r="QWR170" s="202"/>
      <c r="QWS170" s="203"/>
      <c r="QWT170" s="124"/>
      <c r="QWV170" s="126"/>
      <c r="QWW170" s="124"/>
      <c r="QWY170" s="111"/>
      <c r="QXA170" s="200"/>
      <c r="QXB170" s="201"/>
      <c r="QXC170" s="201"/>
      <c r="QXD170" s="200"/>
      <c r="QXE170" s="202"/>
      <c r="QXF170" s="203"/>
      <c r="QXG170" s="124"/>
      <c r="QXI170" s="126"/>
      <c r="QXJ170" s="124"/>
      <c r="QXL170" s="111"/>
      <c r="QXN170" s="200"/>
      <c r="QXO170" s="201"/>
      <c r="QXP170" s="201"/>
      <c r="QXQ170" s="200"/>
      <c r="QXR170" s="202"/>
      <c r="QXS170" s="203"/>
      <c r="QXT170" s="124"/>
      <c r="QXV170" s="126"/>
      <c r="QXW170" s="124"/>
      <c r="QXY170" s="111"/>
      <c r="QYA170" s="200"/>
      <c r="QYB170" s="201"/>
      <c r="QYC170" s="201"/>
      <c r="QYD170" s="200"/>
      <c r="QYE170" s="202"/>
      <c r="QYF170" s="203"/>
      <c r="QYG170" s="124"/>
      <c r="QYI170" s="126"/>
      <c r="QYJ170" s="124"/>
      <c r="QYL170" s="111"/>
      <c r="QYN170" s="200"/>
      <c r="QYO170" s="201"/>
      <c r="QYP170" s="201"/>
      <c r="QYQ170" s="200"/>
      <c r="QYR170" s="202"/>
      <c r="QYS170" s="203"/>
      <c r="QYT170" s="124"/>
      <c r="QYV170" s="126"/>
      <c r="QYW170" s="124"/>
      <c r="QYY170" s="111"/>
      <c r="QZA170" s="200"/>
      <c r="QZB170" s="201"/>
      <c r="QZC170" s="201"/>
      <c r="QZD170" s="200"/>
      <c r="QZE170" s="202"/>
      <c r="QZF170" s="203"/>
      <c r="QZG170" s="124"/>
      <c r="QZI170" s="126"/>
      <c r="QZJ170" s="124"/>
      <c r="QZL170" s="111"/>
      <c r="QZN170" s="200"/>
      <c r="QZO170" s="201"/>
      <c r="QZP170" s="201"/>
      <c r="QZQ170" s="200"/>
      <c r="QZR170" s="202"/>
      <c r="QZS170" s="203"/>
      <c r="QZT170" s="124"/>
      <c r="QZV170" s="126"/>
      <c r="QZW170" s="124"/>
      <c r="QZY170" s="111"/>
      <c r="RAA170" s="200"/>
      <c r="RAB170" s="201"/>
      <c r="RAC170" s="201"/>
      <c r="RAD170" s="200"/>
      <c r="RAE170" s="202"/>
      <c r="RAF170" s="203"/>
      <c r="RAG170" s="124"/>
      <c r="RAI170" s="126"/>
      <c r="RAJ170" s="124"/>
      <c r="RAL170" s="111"/>
      <c r="RAN170" s="200"/>
      <c r="RAO170" s="201"/>
      <c r="RAP170" s="201"/>
      <c r="RAQ170" s="200"/>
      <c r="RAR170" s="202"/>
      <c r="RAS170" s="203"/>
      <c r="RAT170" s="124"/>
      <c r="RAV170" s="126"/>
      <c r="RAW170" s="124"/>
      <c r="RAY170" s="111"/>
      <c r="RBA170" s="200"/>
      <c r="RBB170" s="201"/>
      <c r="RBC170" s="201"/>
      <c r="RBD170" s="200"/>
      <c r="RBE170" s="202"/>
      <c r="RBF170" s="203"/>
      <c r="RBG170" s="124"/>
      <c r="RBI170" s="126"/>
      <c r="RBJ170" s="124"/>
      <c r="RBL170" s="111"/>
      <c r="RBN170" s="200"/>
      <c r="RBO170" s="201"/>
      <c r="RBP170" s="201"/>
      <c r="RBQ170" s="200"/>
      <c r="RBR170" s="202"/>
      <c r="RBS170" s="203"/>
      <c r="RBT170" s="124"/>
      <c r="RBV170" s="126"/>
      <c r="RBW170" s="124"/>
      <c r="RBY170" s="111"/>
      <c r="RCA170" s="200"/>
      <c r="RCB170" s="201"/>
      <c r="RCC170" s="201"/>
      <c r="RCD170" s="200"/>
      <c r="RCE170" s="202"/>
      <c r="RCF170" s="203"/>
      <c r="RCG170" s="124"/>
      <c r="RCI170" s="126"/>
      <c r="RCJ170" s="124"/>
      <c r="RCL170" s="111"/>
      <c r="RCN170" s="200"/>
      <c r="RCO170" s="201"/>
      <c r="RCP170" s="201"/>
      <c r="RCQ170" s="200"/>
      <c r="RCR170" s="202"/>
      <c r="RCS170" s="203"/>
      <c r="RCT170" s="124"/>
      <c r="RCV170" s="126"/>
      <c r="RCW170" s="124"/>
      <c r="RCY170" s="111"/>
      <c r="RDA170" s="200"/>
      <c r="RDB170" s="201"/>
      <c r="RDC170" s="201"/>
      <c r="RDD170" s="200"/>
      <c r="RDE170" s="202"/>
      <c r="RDF170" s="203"/>
      <c r="RDG170" s="124"/>
      <c r="RDI170" s="126"/>
      <c r="RDJ170" s="124"/>
      <c r="RDL170" s="111"/>
      <c r="RDN170" s="200"/>
      <c r="RDO170" s="201"/>
      <c r="RDP170" s="201"/>
      <c r="RDQ170" s="200"/>
      <c r="RDR170" s="202"/>
      <c r="RDS170" s="203"/>
      <c r="RDT170" s="124"/>
      <c r="RDV170" s="126"/>
      <c r="RDW170" s="124"/>
      <c r="RDY170" s="111"/>
      <c r="REA170" s="200"/>
      <c r="REB170" s="201"/>
      <c r="REC170" s="201"/>
      <c r="RED170" s="200"/>
      <c r="REE170" s="202"/>
      <c r="REF170" s="203"/>
      <c r="REG170" s="124"/>
      <c r="REI170" s="126"/>
      <c r="REJ170" s="124"/>
      <c r="REL170" s="111"/>
      <c r="REN170" s="200"/>
      <c r="REO170" s="201"/>
      <c r="REP170" s="201"/>
      <c r="REQ170" s="200"/>
      <c r="RER170" s="202"/>
      <c r="RES170" s="203"/>
      <c r="RET170" s="124"/>
      <c r="REV170" s="126"/>
      <c r="REW170" s="124"/>
      <c r="REY170" s="111"/>
      <c r="RFA170" s="200"/>
      <c r="RFB170" s="201"/>
      <c r="RFC170" s="201"/>
      <c r="RFD170" s="200"/>
      <c r="RFE170" s="202"/>
      <c r="RFF170" s="203"/>
      <c r="RFG170" s="124"/>
      <c r="RFI170" s="126"/>
      <c r="RFJ170" s="124"/>
      <c r="RFL170" s="111"/>
      <c r="RFN170" s="200"/>
      <c r="RFO170" s="201"/>
      <c r="RFP170" s="201"/>
      <c r="RFQ170" s="200"/>
      <c r="RFR170" s="202"/>
      <c r="RFS170" s="203"/>
      <c r="RFT170" s="124"/>
      <c r="RFV170" s="126"/>
      <c r="RFW170" s="124"/>
      <c r="RFY170" s="111"/>
      <c r="RGA170" s="200"/>
      <c r="RGB170" s="201"/>
      <c r="RGC170" s="201"/>
      <c r="RGD170" s="200"/>
      <c r="RGE170" s="202"/>
      <c r="RGF170" s="203"/>
      <c r="RGG170" s="124"/>
      <c r="RGI170" s="126"/>
      <c r="RGJ170" s="124"/>
      <c r="RGL170" s="111"/>
      <c r="RGN170" s="200"/>
      <c r="RGO170" s="201"/>
      <c r="RGP170" s="201"/>
      <c r="RGQ170" s="200"/>
      <c r="RGR170" s="202"/>
      <c r="RGS170" s="203"/>
      <c r="RGT170" s="124"/>
      <c r="RGV170" s="126"/>
      <c r="RGW170" s="124"/>
      <c r="RGY170" s="111"/>
      <c r="RHA170" s="200"/>
      <c r="RHB170" s="201"/>
      <c r="RHC170" s="201"/>
      <c r="RHD170" s="200"/>
      <c r="RHE170" s="202"/>
      <c r="RHF170" s="203"/>
      <c r="RHG170" s="124"/>
      <c r="RHI170" s="126"/>
      <c r="RHJ170" s="124"/>
      <c r="RHL170" s="111"/>
      <c r="RHN170" s="200"/>
      <c r="RHO170" s="201"/>
      <c r="RHP170" s="201"/>
      <c r="RHQ170" s="200"/>
      <c r="RHR170" s="202"/>
      <c r="RHS170" s="203"/>
      <c r="RHT170" s="124"/>
      <c r="RHV170" s="126"/>
      <c r="RHW170" s="124"/>
      <c r="RHY170" s="111"/>
      <c r="RIA170" s="200"/>
      <c r="RIB170" s="201"/>
      <c r="RIC170" s="201"/>
      <c r="RID170" s="200"/>
      <c r="RIE170" s="202"/>
      <c r="RIF170" s="203"/>
      <c r="RIG170" s="124"/>
      <c r="RII170" s="126"/>
      <c r="RIJ170" s="124"/>
      <c r="RIL170" s="111"/>
      <c r="RIN170" s="200"/>
      <c r="RIO170" s="201"/>
      <c r="RIP170" s="201"/>
      <c r="RIQ170" s="200"/>
      <c r="RIR170" s="202"/>
      <c r="RIS170" s="203"/>
      <c r="RIT170" s="124"/>
      <c r="RIV170" s="126"/>
      <c r="RIW170" s="124"/>
      <c r="RIY170" s="111"/>
      <c r="RJA170" s="200"/>
      <c r="RJB170" s="201"/>
      <c r="RJC170" s="201"/>
      <c r="RJD170" s="200"/>
      <c r="RJE170" s="202"/>
      <c r="RJF170" s="203"/>
      <c r="RJG170" s="124"/>
      <c r="RJI170" s="126"/>
      <c r="RJJ170" s="124"/>
      <c r="RJL170" s="111"/>
      <c r="RJN170" s="200"/>
      <c r="RJO170" s="201"/>
      <c r="RJP170" s="201"/>
      <c r="RJQ170" s="200"/>
      <c r="RJR170" s="202"/>
      <c r="RJS170" s="203"/>
      <c r="RJT170" s="124"/>
      <c r="RJV170" s="126"/>
      <c r="RJW170" s="124"/>
      <c r="RJY170" s="111"/>
      <c r="RKA170" s="200"/>
      <c r="RKB170" s="201"/>
      <c r="RKC170" s="201"/>
      <c r="RKD170" s="200"/>
      <c r="RKE170" s="202"/>
      <c r="RKF170" s="203"/>
      <c r="RKG170" s="124"/>
      <c r="RKI170" s="126"/>
      <c r="RKJ170" s="124"/>
      <c r="RKL170" s="111"/>
      <c r="RKN170" s="200"/>
      <c r="RKO170" s="201"/>
      <c r="RKP170" s="201"/>
      <c r="RKQ170" s="200"/>
      <c r="RKR170" s="202"/>
      <c r="RKS170" s="203"/>
      <c r="RKT170" s="124"/>
      <c r="RKV170" s="126"/>
      <c r="RKW170" s="124"/>
      <c r="RKY170" s="111"/>
      <c r="RLA170" s="200"/>
      <c r="RLB170" s="201"/>
      <c r="RLC170" s="201"/>
      <c r="RLD170" s="200"/>
      <c r="RLE170" s="202"/>
      <c r="RLF170" s="203"/>
      <c r="RLG170" s="124"/>
      <c r="RLI170" s="126"/>
      <c r="RLJ170" s="124"/>
      <c r="RLL170" s="111"/>
      <c r="RLN170" s="200"/>
      <c r="RLO170" s="201"/>
      <c r="RLP170" s="201"/>
      <c r="RLQ170" s="200"/>
      <c r="RLR170" s="202"/>
      <c r="RLS170" s="203"/>
      <c r="RLT170" s="124"/>
      <c r="RLV170" s="126"/>
      <c r="RLW170" s="124"/>
      <c r="RLY170" s="111"/>
      <c r="RMA170" s="200"/>
      <c r="RMB170" s="201"/>
      <c r="RMC170" s="201"/>
      <c r="RMD170" s="200"/>
      <c r="RME170" s="202"/>
      <c r="RMF170" s="203"/>
      <c r="RMG170" s="124"/>
      <c r="RMI170" s="126"/>
      <c r="RMJ170" s="124"/>
      <c r="RML170" s="111"/>
      <c r="RMN170" s="200"/>
      <c r="RMO170" s="201"/>
      <c r="RMP170" s="201"/>
      <c r="RMQ170" s="200"/>
      <c r="RMR170" s="202"/>
      <c r="RMS170" s="203"/>
      <c r="RMT170" s="124"/>
      <c r="RMV170" s="126"/>
      <c r="RMW170" s="124"/>
      <c r="RMY170" s="111"/>
      <c r="RNA170" s="200"/>
      <c r="RNB170" s="201"/>
      <c r="RNC170" s="201"/>
      <c r="RND170" s="200"/>
      <c r="RNE170" s="202"/>
      <c r="RNF170" s="203"/>
      <c r="RNG170" s="124"/>
      <c r="RNI170" s="126"/>
      <c r="RNJ170" s="124"/>
      <c r="RNL170" s="111"/>
      <c r="RNN170" s="200"/>
      <c r="RNO170" s="201"/>
      <c r="RNP170" s="201"/>
      <c r="RNQ170" s="200"/>
      <c r="RNR170" s="202"/>
      <c r="RNS170" s="203"/>
      <c r="RNT170" s="124"/>
      <c r="RNV170" s="126"/>
      <c r="RNW170" s="124"/>
      <c r="RNY170" s="111"/>
      <c r="ROA170" s="200"/>
      <c r="ROB170" s="201"/>
      <c r="ROC170" s="201"/>
      <c r="ROD170" s="200"/>
      <c r="ROE170" s="202"/>
      <c r="ROF170" s="203"/>
      <c r="ROG170" s="124"/>
      <c r="ROI170" s="126"/>
      <c r="ROJ170" s="124"/>
      <c r="ROL170" s="111"/>
      <c r="RON170" s="200"/>
      <c r="ROO170" s="201"/>
      <c r="ROP170" s="201"/>
      <c r="ROQ170" s="200"/>
      <c r="ROR170" s="202"/>
      <c r="ROS170" s="203"/>
      <c r="ROT170" s="124"/>
      <c r="ROV170" s="126"/>
      <c r="ROW170" s="124"/>
      <c r="ROY170" s="111"/>
      <c r="RPA170" s="200"/>
      <c r="RPB170" s="201"/>
      <c r="RPC170" s="201"/>
      <c r="RPD170" s="200"/>
      <c r="RPE170" s="202"/>
      <c r="RPF170" s="203"/>
      <c r="RPG170" s="124"/>
      <c r="RPI170" s="126"/>
      <c r="RPJ170" s="124"/>
      <c r="RPL170" s="111"/>
      <c r="RPN170" s="200"/>
      <c r="RPO170" s="201"/>
      <c r="RPP170" s="201"/>
      <c r="RPQ170" s="200"/>
      <c r="RPR170" s="202"/>
      <c r="RPS170" s="203"/>
      <c r="RPT170" s="124"/>
      <c r="RPV170" s="126"/>
      <c r="RPW170" s="124"/>
      <c r="RPY170" s="111"/>
      <c r="RQA170" s="200"/>
      <c r="RQB170" s="201"/>
      <c r="RQC170" s="201"/>
      <c r="RQD170" s="200"/>
      <c r="RQE170" s="202"/>
      <c r="RQF170" s="203"/>
      <c r="RQG170" s="124"/>
      <c r="RQI170" s="126"/>
      <c r="RQJ170" s="124"/>
      <c r="RQL170" s="111"/>
      <c r="RQN170" s="200"/>
      <c r="RQO170" s="201"/>
      <c r="RQP170" s="201"/>
      <c r="RQQ170" s="200"/>
      <c r="RQR170" s="202"/>
      <c r="RQS170" s="203"/>
      <c r="RQT170" s="124"/>
      <c r="RQV170" s="126"/>
      <c r="RQW170" s="124"/>
      <c r="RQY170" s="111"/>
      <c r="RRA170" s="200"/>
      <c r="RRB170" s="201"/>
      <c r="RRC170" s="201"/>
      <c r="RRD170" s="200"/>
      <c r="RRE170" s="202"/>
      <c r="RRF170" s="203"/>
      <c r="RRG170" s="124"/>
      <c r="RRI170" s="126"/>
      <c r="RRJ170" s="124"/>
      <c r="RRL170" s="111"/>
      <c r="RRN170" s="200"/>
      <c r="RRO170" s="201"/>
      <c r="RRP170" s="201"/>
      <c r="RRQ170" s="200"/>
      <c r="RRR170" s="202"/>
      <c r="RRS170" s="203"/>
      <c r="RRT170" s="124"/>
      <c r="RRV170" s="126"/>
      <c r="RRW170" s="124"/>
      <c r="RRY170" s="111"/>
      <c r="RSA170" s="200"/>
      <c r="RSB170" s="201"/>
      <c r="RSC170" s="201"/>
      <c r="RSD170" s="200"/>
      <c r="RSE170" s="202"/>
      <c r="RSF170" s="203"/>
      <c r="RSG170" s="124"/>
      <c r="RSI170" s="126"/>
      <c r="RSJ170" s="124"/>
      <c r="RSL170" s="111"/>
      <c r="RSN170" s="200"/>
      <c r="RSO170" s="201"/>
      <c r="RSP170" s="201"/>
      <c r="RSQ170" s="200"/>
      <c r="RSR170" s="202"/>
      <c r="RSS170" s="203"/>
      <c r="RST170" s="124"/>
      <c r="RSV170" s="126"/>
      <c r="RSW170" s="124"/>
      <c r="RSY170" s="111"/>
      <c r="RTA170" s="200"/>
      <c r="RTB170" s="201"/>
      <c r="RTC170" s="201"/>
      <c r="RTD170" s="200"/>
      <c r="RTE170" s="202"/>
      <c r="RTF170" s="203"/>
      <c r="RTG170" s="124"/>
      <c r="RTI170" s="126"/>
      <c r="RTJ170" s="124"/>
      <c r="RTL170" s="111"/>
      <c r="RTN170" s="200"/>
      <c r="RTO170" s="201"/>
      <c r="RTP170" s="201"/>
      <c r="RTQ170" s="200"/>
      <c r="RTR170" s="202"/>
      <c r="RTS170" s="203"/>
      <c r="RTT170" s="124"/>
      <c r="RTV170" s="126"/>
      <c r="RTW170" s="124"/>
      <c r="RTY170" s="111"/>
      <c r="RUA170" s="200"/>
      <c r="RUB170" s="201"/>
      <c r="RUC170" s="201"/>
      <c r="RUD170" s="200"/>
      <c r="RUE170" s="202"/>
      <c r="RUF170" s="203"/>
      <c r="RUG170" s="124"/>
      <c r="RUI170" s="126"/>
      <c r="RUJ170" s="124"/>
      <c r="RUL170" s="111"/>
      <c r="RUN170" s="200"/>
      <c r="RUO170" s="201"/>
      <c r="RUP170" s="201"/>
      <c r="RUQ170" s="200"/>
      <c r="RUR170" s="202"/>
      <c r="RUS170" s="203"/>
      <c r="RUT170" s="124"/>
      <c r="RUV170" s="126"/>
      <c r="RUW170" s="124"/>
      <c r="RUY170" s="111"/>
      <c r="RVA170" s="200"/>
      <c r="RVB170" s="201"/>
      <c r="RVC170" s="201"/>
      <c r="RVD170" s="200"/>
      <c r="RVE170" s="202"/>
      <c r="RVF170" s="203"/>
      <c r="RVG170" s="124"/>
      <c r="RVI170" s="126"/>
      <c r="RVJ170" s="124"/>
      <c r="RVL170" s="111"/>
      <c r="RVN170" s="200"/>
      <c r="RVO170" s="201"/>
      <c r="RVP170" s="201"/>
      <c r="RVQ170" s="200"/>
      <c r="RVR170" s="202"/>
      <c r="RVS170" s="203"/>
      <c r="RVT170" s="124"/>
      <c r="RVV170" s="126"/>
      <c r="RVW170" s="124"/>
      <c r="RVY170" s="111"/>
      <c r="RWA170" s="200"/>
      <c r="RWB170" s="201"/>
      <c r="RWC170" s="201"/>
      <c r="RWD170" s="200"/>
      <c r="RWE170" s="202"/>
      <c r="RWF170" s="203"/>
      <c r="RWG170" s="124"/>
      <c r="RWI170" s="126"/>
      <c r="RWJ170" s="124"/>
      <c r="RWL170" s="111"/>
      <c r="RWN170" s="200"/>
      <c r="RWO170" s="201"/>
      <c r="RWP170" s="201"/>
      <c r="RWQ170" s="200"/>
      <c r="RWR170" s="202"/>
      <c r="RWS170" s="203"/>
      <c r="RWT170" s="124"/>
      <c r="RWV170" s="126"/>
      <c r="RWW170" s="124"/>
      <c r="RWY170" s="111"/>
      <c r="RXA170" s="200"/>
      <c r="RXB170" s="201"/>
      <c r="RXC170" s="201"/>
      <c r="RXD170" s="200"/>
      <c r="RXE170" s="202"/>
      <c r="RXF170" s="203"/>
      <c r="RXG170" s="124"/>
      <c r="RXI170" s="126"/>
      <c r="RXJ170" s="124"/>
      <c r="RXL170" s="111"/>
      <c r="RXN170" s="200"/>
      <c r="RXO170" s="201"/>
      <c r="RXP170" s="201"/>
      <c r="RXQ170" s="200"/>
      <c r="RXR170" s="202"/>
      <c r="RXS170" s="203"/>
      <c r="RXT170" s="124"/>
      <c r="RXV170" s="126"/>
      <c r="RXW170" s="124"/>
      <c r="RXY170" s="111"/>
      <c r="RYA170" s="200"/>
      <c r="RYB170" s="201"/>
      <c r="RYC170" s="201"/>
      <c r="RYD170" s="200"/>
      <c r="RYE170" s="202"/>
      <c r="RYF170" s="203"/>
      <c r="RYG170" s="124"/>
      <c r="RYI170" s="126"/>
      <c r="RYJ170" s="124"/>
      <c r="RYL170" s="111"/>
      <c r="RYN170" s="200"/>
      <c r="RYO170" s="201"/>
      <c r="RYP170" s="201"/>
      <c r="RYQ170" s="200"/>
      <c r="RYR170" s="202"/>
      <c r="RYS170" s="203"/>
      <c r="RYT170" s="124"/>
      <c r="RYV170" s="126"/>
      <c r="RYW170" s="124"/>
      <c r="RYY170" s="111"/>
      <c r="RZA170" s="200"/>
      <c r="RZB170" s="201"/>
      <c r="RZC170" s="201"/>
      <c r="RZD170" s="200"/>
      <c r="RZE170" s="202"/>
      <c r="RZF170" s="203"/>
      <c r="RZG170" s="124"/>
      <c r="RZI170" s="126"/>
      <c r="RZJ170" s="124"/>
      <c r="RZL170" s="111"/>
      <c r="RZN170" s="200"/>
      <c r="RZO170" s="201"/>
      <c r="RZP170" s="201"/>
      <c r="RZQ170" s="200"/>
      <c r="RZR170" s="202"/>
      <c r="RZS170" s="203"/>
      <c r="RZT170" s="124"/>
      <c r="RZV170" s="126"/>
      <c r="RZW170" s="124"/>
      <c r="RZY170" s="111"/>
      <c r="SAA170" s="200"/>
      <c r="SAB170" s="201"/>
      <c r="SAC170" s="201"/>
      <c r="SAD170" s="200"/>
      <c r="SAE170" s="202"/>
      <c r="SAF170" s="203"/>
      <c r="SAG170" s="124"/>
      <c r="SAI170" s="126"/>
      <c r="SAJ170" s="124"/>
      <c r="SAL170" s="111"/>
      <c r="SAN170" s="200"/>
      <c r="SAO170" s="201"/>
      <c r="SAP170" s="201"/>
      <c r="SAQ170" s="200"/>
      <c r="SAR170" s="202"/>
      <c r="SAS170" s="203"/>
      <c r="SAT170" s="124"/>
      <c r="SAV170" s="126"/>
      <c r="SAW170" s="124"/>
      <c r="SAY170" s="111"/>
      <c r="SBA170" s="200"/>
      <c r="SBB170" s="201"/>
      <c r="SBC170" s="201"/>
      <c r="SBD170" s="200"/>
      <c r="SBE170" s="202"/>
      <c r="SBF170" s="203"/>
      <c r="SBG170" s="124"/>
      <c r="SBI170" s="126"/>
      <c r="SBJ170" s="124"/>
      <c r="SBL170" s="111"/>
      <c r="SBN170" s="200"/>
      <c r="SBO170" s="201"/>
      <c r="SBP170" s="201"/>
      <c r="SBQ170" s="200"/>
      <c r="SBR170" s="202"/>
      <c r="SBS170" s="203"/>
      <c r="SBT170" s="124"/>
      <c r="SBV170" s="126"/>
      <c r="SBW170" s="124"/>
      <c r="SBY170" s="111"/>
      <c r="SCA170" s="200"/>
      <c r="SCB170" s="201"/>
      <c r="SCC170" s="201"/>
      <c r="SCD170" s="200"/>
      <c r="SCE170" s="202"/>
      <c r="SCF170" s="203"/>
      <c r="SCG170" s="124"/>
      <c r="SCI170" s="126"/>
      <c r="SCJ170" s="124"/>
      <c r="SCL170" s="111"/>
      <c r="SCN170" s="200"/>
      <c r="SCO170" s="201"/>
      <c r="SCP170" s="201"/>
      <c r="SCQ170" s="200"/>
      <c r="SCR170" s="202"/>
      <c r="SCS170" s="203"/>
      <c r="SCT170" s="124"/>
      <c r="SCV170" s="126"/>
      <c r="SCW170" s="124"/>
      <c r="SCY170" s="111"/>
      <c r="SDA170" s="200"/>
      <c r="SDB170" s="201"/>
      <c r="SDC170" s="201"/>
      <c r="SDD170" s="200"/>
      <c r="SDE170" s="202"/>
      <c r="SDF170" s="203"/>
      <c r="SDG170" s="124"/>
      <c r="SDI170" s="126"/>
      <c r="SDJ170" s="124"/>
      <c r="SDL170" s="111"/>
      <c r="SDN170" s="200"/>
      <c r="SDO170" s="201"/>
      <c r="SDP170" s="201"/>
      <c r="SDQ170" s="200"/>
      <c r="SDR170" s="202"/>
      <c r="SDS170" s="203"/>
      <c r="SDT170" s="124"/>
      <c r="SDV170" s="126"/>
      <c r="SDW170" s="124"/>
      <c r="SDY170" s="111"/>
      <c r="SEA170" s="200"/>
      <c r="SEB170" s="201"/>
      <c r="SEC170" s="201"/>
      <c r="SED170" s="200"/>
      <c r="SEE170" s="202"/>
      <c r="SEF170" s="203"/>
      <c r="SEG170" s="124"/>
      <c r="SEI170" s="126"/>
      <c r="SEJ170" s="124"/>
      <c r="SEL170" s="111"/>
      <c r="SEN170" s="200"/>
      <c r="SEO170" s="201"/>
      <c r="SEP170" s="201"/>
      <c r="SEQ170" s="200"/>
      <c r="SER170" s="202"/>
      <c r="SES170" s="203"/>
      <c r="SET170" s="124"/>
      <c r="SEV170" s="126"/>
      <c r="SEW170" s="124"/>
      <c r="SEY170" s="111"/>
      <c r="SFA170" s="200"/>
      <c r="SFB170" s="201"/>
      <c r="SFC170" s="201"/>
      <c r="SFD170" s="200"/>
      <c r="SFE170" s="202"/>
      <c r="SFF170" s="203"/>
      <c r="SFG170" s="124"/>
      <c r="SFI170" s="126"/>
      <c r="SFJ170" s="124"/>
      <c r="SFL170" s="111"/>
      <c r="SFN170" s="200"/>
      <c r="SFO170" s="201"/>
      <c r="SFP170" s="201"/>
      <c r="SFQ170" s="200"/>
      <c r="SFR170" s="202"/>
      <c r="SFS170" s="203"/>
      <c r="SFT170" s="124"/>
      <c r="SFV170" s="126"/>
      <c r="SFW170" s="124"/>
      <c r="SFY170" s="111"/>
      <c r="SGA170" s="200"/>
      <c r="SGB170" s="201"/>
      <c r="SGC170" s="201"/>
      <c r="SGD170" s="200"/>
      <c r="SGE170" s="202"/>
      <c r="SGF170" s="203"/>
      <c r="SGG170" s="124"/>
      <c r="SGI170" s="126"/>
      <c r="SGJ170" s="124"/>
      <c r="SGL170" s="111"/>
      <c r="SGN170" s="200"/>
      <c r="SGO170" s="201"/>
      <c r="SGP170" s="201"/>
      <c r="SGQ170" s="200"/>
      <c r="SGR170" s="202"/>
      <c r="SGS170" s="203"/>
      <c r="SGT170" s="124"/>
      <c r="SGV170" s="126"/>
      <c r="SGW170" s="124"/>
      <c r="SGY170" s="111"/>
      <c r="SHA170" s="200"/>
      <c r="SHB170" s="201"/>
      <c r="SHC170" s="201"/>
      <c r="SHD170" s="200"/>
      <c r="SHE170" s="202"/>
      <c r="SHF170" s="203"/>
      <c r="SHG170" s="124"/>
      <c r="SHI170" s="126"/>
      <c r="SHJ170" s="124"/>
      <c r="SHL170" s="111"/>
      <c r="SHN170" s="200"/>
      <c r="SHO170" s="201"/>
      <c r="SHP170" s="201"/>
      <c r="SHQ170" s="200"/>
      <c r="SHR170" s="202"/>
      <c r="SHS170" s="203"/>
      <c r="SHT170" s="124"/>
      <c r="SHV170" s="126"/>
      <c r="SHW170" s="124"/>
      <c r="SHY170" s="111"/>
      <c r="SIA170" s="200"/>
      <c r="SIB170" s="201"/>
      <c r="SIC170" s="201"/>
      <c r="SID170" s="200"/>
      <c r="SIE170" s="202"/>
      <c r="SIF170" s="203"/>
      <c r="SIG170" s="124"/>
      <c r="SII170" s="126"/>
      <c r="SIJ170" s="124"/>
      <c r="SIL170" s="111"/>
      <c r="SIN170" s="200"/>
      <c r="SIO170" s="201"/>
      <c r="SIP170" s="201"/>
      <c r="SIQ170" s="200"/>
      <c r="SIR170" s="202"/>
      <c r="SIS170" s="203"/>
      <c r="SIT170" s="124"/>
      <c r="SIV170" s="126"/>
      <c r="SIW170" s="124"/>
      <c r="SIY170" s="111"/>
      <c r="SJA170" s="200"/>
      <c r="SJB170" s="201"/>
      <c r="SJC170" s="201"/>
      <c r="SJD170" s="200"/>
      <c r="SJE170" s="202"/>
      <c r="SJF170" s="203"/>
      <c r="SJG170" s="124"/>
      <c r="SJI170" s="126"/>
      <c r="SJJ170" s="124"/>
      <c r="SJL170" s="111"/>
      <c r="SJN170" s="200"/>
      <c r="SJO170" s="201"/>
      <c r="SJP170" s="201"/>
      <c r="SJQ170" s="200"/>
      <c r="SJR170" s="202"/>
      <c r="SJS170" s="203"/>
      <c r="SJT170" s="124"/>
      <c r="SJV170" s="126"/>
      <c r="SJW170" s="124"/>
      <c r="SJY170" s="111"/>
      <c r="SKA170" s="200"/>
      <c r="SKB170" s="201"/>
      <c r="SKC170" s="201"/>
      <c r="SKD170" s="200"/>
      <c r="SKE170" s="202"/>
      <c r="SKF170" s="203"/>
      <c r="SKG170" s="124"/>
      <c r="SKI170" s="126"/>
      <c r="SKJ170" s="124"/>
      <c r="SKL170" s="111"/>
      <c r="SKN170" s="200"/>
      <c r="SKO170" s="201"/>
      <c r="SKP170" s="201"/>
      <c r="SKQ170" s="200"/>
      <c r="SKR170" s="202"/>
      <c r="SKS170" s="203"/>
      <c r="SKT170" s="124"/>
      <c r="SKV170" s="126"/>
      <c r="SKW170" s="124"/>
      <c r="SKY170" s="111"/>
      <c r="SLA170" s="200"/>
      <c r="SLB170" s="201"/>
      <c r="SLC170" s="201"/>
      <c r="SLD170" s="200"/>
      <c r="SLE170" s="202"/>
      <c r="SLF170" s="203"/>
      <c r="SLG170" s="124"/>
      <c r="SLI170" s="126"/>
      <c r="SLJ170" s="124"/>
      <c r="SLL170" s="111"/>
      <c r="SLN170" s="200"/>
      <c r="SLO170" s="201"/>
      <c r="SLP170" s="201"/>
      <c r="SLQ170" s="200"/>
      <c r="SLR170" s="202"/>
      <c r="SLS170" s="203"/>
      <c r="SLT170" s="124"/>
      <c r="SLV170" s="126"/>
      <c r="SLW170" s="124"/>
      <c r="SLY170" s="111"/>
      <c r="SMA170" s="200"/>
      <c r="SMB170" s="201"/>
      <c r="SMC170" s="201"/>
      <c r="SMD170" s="200"/>
      <c r="SME170" s="202"/>
      <c r="SMF170" s="203"/>
      <c r="SMG170" s="124"/>
      <c r="SMI170" s="126"/>
      <c r="SMJ170" s="124"/>
      <c r="SML170" s="111"/>
      <c r="SMN170" s="200"/>
      <c r="SMO170" s="201"/>
      <c r="SMP170" s="201"/>
      <c r="SMQ170" s="200"/>
      <c r="SMR170" s="202"/>
      <c r="SMS170" s="203"/>
      <c r="SMT170" s="124"/>
      <c r="SMV170" s="126"/>
      <c r="SMW170" s="124"/>
      <c r="SMY170" s="111"/>
      <c r="SNA170" s="200"/>
      <c r="SNB170" s="201"/>
      <c r="SNC170" s="201"/>
      <c r="SND170" s="200"/>
      <c r="SNE170" s="202"/>
      <c r="SNF170" s="203"/>
      <c r="SNG170" s="124"/>
      <c r="SNI170" s="126"/>
      <c r="SNJ170" s="124"/>
      <c r="SNL170" s="111"/>
      <c r="SNN170" s="200"/>
      <c r="SNO170" s="201"/>
      <c r="SNP170" s="201"/>
      <c r="SNQ170" s="200"/>
      <c r="SNR170" s="202"/>
      <c r="SNS170" s="203"/>
      <c r="SNT170" s="124"/>
      <c r="SNV170" s="126"/>
      <c r="SNW170" s="124"/>
      <c r="SNY170" s="111"/>
      <c r="SOA170" s="200"/>
      <c r="SOB170" s="201"/>
      <c r="SOC170" s="201"/>
      <c r="SOD170" s="200"/>
      <c r="SOE170" s="202"/>
      <c r="SOF170" s="203"/>
      <c r="SOG170" s="124"/>
      <c r="SOI170" s="126"/>
      <c r="SOJ170" s="124"/>
      <c r="SOL170" s="111"/>
      <c r="SON170" s="200"/>
      <c r="SOO170" s="201"/>
      <c r="SOP170" s="201"/>
      <c r="SOQ170" s="200"/>
      <c r="SOR170" s="202"/>
      <c r="SOS170" s="203"/>
      <c r="SOT170" s="124"/>
      <c r="SOV170" s="126"/>
      <c r="SOW170" s="124"/>
      <c r="SOY170" s="111"/>
      <c r="SPA170" s="200"/>
      <c r="SPB170" s="201"/>
      <c r="SPC170" s="201"/>
      <c r="SPD170" s="200"/>
      <c r="SPE170" s="202"/>
      <c r="SPF170" s="203"/>
      <c r="SPG170" s="124"/>
      <c r="SPI170" s="126"/>
      <c r="SPJ170" s="124"/>
      <c r="SPL170" s="111"/>
      <c r="SPN170" s="200"/>
      <c r="SPO170" s="201"/>
      <c r="SPP170" s="201"/>
      <c r="SPQ170" s="200"/>
      <c r="SPR170" s="202"/>
      <c r="SPS170" s="203"/>
      <c r="SPT170" s="124"/>
      <c r="SPV170" s="126"/>
      <c r="SPW170" s="124"/>
      <c r="SPY170" s="111"/>
      <c r="SQA170" s="200"/>
      <c r="SQB170" s="201"/>
      <c r="SQC170" s="201"/>
      <c r="SQD170" s="200"/>
      <c r="SQE170" s="202"/>
      <c r="SQF170" s="203"/>
      <c r="SQG170" s="124"/>
      <c r="SQI170" s="126"/>
      <c r="SQJ170" s="124"/>
      <c r="SQL170" s="111"/>
      <c r="SQN170" s="200"/>
      <c r="SQO170" s="201"/>
      <c r="SQP170" s="201"/>
      <c r="SQQ170" s="200"/>
      <c r="SQR170" s="202"/>
      <c r="SQS170" s="203"/>
      <c r="SQT170" s="124"/>
      <c r="SQV170" s="126"/>
      <c r="SQW170" s="124"/>
      <c r="SQY170" s="111"/>
      <c r="SRA170" s="200"/>
      <c r="SRB170" s="201"/>
      <c r="SRC170" s="201"/>
      <c r="SRD170" s="200"/>
      <c r="SRE170" s="202"/>
      <c r="SRF170" s="203"/>
      <c r="SRG170" s="124"/>
      <c r="SRI170" s="126"/>
      <c r="SRJ170" s="124"/>
      <c r="SRL170" s="111"/>
      <c r="SRN170" s="200"/>
      <c r="SRO170" s="201"/>
      <c r="SRP170" s="201"/>
      <c r="SRQ170" s="200"/>
      <c r="SRR170" s="202"/>
      <c r="SRS170" s="203"/>
      <c r="SRT170" s="124"/>
      <c r="SRV170" s="126"/>
      <c r="SRW170" s="124"/>
      <c r="SRY170" s="111"/>
      <c r="SSA170" s="200"/>
      <c r="SSB170" s="201"/>
      <c r="SSC170" s="201"/>
      <c r="SSD170" s="200"/>
      <c r="SSE170" s="202"/>
      <c r="SSF170" s="203"/>
      <c r="SSG170" s="124"/>
      <c r="SSI170" s="126"/>
      <c r="SSJ170" s="124"/>
      <c r="SSL170" s="111"/>
      <c r="SSN170" s="200"/>
      <c r="SSO170" s="201"/>
      <c r="SSP170" s="201"/>
      <c r="SSQ170" s="200"/>
      <c r="SSR170" s="202"/>
      <c r="SSS170" s="203"/>
      <c r="SST170" s="124"/>
      <c r="SSV170" s="126"/>
      <c r="SSW170" s="124"/>
      <c r="SSY170" s="111"/>
      <c r="STA170" s="200"/>
      <c r="STB170" s="201"/>
      <c r="STC170" s="201"/>
      <c r="STD170" s="200"/>
      <c r="STE170" s="202"/>
      <c r="STF170" s="203"/>
      <c r="STG170" s="124"/>
      <c r="STI170" s="126"/>
      <c r="STJ170" s="124"/>
      <c r="STL170" s="111"/>
      <c r="STN170" s="200"/>
      <c r="STO170" s="201"/>
      <c r="STP170" s="201"/>
      <c r="STQ170" s="200"/>
      <c r="STR170" s="202"/>
      <c r="STS170" s="203"/>
      <c r="STT170" s="124"/>
      <c r="STV170" s="126"/>
      <c r="STW170" s="124"/>
      <c r="STY170" s="111"/>
      <c r="SUA170" s="200"/>
      <c r="SUB170" s="201"/>
      <c r="SUC170" s="201"/>
      <c r="SUD170" s="200"/>
      <c r="SUE170" s="202"/>
      <c r="SUF170" s="203"/>
      <c r="SUG170" s="124"/>
      <c r="SUI170" s="126"/>
      <c r="SUJ170" s="124"/>
      <c r="SUL170" s="111"/>
      <c r="SUN170" s="200"/>
      <c r="SUO170" s="201"/>
      <c r="SUP170" s="201"/>
      <c r="SUQ170" s="200"/>
      <c r="SUR170" s="202"/>
      <c r="SUS170" s="203"/>
      <c r="SUT170" s="124"/>
      <c r="SUV170" s="126"/>
      <c r="SUW170" s="124"/>
      <c r="SUY170" s="111"/>
      <c r="SVA170" s="200"/>
      <c r="SVB170" s="201"/>
      <c r="SVC170" s="201"/>
      <c r="SVD170" s="200"/>
      <c r="SVE170" s="202"/>
      <c r="SVF170" s="203"/>
      <c r="SVG170" s="124"/>
      <c r="SVI170" s="126"/>
      <c r="SVJ170" s="124"/>
      <c r="SVL170" s="111"/>
      <c r="SVN170" s="200"/>
      <c r="SVO170" s="201"/>
      <c r="SVP170" s="201"/>
      <c r="SVQ170" s="200"/>
      <c r="SVR170" s="202"/>
      <c r="SVS170" s="203"/>
      <c r="SVT170" s="124"/>
      <c r="SVV170" s="126"/>
      <c r="SVW170" s="124"/>
      <c r="SVY170" s="111"/>
      <c r="SWA170" s="200"/>
      <c r="SWB170" s="201"/>
      <c r="SWC170" s="201"/>
      <c r="SWD170" s="200"/>
      <c r="SWE170" s="202"/>
      <c r="SWF170" s="203"/>
      <c r="SWG170" s="124"/>
      <c r="SWI170" s="126"/>
      <c r="SWJ170" s="124"/>
      <c r="SWL170" s="111"/>
      <c r="SWN170" s="200"/>
      <c r="SWO170" s="201"/>
      <c r="SWP170" s="201"/>
      <c r="SWQ170" s="200"/>
      <c r="SWR170" s="202"/>
      <c r="SWS170" s="203"/>
      <c r="SWT170" s="124"/>
      <c r="SWV170" s="126"/>
      <c r="SWW170" s="124"/>
      <c r="SWY170" s="111"/>
      <c r="SXA170" s="200"/>
      <c r="SXB170" s="201"/>
      <c r="SXC170" s="201"/>
      <c r="SXD170" s="200"/>
      <c r="SXE170" s="202"/>
      <c r="SXF170" s="203"/>
      <c r="SXG170" s="124"/>
      <c r="SXI170" s="126"/>
      <c r="SXJ170" s="124"/>
      <c r="SXL170" s="111"/>
      <c r="SXN170" s="200"/>
      <c r="SXO170" s="201"/>
      <c r="SXP170" s="201"/>
      <c r="SXQ170" s="200"/>
      <c r="SXR170" s="202"/>
      <c r="SXS170" s="203"/>
      <c r="SXT170" s="124"/>
      <c r="SXV170" s="126"/>
      <c r="SXW170" s="124"/>
      <c r="SXY170" s="111"/>
      <c r="SYA170" s="200"/>
      <c r="SYB170" s="201"/>
      <c r="SYC170" s="201"/>
      <c r="SYD170" s="200"/>
      <c r="SYE170" s="202"/>
      <c r="SYF170" s="203"/>
      <c r="SYG170" s="124"/>
      <c r="SYI170" s="126"/>
      <c r="SYJ170" s="124"/>
      <c r="SYL170" s="111"/>
      <c r="SYN170" s="200"/>
      <c r="SYO170" s="201"/>
      <c r="SYP170" s="201"/>
      <c r="SYQ170" s="200"/>
      <c r="SYR170" s="202"/>
      <c r="SYS170" s="203"/>
      <c r="SYT170" s="124"/>
      <c r="SYV170" s="126"/>
      <c r="SYW170" s="124"/>
      <c r="SYY170" s="111"/>
      <c r="SZA170" s="200"/>
      <c r="SZB170" s="201"/>
      <c r="SZC170" s="201"/>
      <c r="SZD170" s="200"/>
      <c r="SZE170" s="202"/>
      <c r="SZF170" s="203"/>
      <c r="SZG170" s="124"/>
      <c r="SZI170" s="126"/>
      <c r="SZJ170" s="124"/>
      <c r="SZL170" s="111"/>
      <c r="SZN170" s="200"/>
      <c r="SZO170" s="201"/>
      <c r="SZP170" s="201"/>
      <c r="SZQ170" s="200"/>
      <c r="SZR170" s="202"/>
      <c r="SZS170" s="203"/>
      <c r="SZT170" s="124"/>
      <c r="SZV170" s="126"/>
      <c r="SZW170" s="124"/>
      <c r="SZY170" s="111"/>
      <c r="TAA170" s="200"/>
      <c r="TAB170" s="201"/>
      <c r="TAC170" s="201"/>
      <c r="TAD170" s="200"/>
      <c r="TAE170" s="202"/>
      <c r="TAF170" s="203"/>
      <c r="TAG170" s="124"/>
      <c r="TAI170" s="126"/>
      <c r="TAJ170" s="124"/>
      <c r="TAL170" s="111"/>
      <c r="TAN170" s="200"/>
      <c r="TAO170" s="201"/>
      <c r="TAP170" s="201"/>
      <c r="TAQ170" s="200"/>
      <c r="TAR170" s="202"/>
      <c r="TAS170" s="203"/>
      <c r="TAT170" s="124"/>
      <c r="TAV170" s="126"/>
      <c r="TAW170" s="124"/>
      <c r="TAY170" s="111"/>
      <c r="TBA170" s="200"/>
      <c r="TBB170" s="201"/>
      <c r="TBC170" s="201"/>
      <c r="TBD170" s="200"/>
      <c r="TBE170" s="202"/>
      <c r="TBF170" s="203"/>
      <c r="TBG170" s="124"/>
      <c r="TBI170" s="126"/>
      <c r="TBJ170" s="124"/>
      <c r="TBL170" s="111"/>
      <c r="TBN170" s="200"/>
      <c r="TBO170" s="201"/>
      <c r="TBP170" s="201"/>
      <c r="TBQ170" s="200"/>
      <c r="TBR170" s="202"/>
      <c r="TBS170" s="203"/>
      <c r="TBT170" s="124"/>
      <c r="TBV170" s="126"/>
      <c r="TBW170" s="124"/>
      <c r="TBY170" s="111"/>
      <c r="TCA170" s="200"/>
      <c r="TCB170" s="201"/>
      <c r="TCC170" s="201"/>
      <c r="TCD170" s="200"/>
      <c r="TCE170" s="202"/>
      <c r="TCF170" s="203"/>
      <c r="TCG170" s="124"/>
      <c r="TCI170" s="126"/>
      <c r="TCJ170" s="124"/>
      <c r="TCL170" s="111"/>
      <c r="TCN170" s="200"/>
      <c r="TCO170" s="201"/>
      <c r="TCP170" s="201"/>
      <c r="TCQ170" s="200"/>
      <c r="TCR170" s="202"/>
      <c r="TCS170" s="203"/>
      <c r="TCT170" s="124"/>
      <c r="TCV170" s="126"/>
      <c r="TCW170" s="124"/>
      <c r="TCY170" s="111"/>
      <c r="TDA170" s="200"/>
      <c r="TDB170" s="201"/>
      <c r="TDC170" s="201"/>
      <c r="TDD170" s="200"/>
      <c r="TDE170" s="202"/>
      <c r="TDF170" s="203"/>
      <c r="TDG170" s="124"/>
      <c r="TDI170" s="126"/>
      <c r="TDJ170" s="124"/>
      <c r="TDL170" s="111"/>
      <c r="TDN170" s="200"/>
      <c r="TDO170" s="201"/>
      <c r="TDP170" s="201"/>
      <c r="TDQ170" s="200"/>
      <c r="TDR170" s="202"/>
      <c r="TDS170" s="203"/>
      <c r="TDT170" s="124"/>
      <c r="TDV170" s="126"/>
      <c r="TDW170" s="124"/>
      <c r="TDY170" s="111"/>
      <c r="TEA170" s="200"/>
      <c r="TEB170" s="201"/>
      <c r="TEC170" s="201"/>
      <c r="TED170" s="200"/>
      <c r="TEE170" s="202"/>
      <c r="TEF170" s="203"/>
      <c r="TEG170" s="124"/>
      <c r="TEI170" s="126"/>
      <c r="TEJ170" s="124"/>
      <c r="TEL170" s="111"/>
      <c r="TEN170" s="200"/>
      <c r="TEO170" s="201"/>
      <c r="TEP170" s="201"/>
      <c r="TEQ170" s="200"/>
      <c r="TER170" s="202"/>
      <c r="TES170" s="203"/>
      <c r="TET170" s="124"/>
      <c r="TEV170" s="126"/>
      <c r="TEW170" s="124"/>
      <c r="TEY170" s="111"/>
      <c r="TFA170" s="200"/>
      <c r="TFB170" s="201"/>
      <c r="TFC170" s="201"/>
      <c r="TFD170" s="200"/>
      <c r="TFE170" s="202"/>
      <c r="TFF170" s="203"/>
      <c r="TFG170" s="124"/>
      <c r="TFI170" s="126"/>
      <c r="TFJ170" s="124"/>
      <c r="TFL170" s="111"/>
      <c r="TFN170" s="200"/>
      <c r="TFO170" s="201"/>
      <c r="TFP170" s="201"/>
      <c r="TFQ170" s="200"/>
      <c r="TFR170" s="202"/>
      <c r="TFS170" s="203"/>
      <c r="TFT170" s="124"/>
      <c r="TFV170" s="126"/>
      <c r="TFW170" s="124"/>
      <c r="TFY170" s="111"/>
      <c r="TGA170" s="200"/>
      <c r="TGB170" s="201"/>
      <c r="TGC170" s="201"/>
      <c r="TGD170" s="200"/>
      <c r="TGE170" s="202"/>
      <c r="TGF170" s="203"/>
      <c r="TGG170" s="124"/>
      <c r="TGI170" s="126"/>
      <c r="TGJ170" s="124"/>
      <c r="TGL170" s="111"/>
      <c r="TGN170" s="200"/>
      <c r="TGO170" s="201"/>
      <c r="TGP170" s="201"/>
      <c r="TGQ170" s="200"/>
      <c r="TGR170" s="202"/>
      <c r="TGS170" s="203"/>
      <c r="TGT170" s="124"/>
      <c r="TGV170" s="126"/>
      <c r="TGW170" s="124"/>
      <c r="TGY170" s="111"/>
      <c r="THA170" s="200"/>
      <c r="THB170" s="201"/>
      <c r="THC170" s="201"/>
      <c r="THD170" s="200"/>
      <c r="THE170" s="202"/>
      <c r="THF170" s="203"/>
      <c r="THG170" s="124"/>
      <c r="THI170" s="126"/>
      <c r="THJ170" s="124"/>
      <c r="THL170" s="111"/>
      <c r="THN170" s="200"/>
      <c r="THO170" s="201"/>
      <c r="THP170" s="201"/>
      <c r="THQ170" s="200"/>
      <c r="THR170" s="202"/>
      <c r="THS170" s="203"/>
      <c r="THT170" s="124"/>
      <c r="THV170" s="126"/>
      <c r="THW170" s="124"/>
      <c r="THY170" s="111"/>
      <c r="TIA170" s="200"/>
      <c r="TIB170" s="201"/>
      <c r="TIC170" s="201"/>
      <c r="TID170" s="200"/>
      <c r="TIE170" s="202"/>
      <c r="TIF170" s="203"/>
      <c r="TIG170" s="124"/>
      <c r="TII170" s="126"/>
      <c r="TIJ170" s="124"/>
      <c r="TIL170" s="111"/>
      <c r="TIN170" s="200"/>
      <c r="TIO170" s="201"/>
      <c r="TIP170" s="201"/>
      <c r="TIQ170" s="200"/>
      <c r="TIR170" s="202"/>
      <c r="TIS170" s="203"/>
      <c r="TIT170" s="124"/>
      <c r="TIV170" s="126"/>
      <c r="TIW170" s="124"/>
      <c r="TIY170" s="111"/>
      <c r="TJA170" s="200"/>
      <c r="TJB170" s="201"/>
      <c r="TJC170" s="201"/>
      <c r="TJD170" s="200"/>
      <c r="TJE170" s="202"/>
      <c r="TJF170" s="203"/>
      <c r="TJG170" s="124"/>
      <c r="TJI170" s="126"/>
      <c r="TJJ170" s="124"/>
      <c r="TJL170" s="111"/>
      <c r="TJN170" s="200"/>
      <c r="TJO170" s="201"/>
      <c r="TJP170" s="201"/>
      <c r="TJQ170" s="200"/>
      <c r="TJR170" s="202"/>
      <c r="TJS170" s="203"/>
      <c r="TJT170" s="124"/>
      <c r="TJV170" s="126"/>
      <c r="TJW170" s="124"/>
      <c r="TJY170" s="111"/>
      <c r="TKA170" s="200"/>
      <c r="TKB170" s="201"/>
      <c r="TKC170" s="201"/>
      <c r="TKD170" s="200"/>
      <c r="TKE170" s="202"/>
      <c r="TKF170" s="203"/>
      <c r="TKG170" s="124"/>
      <c r="TKI170" s="126"/>
      <c r="TKJ170" s="124"/>
      <c r="TKL170" s="111"/>
      <c r="TKN170" s="200"/>
      <c r="TKO170" s="201"/>
      <c r="TKP170" s="201"/>
      <c r="TKQ170" s="200"/>
      <c r="TKR170" s="202"/>
      <c r="TKS170" s="203"/>
      <c r="TKT170" s="124"/>
      <c r="TKV170" s="126"/>
      <c r="TKW170" s="124"/>
      <c r="TKY170" s="111"/>
      <c r="TLA170" s="200"/>
      <c r="TLB170" s="201"/>
      <c r="TLC170" s="201"/>
      <c r="TLD170" s="200"/>
      <c r="TLE170" s="202"/>
      <c r="TLF170" s="203"/>
      <c r="TLG170" s="124"/>
      <c r="TLI170" s="126"/>
      <c r="TLJ170" s="124"/>
      <c r="TLL170" s="111"/>
      <c r="TLN170" s="200"/>
      <c r="TLO170" s="201"/>
      <c r="TLP170" s="201"/>
      <c r="TLQ170" s="200"/>
      <c r="TLR170" s="202"/>
      <c r="TLS170" s="203"/>
      <c r="TLT170" s="124"/>
      <c r="TLV170" s="126"/>
      <c r="TLW170" s="124"/>
      <c r="TLY170" s="111"/>
      <c r="TMA170" s="200"/>
      <c r="TMB170" s="201"/>
      <c r="TMC170" s="201"/>
      <c r="TMD170" s="200"/>
      <c r="TME170" s="202"/>
      <c r="TMF170" s="203"/>
      <c r="TMG170" s="124"/>
      <c r="TMI170" s="126"/>
      <c r="TMJ170" s="124"/>
      <c r="TML170" s="111"/>
      <c r="TMN170" s="200"/>
      <c r="TMO170" s="201"/>
      <c r="TMP170" s="201"/>
      <c r="TMQ170" s="200"/>
      <c r="TMR170" s="202"/>
      <c r="TMS170" s="203"/>
      <c r="TMT170" s="124"/>
      <c r="TMV170" s="126"/>
      <c r="TMW170" s="124"/>
      <c r="TMY170" s="111"/>
      <c r="TNA170" s="200"/>
      <c r="TNB170" s="201"/>
      <c r="TNC170" s="201"/>
      <c r="TND170" s="200"/>
      <c r="TNE170" s="202"/>
      <c r="TNF170" s="203"/>
      <c r="TNG170" s="124"/>
      <c r="TNI170" s="126"/>
      <c r="TNJ170" s="124"/>
      <c r="TNL170" s="111"/>
      <c r="TNN170" s="200"/>
      <c r="TNO170" s="201"/>
      <c r="TNP170" s="201"/>
      <c r="TNQ170" s="200"/>
      <c r="TNR170" s="202"/>
      <c r="TNS170" s="203"/>
      <c r="TNT170" s="124"/>
      <c r="TNV170" s="126"/>
      <c r="TNW170" s="124"/>
      <c r="TNY170" s="111"/>
      <c r="TOA170" s="200"/>
      <c r="TOB170" s="201"/>
      <c r="TOC170" s="201"/>
      <c r="TOD170" s="200"/>
      <c r="TOE170" s="202"/>
      <c r="TOF170" s="203"/>
      <c r="TOG170" s="124"/>
      <c r="TOI170" s="126"/>
      <c r="TOJ170" s="124"/>
      <c r="TOL170" s="111"/>
      <c r="TON170" s="200"/>
      <c r="TOO170" s="201"/>
      <c r="TOP170" s="201"/>
      <c r="TOQ170" s="200"/>
      <c r="TOR170" s="202"/>
      <c r="TOS170" s="203"/>
      <c r="TOT170" s="124"/>
      <c r="TOV170" s="126"/>
      <c r="TOW170" s="124"/>
      <c r="TOY170" s="111"/>
      <c r="TPA170" s="200"/>
      <c r="TPB170" s="201"/>
      <c r="TPC170" s="201"/>
      <c r="TPD170" s="200"/>
      <c r="TPE170" s="202"/>
      <c r="TPF170" s="203"/>
      <c r="TPG170" s="124"/>
      <c r="TPI170" s="126"/>
      <c r="TPJ170" s="124"/>
      <c r="TPL170" s="111"/>
      <c r="TPN170" s="200"/>
      <c r="TPO170" s="201"/>
      <c r="TPP170" s="201"/>
      <c r="TPQ170" s="200"/>
      <c r="TPR170" s="202"/>
      <c r="TPS170" s="203"/>
      <c r="TPT170" s="124"/>
      <c r="TPV170" s="126"/>
      <c r="TPW170" s="124"/>
      <c r="TPY170" s="111"/>
      <c r="TQA170" s="200"/>
      <c r="TQB170" s="201"/>
      <c r="TQC170" s="201"/>
      <c r="TQD170" s="200"/>
      <c r="TQE170" s="202"/>
      <c r="TQF170" s="203"/>
      <c r="TQG170" s="124"/>
      <c r="TQI170" s="126"/>
      <c r="TQJ170" s="124"/>
      <c r="TQL170" s="111"/>
      <c r="TQN170" s="200"/>
      <c r="TQO170" s="201"/>
      <c r="TQP170" s="201"/>
      <c r="TQQ170" s="200"/>
      <c r="TQR170" s="202"/>
      <c r="TQS170" s="203"/>
      <c r="TQT170" s="124"/>
      <c r="TQV170" s="126"/>
      <c r="TQW170" s="124"/>
      <c r="TQY170" s="111"/>
      <c r="TRA170" s="200"/>
      <c r="TRB170" s="201"/>
      <c r="TRC170" s="201"/>
      <c r="TRD170" s="200"/>
      <c r="TRE170" s="202"/>
      <c r="TRF170" s="203"/>
      <c r="TRG170" s="124"/>
      <c r="TRI170" s="126"/>
      <c r="TRJ170" s="124"/>
      <c r="TRL170" s="111"/>
      <c r="TRN170" s="200"/>
      <c r="TRO170" s="201"/>
      <c r="TRP170" s="201"/>
      <c r="TRQ170" s="200"/>
      <c r="TRR170" s="202"/>
      <c r="TRS170" s="203"/>
      <c r="TRT170" s="124"/>
      <c r="TRV170" s="126"/>
      <c r="TRW170" s="124"/>
      <c r="TRY170" s="111"/>
      <c r="TSA170" s="200"/>
      <c r="TSB170" s="201"/>
      <c r="TSC170" s="201"/>
      <c r="TSD170" s="200"/>
      <c r="TSE170" s="202"/>
      <c r="TSF170" s="203"/>
      <c r="TSG170" s="124"/>
      <c r="TSI170" s="126"/>
      <c r="TSJ170" s="124"/>
      <c r="TSL170" s="111"/>
      <c r="TSN170" s="200"/>
      <c r="TSO170" s="201"/>
      <c r="TSP170" s="201"/>
      <c r="TSQ170" s="200"/>
      <c r="TSR170" s="202"/>
      <c r="TSS170" s="203"/>
      <c r="TST170" s="124"/>
      <c r="TSV170" s="126"/>
      <c r="TSW170" s="124"/>
      <c r="TSY170" s="111"/>
      <c r="TTA170" s="200"/>
      <c r="TTB170" s="201"/>
      <c r="TTC170" s="201"/>
      <c r="TTD170" s="200"/>
      <c r="TTE170" s="202"/>
      <c r="TTF170" s="203"/>
      <c r="TTG170" s="124"/>
      <c r="TTI170" s="126"/>
      <c r="TTJ170" s="124"/>
      <c r="TTL170" s="111"/>
      <c r="TTN170" s="200"/>
      <c r="TTO170" s="201"/>
      <c r="TTP170" s="201"/>
      <c r="TTQ170" s="200"/>
      <c r="TTR170" s="202"/>
      <c r="TTS170" s="203"/>
      <c r="TTT170" s="124"/>
      <c r="TTV170" s="126"/>
      <c r="TTW170" s="124"/>
      <c r="TTY170" s="111"/>
      <c r="TUA170" s="200"/>
      <c r="TUB170" s="201"/>
      <c r="TUC170" s="201"/>
      <c r="TUD170" s="200"/>
      <c r="TUE170" s="202"/>
      <c r="TUF170" s="203"/>
      <c r="TUG170" s="124"/>
      <c r="TUI170" s="126"/>
      <c r="TUJ170" s="124"/>
      <c r="TUL170" s="111"/>
      <c r="TUN170" s="200"/>
      <c r="TUO170" s="201"/>
      <c r="TUP170" s="201"/>
      <c r="TUQ170" s="200"/>
      <c r="TUR170" s="202"/>
      <c r="TUS170" s="203"/>
      <c r="TUT170" s="124"/>
      <c r="TUV170" s="126"/>
      <c r="TUW170" s="124"/>
      <c r="TUY170" s="111"/>
      <c r="TVA170" s="200"/>
      <c r="TVB170" s="201"/>
      <c r="TVC170" s="201"/>
      <c r="TVD170" s="200"/>
      <c r="TVE170" s="202"/>
      <c r="TVF170" s="203"/>
      <c r="TVG170" s="124"/>
      <c r="TVI170" s="126"/>
      <c r="TVJ170" s="124"/>
      <c r="TVL170" s="111"/>
      <c r="TVN170" s="200"/>
      <c r="TVO170" s="201"/>
      <c r="TVP170" s="201"/>
      <c r="TVQ170" s="200"/>
      <c r="TVR170" s="202"/>
      <c r="TVS170" s="203"/>
      <c r="TVT170" s="124"/>
      <c r="TVV170" s="126"/>
      <c r="TVW170" s="124"/>
      <c r="TVY170" s="111"/>
      <c r="TWA170" s="200"/>
      <c r="TWB170" s="201"/>
      <c r="TWC170" s="201"/>
      <c r="TWD170" s="200"/>
      <c r="TWE170" s="202"/>
      <c r="TWF170" s="203"/>
      <c r="TWG170" s="124"/>
      <c r="TWI170" s="126"/>
      <c r="TWJ170" s="124"/>
      <c r="TWL170" s="111"/>
      <c r="TWN170" s="200"/>
      <c r="TWO170" s="201"/>
      <c r="TWP170" s="201"/>
      <c r="TWQ170" s="200"/>
      <c r="TWR170" s="202"/>
      <c r="TWS170" s="203"/>
      <c r="TWT170" s="124"/>
      <c r="TWV170" s="126"/>
      <c r="TWW170" s="124"/>
      <c r="TWY170" s="111"/>
      <c r="TXA170" s="200"/>
      <c r="TXB170" s="201"/>
      <c r="TXC170" s="201"/>
      <c r="TXD170" s="200"/>
      <c r="TXE170" s="202"/>
      <c r="TXF170" s="203"/>
      <c r="TXG170" s="124"/>
      <c r="TXI170" s="126"/>
      <c r="TXJ170" s="124"/>
      <c r="TXL170" s="111"/>
      <c r="TXN170" s="200"/>
      <c r="TXO170" s="201"/>
      <c r="TXP170" s="201"/>
      <c r="TXQ170" s="200"/>
      <c r="TXR170" s="202"/>
      <c r="TXS170" s="203"/>
      <c r="TXT170" s="124"/>
      <c r="TXV170" s="126"/>
      <c r="TXW170" s="124"/>
      <c r="TXY170" s="111"/>
      <c r="TYA170" s="200"/>
      <c r="TYB170" s="201"/>
      <c r="TYC170" s="201"/>
      <c r="TYD170" s="200"/>
      <c r="TYE170" s="202"/>
      <c r="TYF170" s="203"/>
      <c r="TYG170" s="124"/>
      <c r="TYI170" s="126"/>
      <c r="TYJ170" s="124"/>
      <c r="TYL170" s="111"/>
      <c r="TYN170" s="200"/>
      <c r="TYO170" s="201"/>
      <c r="TYP170" s="201"/>
      <c r="TYQ170" s="200"/>
      <c r="TYR170" s="202"/>
      <c r="TYS170" s="203"/>
      <c r="TYT170" s="124"/>
      <c r="TYV170" s="126"/>
      <c r="TYW170" s="124"/>
      <c r="TYY170" s="111"/>
      <c r="TZA170" s="200"/>
      <c r="TZB170" s="201"/>
      <c r="TZC170" s="201"/>
      <c r="TZD170" s="200"/>
      <c r="TZE170" s="202"/>
      <c r="TZF170" s="203"/>
      <c r="TZG170" s="124"/>
      <c r="TZI170" s="126"/>
      <c r="TZJ170" s="124"/>
      <c r="TZL170" s="111"/>
      <c r="TZN170" s="200"/>
      <c r="TZO170" s="201"/>
      <c r="TZP170" s="201"/>
      <c r="TZQ170" s="200"/>
      <c r="TZR170" s="202"/>
      <c r="TZS170" s="203"/>
      <c r="TZT170" s="124"/>
      <c r="TZV170" s="126"/>
      <c r="TZW170" s="124"/>
      <c r="TZY170" s="111"/>
      <c r="UAA170" s="200"/>
      <c r="UAB170" s="201"/>
      <c r="UAC170" s="201"/>
      <c r="UAD170" s="200"/>
      <c r="UAE170" s="202"/>
      <c r="UAF170" s="203"/>
      <c r="UAG170" s="124"/>
      <c r="UAI170" s="126"/>
      <c r="UAJ170" s="124"/>
      <c r="UAL170" s="111"/>
      <c r="UAN170" s="200"/>
      <c r="UAO170" s="201"/>
      <c r="UAP170" s="201"/>
      <c r="UAQ170" s="200"/>
      <c r="UAR170" s="202"/>
      <c r="UAS170" s="203"/>
      <c r="UAT170" s="124"/>
      <c r="UAV170" s="126"/>
      <c r="UAW170" s="124"/>
      <c r="UAY170" s="111"/>
      <c r="UBA170" s="200"/>
      <c r="UBB170" s="201"/>
      <c r="UBC170" s="201"/>
      <c r="UBD170" s="200"/>
      <c r="UBE170" s="202"/>
      <c r="UBF170" s="203"/>
      <c r="UBG170" s="124"/>
      <c r="UBI170" s="126"/>
      <c r="UBJ170" s="124"/>
      <c r="UBL170" s="111"/>
      <c r="UBN170" s="200"/>
      <c r="UBO170" s="201"/>
      <c r="UBP170" s="201"/>
      <c r="UBQ170" s="200"/>
      <c r="UBR170" s="202"/>
      <c r="UBS170" s="203"/>
      <c r="UBT170" s="124"/>
      <c r="UBV170" s="126"/>
      <c r="UBW170" s="124"/>
      <c r="UBY170" s="111"/>
      <c r="UCA170" s="200"/>
      <c r="UCB170" s="201"/>
      <c r="UCC170" s="201"/>
      <c r="UCD170" s="200"/>
      <c r="UCE170" s="202"/>
      <c r="UCF170" s="203"/>
      <c r="UCG170" s="124"/>
      <c r="UCI170" s="126"/>
      <c r="UCJ170" s="124"/>
      <c r="UCL170" s="111"/>
      <c r="UCN170" s="200"/>
      <c r="UCO170" s="201"/>
      <c r="UCP170" s="201"/>
      <c r="UCQ170" s="200"/>
      <c r="UCR170" s="202"/>
      <c r="UCS170" s="203"/>
      <c r="UCT170" s="124"/>
      <c r="UCV170" s="126"/>
      <c r="UCW170" s="124"/>
      <c r="UCY170" s="111"/>
      <c r="UDA170" s="200"/>
      <c r="UDB170" s="201"/>
      <c r="UDC170" s="201"/>
      <c r="UDD170" s="200"/>
      <c r="UDE170" s="202"/>
      <c r="UDF170" s="203"/>
      <c r="UDG170" s="124"/>
      <c r="UDI170" s="126"/>
      <c r="UDJ170" s="124"/>
      <c r="UDL170" s="111"/>
      <c r="UDN170" s="200"/>
      <c r="UDO170" s="201"/>
      <c r="UDP170" s="201"/>
      <c r="UDQ170" s="200"/>
      <c r="UDR170" s="202"/>
      <c r="UDS170" s="203"/>
      <c r="UDT170" s="124"/>
      <c r="UDV170" s="126"/>
      <c r="UDW170" s="124"/>
      <c r="UDY170" s="111"/>
      <c r="UEA170" s="200"/>
      <c r="UEB170" s="201"/>
      <c r="UEC170" s="201"/>
      <c r="UED170" s="200"/>
      <c r="UEE170" s="202"/>
      <c r="UEF170" s="203"/>
      <c r="UEG170" s="124"/>
      <c r="UEI170" s="126"/>
      <c r="UEJ170" s="124"/>
      <c r="UEL170" s="111"/>
      <c r="UEN170" s="200"/>
      <c r="UEO170" s="201"/>
      <c r="UEP170" s="201"/>
      <c r="UEQ170" s="200"/>
      <c r="UER170" s="202"/>
      <c r="UES170" s="203"/>
      <c r="UET170" s="124"/>
      <c r="UEV170" s="126"/>
      <c r="UEW170" s="124"/>
      <c r="UEY170" s="111"/>
      <c r="UFA170" s="200"/>
      <c r="UFB170" s="201"/>
      <c r="UFC170" s="201"/>
      <c r="UFD170" s="200"/>
      <c r="UFE170" s="202"/>
      <c r="UFF170" s="203"/>
      <c r="UFG170" s="124"/>
      <c r="UFI170" s="126"/>
      <c r="UFJ170" s="124"/>
      <c r="UFL170" s="111"/>
      <c r="UFN170" s="200"/>
      <c r="UFO170" s="201"/>
      <c r="UFP170" s="201"/>
      <c r="UFQ170" s="200"/>
      <c r="UFR170" s="202"/>
      <c r="UFS170" s="203"/>
      <c r="UFT170" s="124"/>
      <c r="UFV170" s="126"/>
      <c r="UFW170" s="124"/>
      <c r="UFY170" s="111"/>
      <c r="UGA170" s="200"/>
      <c r="UGB170" s="201"/>
      <c r="UGC170" s="201"/>
      <c r="UGD170" s="200"/>
      <c r="UGE170" s="202"/>
      <c r="UGF170" s="203"/>
      <c r="UGG170" s="124"/>
      <c r="UGI170" s="126"/>
      <c r="UGJ170" s="124"/>
      <c r="UGL170" s="111"/>
      <c r="UGN170" s="200"/>
      <c r="UGO170" s="201"/>
      <c r="UGP170" s="201"/>
      <c r="UGQ170" s="200"/>
      <c r="UGR170" s="202"/>
      <c r="UGS170" s="203"/>
      <c r="UGT170" s="124"/>
      <c r="UGV170" s="126"/>
      <c r="UGW170" s="124"/>
      <c r="UGY170" s="111"/>
      <c r="UHA170" s="200"/>
      <c r="UHB170" s="201"/>
      <c r="UHC170" s="201"/>
      <c r="UHD170" s="200"/>
      <c r="UHE170" s="202"/>
      <c r="UHF170" s="203"/>
      <c r="UHG170" s="124"/>
      <c r="UHI170" s="126"/>
      <c r="UHJ170" s="124"/>
      <c r="UHL170" s="111"/>
      <c r="UHN170" s="200"/>
      <c r="UHO170" s="201"/>
      <c r="UHP170" s="201"/>
      <c r="UHQ170" s="200"/>
      <c r="UHR170" s="202"/>
      <c r="UHS170" s="203"/>
      <c r="UHT170" s="124"/>
      <c r="UHV170" s="126"/>
      <c r="UHW170" s="124"/>
      <c r="UHY170" s="111"/>
      <c r="UIA170" s="200"/>
      <c r="UIB170" s="201"/>
      <c r="UIC170" s="201"/>
      <c r="UID170" s="200"/>
      <c r="UIE170" s="202"/>
      <c r="UIF170" s="203"/>
      <c r="UIG170" s="124"/>
      <c r="UII170" s="126"/>
      <c r="UIJ170" s="124"/>
      <c r="UIL170" s="111"/>
      <c r="UIN170" s="200"/>
      <c r="UIO170" s="201"/>
      <c r="UIP170" s="201"/>
      <c r="UIQ170" s="200"/>
      <c r="UIR170" s="202"/>
      <c r="UIS170" s="203"/>
      <c r="UIT170" s="124"/>
      <c r="UIV170" s="126"/>
      <c r="UIW170" s="124"/>
      <c r="UIY170" s="111"/>
      <c r="UJA170" s="200"/>
      <c r="UJB170" s="201"/>
      <c r="UJC170" s="201"/>
      <c r="UJD170" s="200"/>
      <c r="UJE170" s="202"/>
      <c r="UJF170" s="203"/>
      <c r="UJG170" s="124"/>
      <c r="UJI170" s="126"/>
      <c r="UJJ170" s="124"/>
      <c r="UJL170" s="111"/>
      <c r="UJN170" s="200"/>
      <c r="UJO170" s="201"/>
      <c r="UJP170" s="201"/>
      <c r="UJQ170" s="200"/>
      <c r="UJR170" s="202"/>
      <c r="UJS170" s="203"/>
      <c r="UJT170" s="124"/>
      <c r="UJV170" s="126"/>
      <c r="UJW170" s="124"/>
      <c r="UJY170" s="111"/>
      <c r="UKA170" s="200"/>
      <c r="UKB170" s="201"/>
      <c r="UKC170" s="201"/>
      <c r="UKD170" s="200"/>
      <c r="UKE170" s="202"/>
      <c r="UKF170" s="203"/>
      <c r="UKG170" s="124"/>
      <c r="UKI170" s="126"/>
      <c r="UKJ170" s="124"/>
      <c r="UKL170" s="111"/>
      <c r="UKN170" s="200"/>
      <c r="UKO170" s="201"/>
      <c r="UKP170" s="201"/>
      <c r="UKQ170" s="200"/>
      <c r="UKR170" s="202"/>
      <c r="UKS170" s="203"/>
      <c r="UKT170" s="124"/>
      <c r="UKV170" s="126"/>
      <c r="UKW170" s="124"/>
      <c r="UKY170" s="111"/>
      <c r="ULA170" s="200"/>
      <c r="ULB170" s="201"/>
      <c r="ULC170" s="201"/>
      <c r="ULD170" s="200"/>
      <c r="ULE170" s="202"/>
      <c r="ULF170" s="203"/>
      <c r="ULG170" s="124"/>
      <c r="ULI170" s="126"/>
      <c r="ULJ170" s="124"/>
      <c r="ULL170" s="111"/>
      <c r="ULN170" s="200"/>
      <c r="ULO170" s="201"/>
      <c r="ULP170" s="201"/>
      <c r="ULQ170" s="200"/>
      <c r="ULR170" s="202"/>
      <c r="ULS170" s="203"/>
      <c r="ULT170" s="124"/>
      <c r="ULV170" s="126"/>
      <c r="ULW170" s="124"/>
      <c r="ULY170" s="111"/>
      <c r="UMA170" s="200"/>
      <c r="UMB170" s="201"/>
      <c r="UMC170" s="201"/>
      <c r="UMD170" s="200"/>
      <c r="UME170" s="202"/>
      <c r="UMF170" s="203"/>
      <c r="UMG170" s="124"/>
      <c r="UMI170" s="126"/>
      <c r="UMJ170" s="124"/>
      <c r="UML170" s="111"/>
      <c r="UMN170" s="200"/>
      <c r="UMO170" s="201"/>
      <c r="UMP170" s="201"/>
      <c r="UMQ170" s="200"/>
      <c r="UMR170" s="202"/>
      <c r="UMS170" s="203"/>
      <c r="UMT170" s="124"/>
      <c r="UMV170" s="126"/>
      <c r="UMW170" s="124"/>
      <c r="UMY170" s="111"/>
      <c r="UNA170" s="200"/>
      <c r="UNB170" s="201"/>
      <c r="UNC170" s="201"/>
      <c r="UND170" s="200"/>
      <c r="UNE170" s="202"/>
      <c r="UNF170" s="203"/>
      <c r="UNG170" s="124"/>
      <c r="UNI170" s="126"/>
      <c r="UNJ170" s="124"/>
      <c r="UNL170" s="111"/>
      <c r="UNN170" s="200"/>
      <c r="UNO170" s="201"/>
      <c r="UNP170" s="201"/>
      <c r="UNQ170" s="200"/>
      <c r="UNR170" s="202"/>
      <c r="UNS170" s="203"/>
      <c r="UNT170" s="124"/>
      <c r="UNV170" s="126"/>
      <c r="UNW170" s="124"/>
      <c r="UNY170" s="111"/>
      <c r="UOA170" s="200"/>
      <c r="UOB170" s="201"/>
      <c r="UOC170" s="201"/>
      <c r="UOD170" s="200"/>
      <c r="UOE170" s="202"/>
      <c r="UOF170" s="203"/>
      <c r="UOG170" s="124"/>
      <c r="UOI170" s="126"/>
      <c r="UOJ170" s="124"/>
      <c r="UOL170" s="111"/>
      <c r="UON170" s="200"/>
      <c r="UOO170" s="201"/>
      <c r="UOP170" s="201"/>
      <c r="UOQ170" s="200"/>
      <c r="UOR170" s="202"/>
      <c r="UOS170" s="203"/>
      <c r="UOT170" s="124"/>
      <c r="UOV170" s="126"/>
      <c r="UOW170" s="124"/>
      <c r="UOY170" s="111"/>
      <c r="UPA170" s="200"/>
      <c r="UPB170" s="201"/>
      <c r="UPC170" s="201"/>
      <c r="UPD170" s="200"/>
      <c r="UPE170" s="202"/>
      <c r="UPF170" s="203"/>
      <c r="UPG170" s="124"/>
      <c r="UPI170" s="126"/>
      <c r="UPJ170" s="124"/>
      <c r="UPL170" s="111"/>
      <c r="UPN170" s="200"/>
      <c r="UPO170" s="201"/>
      <c r="UPP170" s="201"/>
      <c r="UPQ170" s="200"/>
      <c r="UPR170" s="202"/>
      <c r="UPS170" s="203"/>
      <c r="UPT170" s="124"/>
      <c r="UPV170" s="126"/>
      <c r="UPW170" s="124"/>
      <c r="UPY170" s="111"/>
      <c r="UQA170" s="200"/>
      <c r="UQB170" s="201"/>
      <c r="UQC170" s="201"/>
      <c r="UQD170" s="200"/>
      <c r="UQE170" s="202"/>
      <c r="UQF170" s="203"/>
      <c r="UQG170" s="124"/>
      <c r="UQI170" s="126"/>
      <c r="UQJ170" s="124"/>
      <c r="UQL170" s="111"/>
      <c r="UQN170" s="200"/>
      <c r="UQO170" s="201"/>
      <c r="UQP170" s="201"/>
      <c r="UQQ170" s="200"/>
      <c r="UQR170" s="202"/>
      <c r="UQS170" s="203"/>
      <c r="UQT170" s="124"/>
      <c r="UQV170" s="126"/>
      <c r="UQW170" s="124"/>
      <c r="UQY170" s="111"/>
      <c r="URA170" s="200"/>
      <c r="URB170" s="201"/>
      <c r="URC170" s="201"/>
      <c r="URD170" s="200"/>
      <c r="URE170" s="202"/>
      <c r="URF170" s="203"/>
      <c r="URG170" s="124"/>
      <c r="URI170" s="126"/>
      <c r="URJ170" s="124"/>
      <c r="URL170" s="111"/>
      <c r="URN170" s="200"/>
      <c r="URO170" s="201"/>
      <c r="URP170" s="201"/>
      <c r="URQ170" s="200"/>
      <c r="URR170" s="202"/>
      <c r="URS170" s="203"/>
      <c r="URT170" s="124"/>
      <c r="URV170" s="126"/>
      <c r="URW170" s="124"/>
      <c r="URY170" s="111"/>
      <c r="USA170" s="200"/>
      <c r="USB170" s="201"/>
      <c r="USC170" s="201"/>
      <c r="USD170" s="200"/>
      <c r="USE170" s="202"/>
      <c r="USF170" s="203"/>
      <c r="USG170" s="124"/>
      <c r="USI170" s="126"/>
      <c r="USJ170" s="124"/>
      <c r="USL170" s="111"/>
      <c r="USN170" s="200"/>
      <c r="USO170" s="201"/>
      <c r="USP170" s="201"/>
      <c r="USQ170" s="200"/>
      <c r="USR170" s="202"/>
      <c r="USS170" s="203"/>
      <c r="UST170" s="124"/>
      <c r="USV170" s="126"/>
      <c r="USW170" s="124"/>
      <c r="USY170" s="111"/>
      <c r="UTA170" s="200"/>
      <c r="UTB170" s="201"/>
      <c r="UTC170" s="201"/>
      <c r="UTD170" s="200"/>
      <c r="UTE170" s="202"/>
      <c r="UTF170" s="203"/>
      <c r="UTG170" s="124"/>
      <c r="UTI170" s="126"/>
      <c r="UTJ170" s="124"/>
      <c r="UTL170" s="111"/>
      <c r="UTN170" s="200"/>
      <c r="UTO170" s="201"/>
      <c r="UTP170" s="201"/>
      <c r="UTQ170" s="200"/>
      <c r="UTR170" s="202"/>
      <c r="UTS170" s="203"/>
      <c r="UTT170" s="124"/>
      <c r="UTV170" s="126"/>
      <c r="UTW170" s="124"/>
      <c r="UTY170" s="111"/>
      <c r="UUA170" s="200"/>
      <c r="UUB170" s="201"/>
      <c r="UUC170" s="201"/>
      <c r="UUD170" s="200"/>
      <c r="UUE170" s="202"/>
      <c r="UUF170" s="203"/>
      <c r="UUG170" s="124"/>
      <c r="UUI170" s="126"/>
      <c r="UUJ170" s="124"/>
      <c r="UUL170" s="111"/>
      <c r="UUN170" s="200"/>
      <c r="UUO170" s="201"/>
      <c r="UUP170" s="201"/>
      <c r="UUQ170" s="200"/>
      <c r="UUR170" s="202"/>
      <c r="UUS170" s="203"/>
      <c r="UUT170" s="124"/>
      <c r="UUV170" s="126"/>
      <c r="UUW170" s="124"/>
      <c r="UUY170" s="111"/>
      <c r="UVA170" s="200"/>
      <c r="UVB170" s="201"/>
      <c r="UVC170" s="201"/>
      <c r="UVD170" s="200"/>
      <c r="UVE170" s="202"/>
      <c r="UVF170" s="203"/>
      <c r="UVG170" s="124"/>
      <c r="UVI170" s="126"/>
      <c r="UVJ170" s="124"/>
      <c r="UVL170" s="111"/>
      <c r="UVN170" s="200"/>
      <c r="UVO170" s="201"/>
      <c r="UVP170" s="201"/>
      <c r="UVQ170" s="200"/>
      <c r="UVR170" s="202"/>
      <c r="UVS170" s="203"/>
      <c r="UVT170" s="124"/>
      <c r="UVV170" s="126"/>
      <c r="UVW170" s="124"/>
      <c r="UVY170" s="111"/>
      <c r="UWA170" s="200"/>
      <c r="UWB170" s="201"/>
      <c r="UWC170" s="201"/>
      <c r="UWD170" s="200"/>
      <c r="UWE170" s="202"/>
      <c r="UWF170" s="203"/>
      <c r="UWG170" s="124"/>
      <c r="UWI170" s="126"/>
      <c r="UWJ170" s="124"/>
      <c r="UWL170" s="111"/>
      <c r="UWN170" s="200"/>
      <c r="UWO170" s="201"/>
      <c r="UWP170" s="201"/>
      <c r="UWQ170" s="200"/>
      <c r="UWR170" s="202"/>
      <c r="UWS170" s="203"/>
      <c r="UWT170" s="124"/>
      <c r="UWV170" s="126"/>
      <c r="UWW170" s="124"/>
      <c r="UWY170" s="111"/>
      <c r="UXA170" s="200"/>
      <c r="UXB170" s="201"/>
      <c r="UXC170" s="201"/>
      <c r="UXD170" s="200"/>
      <c r="UXE170" s="202"/>
      <c r="UXF170" s="203"/>
      <c r="UXG170" s="124"/>
      <c r="UXI170" s="126"/>
      <c r="UXJ170" s="124"/>
      <c r="UXL170" s="111"/>
      <c r="UXN170" s="200"/>
      <c r="UXO170" s="201"/>
      <c r="UXP170" s="201"/>
      <c r="UXQ170" s="200"/>
      <c r="UXR170" s="202"/>
      <c r="UXS170" s="203"/>
      <c r="UXT170" s="124"/>
      <c r="UXV170" s="126"/>
      <c r="UXW170" s="124"/>
      <c r="UXY170" s="111"/>
      <c r="UYA170" s="200"/>
      <c r="UYB170" s="201"/>
      <c r="UYC170" s="201"/>
      <c r="UYD170" s="200"/>
      <c r="UYE170" s="202"/>
      <c r="UYF170" s="203"/>
      <c r="UYG170" s="124"/>
      <c r="UYI170" s="126"/>
      <c r="UYJ170" s="124"/>
      <c r="UYL170" s="111"/>
      <c r="UYN170" s="200"/>
      <c r="UYO170" s="201"/>
      <c r="UYP170" s="201"/>
      <c r="UYQ170" s="200"/>
      <c r="UYR170" s="202"/>
      <c r="UYS170" s="203"/>
      <c r="UYT170" s="124"/>
      <c r="UYV170" s="126"/>
      <c r="UYW170" s="124"/>
      <c r="UYY170" s="111"/>
      <c r="UZA170" s="200"/>
      <c r="UZB170" s="201"/>
      <c r="UZC170" s="201"/>
      <c r="UZD170" s="200"/>
      <c r="UZE170" s="202"/>
      <c r="UZF170" s="203"/>
      <c r="UZG170" s="124"/>
      <c r="UZI170" s="126"/>
      <c r="UZJ170" s="124"/>
      <c r="UZL170" s="111"/>
      <c r="UZN170" s="200"/>
      <c r="UZO170" s="201"/>
      <c r="UZP170" s="201"/>
      <c r="UZQ170" s="200"/>
      <c r="UZR170" s="202"/>
      <c r="UZS170" s="203"/>
      <c r="UZT170" s="124"/>
      <c r="UZV170" s="126"/>
      <c r="UZW170" s="124"/>
      <c r="UZY170" s="111"/>
      <c r="VAA170" s="200"/>
      <c r="VAB170" s="201"/>
      <c r="VAC170" s="201"/>
      <c r="VAD170" s="200"/>
      <c r="VAE170" s="202"/>
      <c r="VAF170" s="203"/>
      <c r="VAG170" s="124"/>
      <c r="VAI170" s="126"/>
      <c r="VAJ170" s="124"/>
      <c r="VAL170" s="111"/>
      <c r="VAN170" s="200"/>
      <c r="VAO170" s="201"/>
      <c r="VAP170" s="201"/>
      <c r="VAQ170" s="200"/>
      <c r="VAR170" s="202"/>
      <c r="VAS170" s="203"/>
      <c r="VAT170" s="124"/>
      <c r="VAV170" s="126"/>
      <c r="VAW170" s="124"/>
      <c r="VAY170" s="111"/>
      <c r="VBA170" s="200"/>
      <c r="VBB170" s="201"/>
      <c r="VBC170" s="201"/>
      <c r="VBD170" s="200"/>
      <c r="VBE170" s="202"/>
      <c r="VBF170" s="203"/>
      <c r="VBG170" s="124"/>
      <c r="VBI170" s="126"/>
      <c r="VBJ170" s="124"/>
      <c r="VBL170" s="111"/>
      <c r="VBN170" s="200"/>
      <c r="VBO170" s="201"/>
      <c r="VBP170" s="201"/>
      <c r="VBQ170" s="200"/>
      <c r="VBR170" s="202"/>
      <c r="VBS170" s="203"/>
      <c r="VBT170" s="124"/>
      <c r="VBV170" s="126"/>
      <c r="VBW170" s="124"/>
      <c r="VBY170" s="111"/>
      <c r="VCA170" s="200"/>
      <c r="VCB170" s="201"/>
      <c r="VCC170" s="201"/>
      <c r="VCD170" s="200"/>
      <c r="VCE170" s="202"/>
      <c r="VCF170" s="203"/>
      <c r="VCG170" s="124"/>
      <c r="VCI170" s="126"/>
      <c r="VCJ170" s="124"/>
      <c r="VCL170" s="111"/>
      <c r="VCN170" s="200"/>
      <c r="VCO170" s="201"/>
      <c r="VCP170" s="201"/>
      <c r="VCQ170" s="200"/>
      <c r="VCR170" s="202"/>
      <c r="VCS170" s="203"/>
      <c r="VCT170" s="124"/>
      <c r="VCV170" s="126"/>
      <c r="VCW170" s="124"/>
      <c r="VCY170" s="111"/>
      <c r="VDA170" s="200"/>
      <c r="VDB170" s="201"/>
      <c r="VDC170" s="201"/>
      <c r="VDD170" s="200"/>
      <c r="VDE170" s="202"/>
      <c r="VDF170" s="203"/>
      <c r="VDG170" s="124"/>
      <c r="VDI170" s="126"/>
      <c r="VDJ170" s="124"/>
      <c r="VDL170" s="111"/>
      <c r="VDN170" s="200"/>
      <c r="VDO170" s="201"/>
      <c r="VDP170" s="201"/>
      <c r="VDQ170" s="200"/>
      <c r="VDR170" s="202"/>
      <c r="VDS170" s="203"/>
      <c r="VDT170" s="124"/>
      <c r="VDV170" s="126"/>
      <c r="VDW170" s="124"/>
      <c r="VDY170" s="111"/>
      <c r="VEA170" s="200"/>
      <c r="VEB170" s="201"/>
      <c r="VEC170" s="201"/>
      <c r="VED170" s="200"/>
      <c r="VEE170" s="202"/>
      <c r="VEF170" s="203"/>
      <c r="VEG170" s="124"/>
      <c r="VEI170" s="126"/>
      <c r="VEJ170" s="124"/>
      <c r="VEL170" s="111"/>
      <c r="VEN170" s="200"/>
      <c r="VEO170" s="201"/>
      <c r="VEP170" s="201"/>
      <c r="VEQ170" s="200"/>
      <c r="VER170" s="202"/>
      <c r="VES170" s="203"/>
      <c r="VET170" s="124"/>
      <c r="VEV170" s="126"/>
      <c r="VEW170" s="124"/>
      <c r="VEY170" s="111"/>
      <c r="VFA170" s="200"/>
      <c r="VFB170" s="201"/>
      <c r="VFC170" s="201"/>
      <c r="VFD170" s="200"/>
      <c r="VFE170" s="202"/>
      <c r="VFF170" s="203"/>
      <c r="VFG170" s="124"/>
      <c r="VFI170" s="126"/>
      <c r="VFJ170" s="124"/>
      <c r="VFL170" s="111"/>
      <c r="VFN170" s="200"/>
      <c r="VFO170" s="201"/>
      <c r="VFP170" s="201"/>
      <c r="VFQ170" s="200"/>
      <c r="VFR170" s="202"/>
      <c r="VFS170" s="203"/>
      <c r="VFT170" s="124"/>
      <c r="VFV170" s="126"/>
      <c r="VFW170" s="124"/>
      <c r="VFY170" s="111"/>
      <c r="VGA170" s="200"/>
      <c r="VGB170" s="201"/>
      <c r="VGC170" s="201"/>
      <c r="VGD170" s="200"/>
      <c r="VGE170" s="202"/>
      <c r="VGF170" s="203"/>
      <c r="VGG170" s="124"/>
      <c r="VGI170" s="126"/>
      <c r="VGJ170" s="124"/>
      <c r="VGL170" s="111"/>
      <c r="VGN170" s="200"/>
      <c r="VGO170" s="201"/>
      <c r="VGP170" s="201"/>
      <c r="VGQ170" s="200"/>
      <c r="VGR170" s="202"/>
      <c r="VGS170" s="203"/>
      <c r="VGT170" s="124"/>
      <c r="VGV170" s="126"/>
      <c r="VGW170" s="124"/>
      <c r="VGY170" s="111"/>
      <c r="VHA170" s="200"/>
      <c r="VHB170" s="201"/>
      <c r="VHC170" s="201"/>
      <c r="VHD170" s="200"/>
      <c r="VHE170" s="202"/>
      <c r="VHF170" s="203"/>
      <c r="VHG170" s="124"/>
      <c r="VHI170" s="126"/>
      <c r="VHJ170" s="124"/>
      <c r="VHL170" s="111"/>
      <c r="VHN170" s="200"/>
      <c r="VHO170" s="201"/>
      <c r="VHP170" s="201"/>
      <c r="VHQ170" s="200"/>
      <c r="VHR170" s="202"/>
      <c r="VHS170" s="203"/>
      <c r="VHT170" s="124"/>
      <c r="VHV170" s="126"/>
      <c r="VHW170" s="124"/>
      <c r="VHY170" s="111"/>
      <c r="VIA170" s="200"/>
      <c r="VIB170" s="201"/>
      <c r="VIC170" s="201"/>
      <c r="VID170" s="200"/>
      <c r="VIE170" s="202"/>
      <c r="VIF170" s="203"/>
      <c r="VIG170" s="124"/>
      <c r="VII170" s="126"/>
      <c r="VIJ170" s="124"/>
      <c r="VIL170" s="111"/>
      <c r="VIN170" s="200"/>
      <c r="VIO170" s="201"/>
      <c r="VIP170" s="201"/>
      <c r="VIQ170" s="200"/>
      <c r="VIR170" s="202"/>
      <c r="VIS170" s="203"/>
      <c r="VIT170" s="124"/>
      <c r="VIV170" s="126"/>
      <c r="VIW170" s="124"/>
      <c r="VIY170" s="111"/>
      <c r="VJA170" s="200"/>
      <c r="VJB170" s="201"/>
      <c r="VJC170" s="201"/>
      <c r="VJD170" s="200"/>
      <c r="VJE170" s="202"/>
      <c r="VJF170" s="203"/>
      <c r="VJG170" s="124"/>
      <c r="VJI170" s="126"/>
      <c r="VJJ170" s="124"/>
      <c r="VJL170" s="111"/>
      <c r="VJN170" s="200"/>
      <c r="VJO170" s="201"/>
      <c r="VJP170" s="201"/>
      <c r="VJQ170" s="200"/>
      <c r="VJR170" s="202"/>
      <c r="VJS170" s="203"/>
      <c r="VJT170" s="124"/>
      <c r="VJV170" s="126"/>
      <c r="VJW170" s="124"/>
      <c r="VJY170" s="111"/>
      <c r="VKA170" s="200"/>
      <c r="VKB170" s="201"/>
      <c r="VKC170" s="201"/>
      <c r="VKD170" s="200"/>
      <c r="VKE170" s="202"/>
      <c r="VKF170" s="203"/>
      <c r="VKG170" s="124"/>
      <c r="VKI170" s="126"/>
      <c r="VKJ170" s="124"/>
      <c r="VKL170" s="111"/>
      <c r="VKN170" s="200"/>
      <c r="VKO170" s="201"/>
      <c r="VKP170" s="201"/>
      <c r="VKQ170" s="200"/>
      <c r="VKR170" s="202"/>
      <c r="VKS170" s="203"/>
      <c r="VKT170" s="124"/>
      <c r="VKV170" s="126"/>
      <c r="VKW170" s="124"/>
      <c r="VKY170" s="111"/>
      <c r="VLA170" s="200"/>
      <c r="VLB170" s="201"/>
      <c r="VLC170" s="201"/>
      <c r="VLD170" s="200"/>
      <c r="VLE170" s="202"/>
      <c r="VLF170" s="203"/>
      <c r="VLG170" s="124"/>
      <c r="VLI170" s="126"/>
      <c r="VLJ170" s="124"/>
      <c r="VLL170" s="111"/>
      <c r="VLN170" s="200"/>
      <c r="VLO170" s="201"/>
      <c r="VLP170" s="201"/>
      <c r="VLQ170" s="200"/>
      <c r="VLR170" s="202"/>
      <c r="VLS170" s="203"/>
      <c r="VLT170" s="124"/>
      <c r="VLV170" s="126"/>
      <c r="VLW170" s="124"/>
      <c r="VLY170" s="111"/>
      <c r="VMA170" s="200"/>
      <c r="VMB170" s="201"/>
      <c r="VMC170" s="201"/>
      <c r="VMD170" s="200"/>
      <c r="VME170" s="202"/>
      <c r="VMF170" s="203"/>
      <c r="VMG170" s="124"/>
      <c r="VMI170" s="126"/>
      <c r="VMJ170" s="124"/>
      <c r="VML170" s="111"/>
      <c r="VMN170" s="200"/>
      <c r="VMO170" s="201"/>
      <c r="VMP170" s="201"/>
      <c r="VMQ170" s="200"/>
      <c r="VMR170" s="202"/>
      <c r="VMS170" s="203"/>
      <c r="VMT170" s="124"/>
      <c r="VMV170" s="126"/>
      <c r="VMW170" s="124"/>
      <c r="VMY170" s="111"/>
      <c r="VNA170" s="200"/>
      <c r="VNB170" s="201"/>
      <c r="VNC170" s="201"/>
      <c r="VND170" s="200"/>
      <c r="VNE170" s="202"/>
      <c r="VNF170" s="203"/>
      <c r="VNG170" s="124"/>
      <c r="VNI170" s="126"/>
      <c r="VNJ170" s="124"/>
      <c r="VNL170" s="111"/>
      <c r="VNN170" s="200"/>
      <c r="VNO170" s="201"/>
      <c r="VNP170" s="201"/>
      <c r="VNQ170" s="200"/>
      <c r="VNR170" s="202"/>
      <c r="VNS170" s="203"/>
      <c r="VNT170" s="124"/>
      <c r="VNV170" s="126"/>
      <c r="VNW170" s="124"/>
      <c r="VNY170" s="111"/>
      <c r="VOA170" s="200"/>
      <c r="VOB170" s="201"/>
      <c r="VOC170" s="201"/>
      <c r="VOD170" s="200"/>
      <c r="VOE170" s="202"/>
      <c r="VOF170" s="203"/>
      <c r="VOG170" s="124"/>
      <c r="VOI170" s="126"/>
      <c r="VOJ170" s="124"/>
      <c r="VOL170" s="111"/>
      <c r="VON170" s="200"/>
      <c r="VOO170" s="201"/>
      <c r="VOP170" s="201"/>
      <c r="VOQ170" s="200"/>
      <c r="VOR170" s="202"/>
      <c r="VOS170" s="203"/>
      <c r="VOT170" s="124"/>
      <c r="VOV170" s="126"/>
      <c r="VOW170" s="124"/>
      <c r="VOY170" s="111"/>
      <c r="VPA170" s="200"/>
      <c r="VPB170" s="201"/>
      <c r="VPC170" s="201"/>
      <c r="VPD170" s="200"/>
      <c r="VPE170" s="202"/>
      <c r="VPF170" s="203"/>
      <c r="VPG170" s="124"/>
      <c r="VPI170" s="126"/>
      <c r="VPJ170" s="124"/>
      <c r="VPL170" s="111"/>
      <c r="VPN170" s="200"/>
      <c r="VPO170" s="201"/>
      <c r="VPP170" s="201"/>
      <c r="VPQ170" s="200"/>
      <c r="VPR170" s="202"/>
      <c r="VPS170" s="203"/>
      <c r="VPT170" s="124"/>
      <c r="VPV170" s="126"/>
      <c r="VPW170" s="124"/>
      <c r="VPY170" s="111"/>
      <c r="VQA170" s="200"/>
      <c r="VQB170" s="201"/>
      <c r="VQC170" s="201"/>
      <c r="VQD170" s="200"/>
      <c r="VQE170" s="202"/>
      <c r="VQF170" s="203"/>
      <c r="VQG170" s="124"/>
      <c r="VQI170" s="126"/>
      <c r="VQJ170" s="124"/>
      <c r="VQL170" s="111"/>
      <c r="VQN170" s="200"/>
      <c r="VQO170" s="201"/>
      <c r="VQP170" s="201"/>
      <c r="VQQ170" s="200"/>
      <c r="VQR170" s="202"/>
      <c r="VQS170" s="203"/>
      <c r="VQT170" s="124"/>
      <c r="VQV170" s="126"/>
      <c r="VQW170" s="124"/>
      <c r="VQY170" s="111"/>
      <c r="VRA170" s="200"/>
      <c r="VRB170" s="201"/>
      <c r="VRC170" s="201"/>
      <c r="VRD170" s="200"/>
      <c r="VRE170" s="202"/>
      <c r="VRF170" s="203"/>
      <c r="VRG170" s="124"/>
      <c r="VRI170" s="126"/>
      <c r="VRJ170" s="124"/>
      <c r="VRL170" s="111"/>
      <c r="VRN170" s="200"/>
      <c r="VRO170" s="201"/>
      <c r="VRP170" s="201"/>
      <c r="VRQ170" s="200"/>
      <c r="VRR170" s="202"/>
      <c r="VRS170" s="203"/>
      <c r="VRT170" s="124"/>
      <c r="VRV170" s="126"/>
      <c r="VRW170" s="124"/>
      <c r="VRY170" s="111"/>
      <c r="VSA170" s="200"/>
      <c r="VSB170" s="201"/>
      <c r="VSC170" s="201"/>
      <c r="VSD170" s="200"/>
      <c r="VSE170" s="202"/>
      <c r="VSF170" s="203"/>
      <c r="VSG170" s="124"/>
      <c r="VSI170" s="126"/>
      <c r="VSJ170" s="124"/>
      <c r="VSL170" s="111"/>
      <c r="VSN170" s="200"/>
      <c r="VSO170" s="201"/>
      <c r="VSP170" s="201"/>
      <c r="VSQ170" s="200"/>
      <c r="VSR170" s="202"/>
      <c r="VSS170" s="203"/>
      <c r="VST170" s="124"/>
      <c r="VSV170" s="126"/>
      <c r="VSW170" s="124"/>
      <c r="VSY170" s="111"/>
      <c r="VTA170" s="200"/>
      <c r="VTB170" s="201"/>
      <c r="VTC170" s="201"/>
      <c r="VTD170" s="200"/>
      <c r="VTE170" s="202"/>
      <c r="VTF170" s="203"/>
      <c r="VTG170" s="124"/>
      <c r="VTI170" s="126"/>
      <c r="VTJ170" s="124"/>
      <c r="VTL170" s="111"/>
      <c r="VTN170" s="200"/>
      <c r="VTO170" s="201"/>
      <c r="VTP170" s="201"/>
      <c r="VTQ170" s="200"/>
      <c r="VTR170" s="202"/>
      <c r="VTS170" s="203"/>
      <c r="VTT170" s="124"/>
      <c r="VTV170" s="126"/>
      <c r="VTW170" s="124"/>
      <c r="VTY170" s="111"/>
      <c r="VUA170" s="200"/>
      <c r="VUB170" s="201"/>
      <c r="VUC170" s="201"/>
      <c r="VUD170" s="200"/>
      <c r="VUE170" s="202"/>
      <c r="VUF170" s="203"/>
      <c r="VUG170" s="124"/>
      <c r="VUI170" s="126"/>
      <c r="VUJ170" s="124"/>
      <c r="VUL170" s="111"/>
      <c r="VUN170" s="200"/>
      <c r="VUO170" s="201"/>
      <c r="VUP170" s="201"/>
      <c r="VUQ170" s="200"/>
      <c r="VUR170" s="202"/>
      <c r="VUS170" s="203"/>
      <c r="VUT170" s="124"/>
      <c r="VUV170" s="126"/>
      <c r="VUW170" s="124"/>
      <c r="VUY170" s="111"/>
      <c r="VVA170" s="200"/>
      <c r="VVB170" s="201"/>
      <c r="VVC170" s="201"/>
      <c r="VVD170" s="200"/>
      <c r="VVE170" s="202"/>
      <c r="VVF170" s="203"/>
      <c r="VVG170" s="124"/>
      <c r="VVI170" s="126"/>
      <c r="VVJ170" s="124"/>
      <c r="VVL170" s="111"/>
      <c r="VVN170" s="200"/>
      <c r="VVO170" s="201"/>
      <c r="VVP170" s="201"/>
      <c r="VVQ170" s="200"/>
      <c r="VVR170" s="202"/>
      <c r="VVS170" s="203"/>
      <c r="VVT170" s="124"/>
      <c r="VVV170" s="126"/>
      <c r="VVW170" s="124"/>
      <c r="VVY170" s="111"/>
      <c r="VWA170" s="200"/>
      <c r="VWB170" s="201"/>
      <c r="VWC170" s="201"/>
      <c r="VWD170" s="200"/>
      <c r="VWE170" s="202"/>
      <c r="VWF170" s="203"/>
      <c r="VWG170" s="124"/>
      <c r="VWI170" s="126"/>
      <c r="VWJ170" s="124"/>
      <c r="VWL170" s="111"/>
      <c r="VWN170" s="200"/>
      <c r="VWO170" s="201"/>
      <c r="VWP170" s="201"/>
      <c r="VWQ170" s="200"/>
      <c r="VWR170" s="202"/>
      <c r="VWS170" s="203"/>
      <c r="VWT170" s="124"/>
      <c r="VWV170" s="126"/>
      <c r="VWW170" s="124"/>
      <c r="VWY170" s="111"/>
      <c r="VXA170" s="200"/>
      <c r="VXB170" s="201"/>
      <c r="VXC170" s="201"/>
      <c r="VXD170" s="200"/>
      <c r="VXE170" s="202"/>
      <c r="VXF170" s="203"/>
      <c r="VXG170" s="124"/>
      <c r="VXI170" s="126"/>
      <c r="VXJ170" s="124"/>
      <c r="VXL170" s="111"/>
      <c r="VXN170" s="200"/>
      <c r="VXO170" s="201"/>
      <c r="VXP170" s="201"/>
      <c r="VXQ170" s="200"/>
      <c r="VXR170" s="202"/>
      <c r="VXS170" s="203"/>
      <c r="VXT170" s="124"/>
      <c r="VXV170" s="126"/>
      <c r="VXW170" s="124"/>
      <c r="VXY170" s="111"/>
      <c r="VYA170" s="200"/>
      <c r="VYB170" s="201"/>
      <c r="VYC170" s="201"/>
      <c r="VYD170" s="200"/>
      <c r="VYE170" s="202"/>
      <c r="VYF170" s="203"/>
      <c r="VYG170" s="124"/>
      <c r="VYI170" s="126"/>
      <c r="VYJ170" s="124"/>
      <c r="VYL170" s="111"/>
      <c r="VYN170" s="200"/>
      <c r="VYO170" s="201"/>
      <c r="VYP170" s="201"/>
      <c r="VYQ170" s="200"/>
      <c r="VYR170" s="202"/>
      <c r="VYS170" s="203"/>
      <c r="VYT170" s="124"/>
      <c r="VYV170" s="126"/>
      <c r="VYW170" s="124"/>
      <c r="VYY170" s="111"/>
      <c r="VZA170" s="200"/>
      <c r="VZB170" s="201"/>
      <c r="VZC170" s="201"/>
      <c r="VZD170" s="200"/>
      <c r="VZE170" s="202"/>
      <c r="VZF170" s="203"/>
      <c r="VZG170" s="124"/>
      <c r="VZI170" s="126"/>
      <c r="VZJ170" s="124"/>
      <c r="VZL170" s="111"/>
      <c r="VZN170" s="200"/>
      <c r="VZO170" s="201"/>
      <c r="VZP170" s="201"/>
      <c r="VZQ170" s="200"/>
      <c r="VZR170" s="202"/>
      <c r="VZS170" s="203"/>
      <c r="VZT170" s="124"/>
      <c r="VZV170" s="126"/>
      <c r="VZW170" s="124"/>
      <c r="VZY170" s="111"/>
      <c r="WAA170" s="200"/>
      <c r="WAB170" s="201"/>
      <c r="WAC170" s="201"/>
      <c r="WAD170" s="200"/>
      <c r="WAE170" s="202"/>
      <c r="WAF170" s="203"/>
      <c r="WAG170" s="124"/>
      <c r="WAI170" s="126"/>
      <c r="WAJ170" s="124"/>
      <c r="WAL170" s="111"/>
      <c r="WAN170" s="200"/>
      <c r="WAO170" s="201"/>
      <c r="WAP170" s="201"/>
      <c r="WAQ170" s="200"/>
      <c r="WAR170" s="202"/>
      <c r="WAS170" s="203"/>
      <c r="WAT170" s="124"/>
      <c r="WAV170" s="126"/>
      <c r="WAW170" s="124"/>
      <c r="WAY170" s="111"/>
      <c r="WBA170" s="200"/>
      <c r="WBB170" s="201"/>
      <c r="WBC170" s="201"/>
      <c r="WBD170" s="200"/>
      <c r="WBE170" s="202"/>
      <c r="WBF170" s="203"/>
      <c r="WBG170" s="124"/>
      <c r="WBI170" s="126"/>
      <c r="WBJ170" s="124"/>
      <c r="WBL170" s="111"/>
      <c r="WBN170" s="200"/>
      <c r="WBO170" s="201"/>
      <c r="WBP170" s="201"/>
      <c r="WBQ170" s="200"/>
      <c r="WBR170" s="202"/>
      <c r="WBS170" s="203"/>
      <c r="WBT170" s="124"/>
      <c r="WBV170" s="126"/>
      <c r="WBW170" s="124"/>
      <c r="WBY170" s="111"/>
      <c r="WCA170" s="200"/>
      <c r="WCB170" s="201"/>
      <c r="WCC170" s="201"/>
      <c r="WCD170" s="200"/>
      <c r="WCE170" s="202"/>
      <c r="WCF170" s="203"/>
      <c r="WCG170" s="124"/>
      <c r="WCI170" s="126"/>
      <c r="WCJ170" s="124"/>
      <c r="WCL170" s="111"/>
      <c r="WCN170" s="200"/>
      <c r="WCO170" s="201"/>
      <c r="WCP170" s="201"/>
      <c r="WCQ170" s="200"/>
      <c r="WCR170" s="202"/>
      <c r="WCS170" s="203"/>
      <c r="WCT170" s="124"/>
      <c r="WCV170" s="126"/>
      <c r="WCW170" s="124"/>
      <c r="WCY170" s="111"/>
      <c r="WDA170" s="200"/>
      <c r="WDB170" s="201"/>
      <c r="WDC170" s="201"/>
      <c r="WDD170" s="200"/>
      <c r="WDE170" s="202"/>
      <c r="WDF170" s="203"/>
      <c r="WDG170" s="124"/>
      <c r="WDI170" s="126"/>
      <c r="WDJ170" s="124"/>
      <c r="WDL170" s="111"/>
      <c r="WDN170" s="200"/>
      <c r="WDO170" s="201"/>
      <c r="WDP170" s="201"/>
      <c r="WDQ170" s="200"/>
      <c r="WDR170" s="202"/>
      <c r="WDS170" s="203"/>
      <c r="WDT170" s="124"/>
      <c r="WDV170" s="126"/>
      <c r="WDW170" s="124"/>
      <c r="WDY170" s="111"/>
      <c r="WEA170" s="200"/>
      <c r="WEB170" s="201"/>
      <c r="WEC170" s="201"/>
      <c r="WED170" s="200"/>
      <c r="WEE170" s="202"/>
      <c r="WEF170" s="203"/>
      <c r="WEG170" s="124"/>
      <c r="WEI170" s="126"/>
      <c r="WEJ170" s="124"/>
      <c r="WEL170" s="111"/>
      <c r="WEN170" s="200"/>
      <c r="WEO170" s="201"/>
      <c r="WEP170" s="201"/>
      <c r="WEQ170" s="200"/>
      <c r="WER170" s="202"/>
      <c r="WES170" s="203"/>
      <c r="WET170" s="124"/>
      <c r="WEV170" s="126"/>
      <c r="WEW170" s="124"/>
      <c r="WEY170" s="111"/>
      <c r="WFA170" s="200"/>
      <c r="WFB170" s="201"/>
      <c r="WFC170" s="201"/>
      <c r="WFD170" s="200"/>
      <c r="WFE170" s="202"/>
      <c r="WFF170" s="203"/>
      <c r="WFG170" s="124"/>
      <c r="WFI170" s="126"/>
      <c r="WFJ170" s="124"/>
      <c r="WFL170" s="111"/>
      <c r="WFN170" s="200"/>
      <c r="WFO170" s="201"/>
      <c r="WFP170" s="201"/>
      <c r="WFQ170" s="200"/>
      <c r="WFR170" s="202"/>
      <c r="WFS170" s="203"/>
      <c r="WFT170" s="124"/>
      <c r="WFV170" s="126"/>
      <c r="WFW170" s="124"/>
      <c r="WFY170" s="111"/>
      <c r="WGA170" s="200"/>
      <c r="WGB170" s="201"/>
      <c r="WGC170" s="201"/>
      <c r="WGD170" s="200"/>
      <c r="WGE170" s="202"/>
      <c r="WGF170" s="203"/>
      <c r="WGG170" s="124"/>
      <c r="WGI170" s="126"/>
      <c r="WGJ170" s="124"/>
      <c r="WGL170" s="111"/>
      <c r="WGN170" s="200"/>
      <c r="WGO170" s="201"/>
      <c r="WGP170" s="201"/>
      <c r="WGQ170" s="200"/>
      <c r="WGR170" s="202"/>
      <c r="WGS170" s="203"/>
      <c r="WGT170" s="124"/>
      <c r="WGV170" s="126"/>
      <c r="WGW170" s="124"/>
      <c r="WGY170" s="111"/>
      <c r="WHA170" s="200"/>
      <c r="WHB170" s="201"/>
      <c r="WHC170" s="201"/>
      <c r="WHD170" s="200"/>
      <c r="WHE170" s="202"/>
      <c r="WHF170" s="203"/>
      <c r="WHG170" s="124"/>
      <c r="WHI170" s="126"/>
      <c r="WHJ170" s="124"/>
      <c r="WHL170" s="111"/>
      <c r="WHN170" s="200"/>
      <c r="WHO170" s="201"/>
      <c r="WHP170" s="201"/>
      <c r="WHQ170" s="200"/>
      <c r="WHR170" s="202"/>
      <c r="WHS170" s="203"/>
      <c r="WHT170" s="124"/>
      <c r="WHV170" s="126"/>
      <c r="WHW170" s="124"/>
      <c r="WHY170" s="111"/>
      <c r="WIA170" s="200"/>
      <c r="WIB170" s="201"/>
      <c r="WIC170" s="201"/>
      <c r="WID170" s="200"/>
      <c r="WIE170" s="202"/>
      <c r="WIF170" s="203"/>
      <c r="WIG170" s="124"/>
      <c r="WII170" s="126"/>
      <c r="WIJ170" s="124"/>
      <c r="WIL170" s="111"/>
      <c r="WIN170" s="200"/>
      <c r="WIO170" s="201"/>
      <c r="WIP170" s="201"/>
      <c r="WIQ170" s="200"/>
      <c r="WIR170" s="202"/>
      <c r="WIS170" s="203"/>
      <c r="WIT170" s="124"/>
      <c r="WIV170" s="126"/>
      <c r="WIW170" s="124"/>
      <c r="WIY170" s="111"/>
      <c r="WJA170" s="200"/>
      <c r="WJB170" s="201"/>
      <c r="WJC170" s="201"/>
      <c r="WJD170" s="200"/>
      <c r="WJE170" s="202"/>
      <c r="WJF170" s="203"/>
      <c r="WJG170" s="124"/>
      <c r="WJI170" s="126"/>
      <c r="WJJ170" s="124"/>
      <c r="WJL170" s="111"/>
      <c r="WJN170" s="200"/>
      <c r="WJO170" s="201"/>
      <c r="WJP170" s="201"/>
      <c r="WJQ170" s="200"/>
      <c r="WJR170" s="202"/>
      <c r="WJS170" s="203"/>
      <c r="WJT170" s="124"/>
      <c r="WJV170" s="126"/>
      <c r="WJW170" s="124"/>
      <c r="WJY170" s="111"/>
      <c r="WKA170" s="200"/>
      <c r="WKB170" s="201"/>
      <c r="WKC170" s="201"/>
      <c r="WKD170" s="200"/>
      <c r="WKE170" s="202"/>
      <c r="WKF170" s="203"/>
      <c r="WKG170" s="124"/>
      <c r="WKI170" s="126"/>
      <c r="WKJ170" s="124"/>
      <c r="WKL170" s="111"/>
      <c r="WKN170" s="200"/>
      <c r="WKO170" s="201"/>
      <c r="WKP170" s="201"/>
      <c r="WKQ170" s="200"/>
      <c r="WKR170" s="202"/>
      <c r="WKS170" s="203"/>
      <c r="WKT170" s="124"/>
      <c r="WKV170" s="126"/>
      <c r="WKW170" s="124"/>
      <c r="WKY170" s="111"/>
      <c r="WLA170" s="200"/>
      <c r="WLB170" s="201"/>
      <c r="WLC170" s="201"/>
      <c r="WLD170" s="200"/>
      <c r="WLE170" s="202"/>
      <c r="WLF170" s="203"/>
      <c r="WLG170" s="124"/>
      <c r="WLI170" s="126"/>
      <c r="WLJ170" s="124"/>
      <c r="WLL170" s="111"/>
      <c r="WLN170" s="200"/>
      <c r="WLO170" s="201"/>
      <c r="WLP170" s="201"/>
      <c r="WLQ170" s="200"/>
      <c r="WLR170" s="202"/>
      <c r="WLS170" s="203"/>
      <c r="WLT170" s="124"/>
      <c r="WLV170" s="126"/>
      <c r="WLW170" s="124"/>
      <c r="WLY170" s="111"/>
      <c r="WMA170" s="200"/>
      <c r="WMB170" s="201"/>
      <c r="WMC170" s="201"/>
      <c r="WMD170" s="200"/>
      <c r="WME170" s="202"/>
      <c r="WMF170" s="203"/>
      <c r="WMG170" s="124"/>
      <c r="WMI170" s="126"/>
      <c r="WMJ170" s="124"/>
      <c r="WML170" s="111"/>
      <c r="WMN170" s="200"/>
      <c r="WMO170" s="201"/>
      <c r="WMP170" s="201"/>
      <c r="WMQ170" s="200"/>
      <c r="WMR170" s="202"/>
      <c r="WMS170" s="203"/>
      <c r="WMT170" s="124"/>
      <c r="WMV170" s="126"/>
      <c r="WMW170" s="124"/>
      <c r="WMY170" s="111"/>
      <c r="WNA170" s="200"/>
      <c r="WNB170" s="201"/>
      <c r="WNC170" s="201"/>
      <c r="WND170" s="200"/>
      <c r="WNE170" s="202"/>
      <c r="WNF170" s="203"/>
      <c r="WNG170" s="124"/>
      <c r="WNI170" s="126"/>
      <c r="WNJ170" s="124"/>
      <c r="WNL170" s="111"/>
      <c r="WNN170" s="200"/>
      <c r="WNO170" s="201"/>
      <c r="WNP170" s="201"/>
      <c r="WNQ170" s="200"/>
      <c r="WNR170" s="202"/>
      <c r="WNS170" s="203"/>
      <c r="WNT170" s="124"/>
      <c r="WNV170" s="126"/>
      <c r="WNW170" s="124"/>
      <c r="WNY170" s="111"/>
      <c r="WOA170" s="200"/>
      <c r="WOB170" s="201"/>
      <c r="WOC170" s="201"/>
      <c r="WOD170" s="200"/>
      <c r="WOE170" s="202"/>
      <c r="WOF170" s="203"/>
      <c r="WOG170" s="124"/>
      <c r="WOI170" s="126"/>
      <c r="WOJ170" s="124"/>
      <c r="WOL170" s="111"/>
      <c r="WON170" s="200"/>
      <c r="WOO170" s="201"/>
      <c r="WOP170" s="201"/>
      <c r="WOQ170" s="200"/>
      <c r="WOR170" s="202"/>
      <c r="WOS170" s="203"/>
      <c r="WOT170" s="124"/>
      <c r="WOV170" s="126"/>
      <c r="WOW170" s="124"/>
      <c r="WOY170" s="111"/>
      <c r="WPA170" s="200"/>
      <c r="WPB170" s="201"/>
      <c r="WPC170" s="201"/>
      <c r="WPD170" s="200"/>
      <c r="WPE170" s="202"/>
      <c r="WPF170" s="203"/>
      <c r="WPG170" s="124"/>
      <c r="WPI170" s="126"/>
      <c r="WPJ170" s="124"/>
      <c r="WPL170" s="111"/>
      <c r="WPN170" s="200"/>
      <c r="WPO170" s="201"/>
      <c r="WPP170" s="201"/>
      <c r="WPQ170" s="200"/>
      <c r="WPR170" s="202"/>
      <c r="WPS170" s="203"/>
      <c r="WPT170" s="124"/>
      <c r="WPV170" s="126"/>
      <c r="WPW170" s="124"/>
      <c r="WPY170" s="111"/>
      <c r="WQA170" s="200"/>
      <c r="WQB170" s="201"/>
      <c r="WQC170" s="201"/>
      <c r="WQD170" s="200"/>
      <c r="WQE170" s="202"/>
      <c r="WQF170" s="203"/>
      <c r="WQG170" s="124"/>
      <c r="WQI170" s="126"/>
      <c r="WQJ170" s="124"/>
      <c r="WQL170" s="111"/>
      <c r="WQN170" s="200"/>
      <c r="WQO170" s="201"/>
      <c r="WQP170" s="201"/>
      <c r="WQQ170" s="200"/>
      <c r="WQR170" s="202"/>
      <c r="WQS170" s="203"/>
      <c r="WQT170" s="124"/>
      <c r="WQV170" s="126"/>
      <c r="WQW170" s="124"/>
      <c r="WQY170" s="111"/>
      <c r="WRA170" s="200"/>
      <c r="WRB170" s="201"/>
      <c r="WRC170" s="201"/>
      <c r="WRD170" s="200"/>
      <c r="WRE170" s="202"/>
      <c r="WRF170" s="203"/>
      <c r="WRG170" s="124"/>
      <c r="WRI170" s="126"/>
      <c r="WRJ170" s="124"/>
      <c r="WRL170" s="111"/>
      <c r="WRN170" s="200"/>
      <c r="WRO170" s="201"/>
      <c r="WRP170" s="201"/>
      <c r="WRQ170" s="200"/>
      <c r="WRR170" s="202"/>
      <c r="WRS170" s="203"/>
      <c r="WRT170" s="124"/>
      <c r="WRV170" s="126"/>
      <c r="WRW170" s="124"/>
      <c r="WRY170" s="111"/>
      <c r="WSA170" s="200"/>
      <c r="WSB170" s="201"/>
      <c r="WSC170" s="201"/>
      <c r="WSD170" s="200"/>
      <c r="WSE170" s="202"/>
      <c r="WSF170" s="203"/>
      <c r="WSG170" s="124"/>
      <c r="WSI170" s="126"/>
      <c r="WSJ170" s="124"/>
      <c r="WSL170" s="111"/>
      <c r="WSN170" s="200"/>
      <c r="WSO170" s="201"/>
      <c r="WSP170" s="201"/>
      <c r="WSQ170" s="200"/>
      <c r="WSR170" s="202"/>
      <c r="WSS170" s="203"/>
      <c r="WST170" s="124"/>
      <c r="WSV170" s="126"/>
      <c r="WSW170" s="124"/>
      <c r="WSY170" s="111"/>
      <c r="WTA170" s="200"/>
      <c r="WTB170" s="201"/>
      <c r="WTC170" s="201"/>
      <c r="WTD170" s="200"/>
      <c r="WTE170" s="202"/>
      <c r="WTF170" s="203"/>
      <c r="WTG170" s="124"/>
      <c r="WTI170" s="126"/>
      <c r="WTJ170" s="124"/>
      <c r="WTL170" s="111"/>
      <c r="WTN170" s="200"/>
      <c r="WTO170" s="201"/>
      <c r="WTP170" s="201"/>
      <c r="WTQ170" s="200"/>
      <c r="WTR170" s="202"/>
      <c r="WTS170" s="203"/>
      <c r="WTT170" s="124"/>
      <c r="WTV170" s="126"/>
      <c r="WTW170" s="124"/>
      <c r="WTY170" s="111"/>
      <c r="WUA170" s="200"/>
      <c r="WUB170" s="201"/>
      <c r="WUC170" s="201"/>
      <c r="WUD170" s="200"/>
      <c r="WUE170" s="202"/>
      <c r="WUF170" s="203"/>
      <c r="WUG170" s="124"/>
      <c r="WUI170" s="126"/>
      <c r="WUJ170" s="124"/>
      <c r="WUL170" s="111"/>
      <c r="WUN170" s="200"/>
      <c r="WUO170" s="201"/>
      <c r="WUP170" s="201"/>
      <c r="WUQ170" s="200"/>
      <c r="WUR170" s="202"/>
      <c r="WUS170" s="203"/>
      <c r="WUT170" s="124"/>
      <c r="WUV170" s="126"/>
      <c r="WUW170" s="124"/>
      <c r="WUY170" s="111"/>
      <c r="WVA170" s="200"/>
      <c r="WVB170" s="201"/>
      <c r="WVC170" s="201"/>
      <c r="WVD170" s="200"/>
      <c r="WVE170" s="202"/>
      <c r="WVF170" s="203"/>
      <c r="WVG170" s="124"/>
      <c r="WVI170" s="126"/>
      <c r="WVJ170" s="124"/>
      <c r="WVL170" s="111"/>
      <c r="WVN170" s="200"/>
      <c r="WVO170" s="201"/>
      <c r="WVP170" s="201"/>
      <c r="WVQ170" s="200"/>
      <c r="WVR170" s="202"/>
      <c r="WVS170" s="203"/>
      <c r="WVT170" s="124"/>
      <c r="WVV170" s="126"/>
      <c r="WVW170" s="124"/>
      <c r="WVY170" s="111"/>
      <c r="WWA170" s="200"/>
      <c r="WWB170" s="201"/>
      <c r="WWC170" s="201"/>
      <c r="WWD170" s="200"/>
      <c r="WWE170" s="202"/>
      <c r="WWF170" s="203"/>
      <c r="WWG170" s="124"/>
      <c r="WWI170" s="126"/>
      <c r="WWJ170" s="124"/>
      <c r="WWL170" s="111"/>
      <c r="WWN170" s="200"/>
      <c r="WWO170" s="201"/>
      <c r="WWP170" s="201"/>
      <c r="WWQ170" s="200"/>
      <c r="WWR170" s="202"/>
      <c r="WWS170" s="203"/>
      <c r="WWT170" s="124"/>
      <c r="WWV170" s="126"/>
      <c r="WWW170" s="124"/>
      <c r="WWY170" s="111"/>
      <c r="WXA170" s="200"/>
      <c r="WXB170" s="201"/>
      <c r="WXC170" s="201"/>
      <c r="WXD170" s="200"/>
      <c r="WXE170" s="202"/>
      <c r="WXF170" s="203"/>
      <c r="WXG170" s="124"/>
      <c r="WXI170" s="126"/>
      <c r="WXJ170" s="124"/>
      <c r="WXL170" s="111"/>
      <c r="WXN170" s="200"/>
      <c r="WXO170" s="201"/>
      <c r="WXP170" s="201"/>
      <c r="WXQ170" s="200"/>
      <c r="WXR170" s="202"/>
      <c r="WXS170" s="203"/>
      <c r="WXT170" s="124"/>
      <c r="WXV170" s="126"/>
      <c r="WXW170" s="124"/>
      <c r="WXY170" s="111"/>
      <c r="WYA170" s="200"/>
      <c r="WYB170" s="201"/>
      <c r="WYC170" s="201"/>
      <c r="WYD170" s="200"/>
      <c r="WYE170" s="202"/>
      <c r="WYF170" s="203"/>
      <c r="WYG170" s="124"/>
      <c r="WYI170" s="126"/>
      <c r="WYJ170" s="124"/>
      <c r="WYL170" s="111"/>
      <c r="WYN170" s="200"/>
      <c r="WYO170" s="201"/>
      <c r="WYP170" s="201"/>
      <c r="WYQ170" s="200"/>
      <c r="WYR170" s="202"/>
      <c r="WYS170" s="203"/>
      <c r="WYT170" s="124"/>
      <c r="WYV170" s="126"/>
      <c r="WYW170" s="124"/>
      <c r="WYY170" s="111"/>
      <c r="WZA170" s="200"/>
      <c r="WZB170" s="201"/>
      <c r="WZC170" s="201"/>
      <c r="WZD170" s="200"/>
      <c r="WZE170" s="202"/>
      <c r="WZF170" s="203"/>
      <c r="WZG170" s="124"/>
      <c r="WZI170" s="126"/>
      <c r="WZJ170" s="124"/>
      <c r="WZL170" s="111"/>
      <c r="WZN170" s="200"/>
      <c r="WZO170" s="201"/>
      <c r="WZP170" s="201"/>
      <c r="WZQ170" s="200"/>
      <c r="WZR170" s="202"/>
      <c r="WZS170" s="203"/>
      <c r="WZT170" s="124"/>
      <c r="WZV170" s="126"/>
      <c r="WZW170" s="124"/>
      <c r="WZY170" s="111"/>
      <c r="XAA170" s="200"/>
      <c r="XAB170" s="201"/>
      <c r="XAC170" s="201"/>
      <c r="XAD170" s="200"/>
      <c r="XAE170" s="202"/>
      <c r="XAF170" s="203"/>
      <c r="XAG170" s="124"/>
      <c r="XAI170" s="126"/>
      <c r="XAJ170" s="124"/>
      <c r="XAL170" s="111"/>
      <c r="XAN170" s="200"/>
      <c r="XAO170" s="201"/>
      <c r="XAP170" s="201"/>
      <c r="XAQ170" s="200"/>
      <c r="XAR170" s="202"/>
      <c r="XAS170" s="203"/>
      <c r="XAT170" s="124"/>
      <c r="XAV170" s="126"/>
      <c r="XAW170" s="124"/>
      <c r="XAY170" s="111"/>
      <c r="XBA170" s="200"/>
      <c r="XBB170" s="201"/>
      <c r="XBC170" s="201"/>
      <c r="XBD170" s="200"/>
      <c r="XBE170" s="202"/>
      <c r="XBF170" s="203"/>
      <c r="XBG170" s="124"/>
      <c r="XBI170" s="126"/>
      <c r="XBJ170" s="124"/>
      <c r="XBL170" s="111"/>
      <c r="XBN170" s="200"/>
      <c r="XBO170" s="201"/>
      <c r="XBP170" s="201"/>
      <c r="XBQ170" s="200"/>
      <c r="XBR170" s="202"/>
      <c r="XBS170" s="203"/>
      <c r="XBT170" s="124"/>
      <c r="XBV170" s="126"/>
      <c r="XBW170" s="124"/>
      <c r="XBY170" s="111"/>
      <c r="XCA170" s="200"/>
      <c r="XCB170" s="201"/>
      <c r="XCC170" s="201"/>
      <c r="XCD170" s="200"/>
      <c r="XCE170" s="202"/>
      <c r="XCF170" s="203"/>
      <c r="XCG170" s="124"/>
      <c r="XCI170" s="126"/>
      <c r="XCJ170" s="124"/>
      <c r="XCL170" s="111"/>
      <c r="XCN170" s="200"/>
      <c r="XCO170" s="201"/>
      <c r="XCP170" s="201"/>
      <c r="XCQ170" s="200"/>
      <c r="XCR170" s="202"/>
      <c r="XCS170" s="203"/>
      <c r="XCT170" s="124"/>
      <c r="XCV170" s="126"/>
      <c r="XCW170" s="124"/>
      <c r="XCY170" s="111"/>
      <c r="XDA170" s="200"/>
      <c r="XDB170" s="201"/>
      <c r="XDC170" s="201"/>
      <c r="XDD170" s="200"/>
      <c r="XDE170" s="202"/>
      <c r="XDF170" s="203"/>
      <c r="XDG170" s="124"/>
      <c r="XDI170" s="126"/>
      <c r="XDJ170" s="124"/>
      <c r="XDL170" s="111"/>
      <c r="XDN170" s="200"/>
      <c r="XDO170" s="201"/>
      <c r="XDP170" s="201"/>
      <c r="XDQ170" s="200"/>
      <c r="XDR170" s="202"/>
      <c r="XDS170" s="203"/>
      <c r="XDT170" s="124"/>
      <c r="XDV170" s="126"/>
      <c r="XDW170" s="124"/>
      <c r="XDY170" s="111"/>
      <c r="XEA170" s="200"/>
      <c r="XEB170" s="201"/>
      <c r="XEC170" s="201"/>
      <c r="XED170" s="200"/>
      <c r="XEE170" s="202"/>
      <c r="XEF170" s="203"/>
      <c r="XEG170" s="124"/>
      <c r="XEI170" s="126"/>
      <c r="XEJ170" s="124"/>
      <c r="XEL170" s="111"/>
      <c r="XEN170" s="200"/>
      <c r="XEO170" s="201"/>
      <c r="XEP170" s="201"/>
      <c r="XEQ170" s="200"/>
      <c r="XER170" s="202"/>
      <c r="XES170" s="203"/>
      <c r="XET170" s="124"/>
      <c r="XEV170" s="126"/>
      <c r="XEW170" s="124"/>
      <c r="XEY170" s="111"/>
      <c r="XFA170" s="200"/>
      <c r="XFB170" s="201"/>
      <c r="XFC170" s="201"/>
      <c r="XFD170" s="200"/>
    </row>
    <row r="171" spans="1:1024 1026:2048 2050:5119 5121:6143 6145:9216 9218:13311 13313:14336 14338:15360 15362:16384" ht="13.8" thickBot="1" x14ac:dyDescent="0.3">
      <c r="A171" s="205"/>
      <c r="B171" s="207"/>
      <c r="C171" s="209"/>
      <c r="D171" s="211"/>
      <c r="E171" s="213"/>
      <c r="F171" s="215"/>
      <c r="G171" s="141"/>
      <c r="H171" s="142"/>
      <c r="I171" s="143"/>
      <c r="J171" s="141"/>
      <c r="K171" s="142"/>
      <c r="L171" s="144"/>
      <c r="M171" s="142"/>
      <c r="N171" s="200"/>
      <c r="O171" s="201"/>
      <c r="P171" s="201"/>
      <c r="Q171" s="200"/>
      <c r="R171" s="202"/>
      <c r="S171" s="203"/>
      <c r="T171" s="124"/>
      <c r="V171" s="126"/>
      <c r="W171" s="124"/>
      <c r="Y171" s="111"/>
      <c r="AA171" s="200"/>
      <c r="AB171" s="201"/>
      <c r="AC171" s="201"/>
      <c r="AD171" s="200"/>
      <c r="AE171" s="202"/>
      <c r="AF171" s="203"/>
      <c r="AG171" s="124"/>
      <c r="AI171" s="126"/>
      <c r="AJ171" s="124"/>
      <c r="AL171" s="111"/>
      <c r="AN171" s="200"/>
      <c r="AO171" s="201"/>
      <c r="AP171" s="201"/>
      <c r="AQ171" s="200"/>
      <c r="AR171" s="202"/>
      <c r="AS171" s="203"/>
      <c r="AT171" s="124"/>
      <c r="AV171" s="126"/>
      <c r="AW171" s="124"/>
      <c r="AY171" s="111"/>
      <c r="BA171" s="200"/>
      <c r="BB171" s="201"/>
      <c r="BC171" s="201"/>
      <c r="BD171" s="200"/>
      <c r="BE171" s="202"/>
      <c r="BF171" s="203"/>
      <c r="BG171" s="124"/>
      <c r="BI171" s="126"/>
      <c r="BJ171" s="124"/>
      <c r="BL171" s="111"/>
      <c r="BN171" s="200"/>
      <c r="BO171" s="201"/>
      <c r="BP171" s="201"/>
      <c r="BQ171" s="200"/>
      <c r="BR171" s="202"/>
      <c r="BS171" s="203"/>
      <c r="BT171" s="124"/>
      <c r="BV171" s="126"/>
      <c r="BW171" s="124"/>
      <c r="BY171" s="111"/>
      <c r="CA171" s="200"/>
      <c r="CB171" s="201"/>
      <c r="CC171" s="201"/>
      <c r="CD171" s="200"/>
      <c r="CE171" s="202"/>
      <c r="CF171" s="203"/>
      <c r="CG171" s="124"/>
      <c r="CI171" s="126"/>
      <c r="CJ171" s="124"/>
      <c r="CL171" s="111"/>
      <c r="CN171" s="200"/>
      <c r="CO171" s="201"/>
      <c r="CP171" s="201"/>
      <c r="CQ171" s="200"/>
      <c r="CR171" s="202"/>
      <c r="CS171" s="203"/>
      <c r="CT171" s="124"/>
      <c r="CV171" s="126"/>
      <c r="CW171" s="124"/>
      <c r="CY171" s="111"/>
      <c r="DA171" s="200"/>
      <c r="DB171" s="201"/>
      <c r="DC171" s="201"/>
      <c r="DD171" s="200"/>
      <c r="DE171" s="202"/>
      <c r="DF171" s="203"/>
      <c r="DG171" s="124"/>
      <c r="DI171" s="126"/>
      <c r="DJ171" s="124"/>
      <c r="DL171" s="111"/>
      <c r="DN171" s="200"/>
      <c r="DO171" s="201"/>
      <c r="DP171" s="201"/>
      <c r="DQ171" s="200"/>
      <c r="DR171" s="202"/>
      <c r="DS171" s="203"/>
      <c r="DT171" s="124"/>
      <c r="DV171" s="126"/>
      <c r="DW171" s="124"/>
      <c r="DY171" s="111"/>
      <c r="EA171" s="200"/>
      <c r="EB171" s="201"/>
      <c r="EC171" s="201"/>
      <c r="ED171" s="200"/>
      <c r="EE171" s="202"/>
      <c r="EF171" s="203"/>
      <c r="EG171" s="124"/>
      <c r="EI171" s="126"/>
      <c r="EJ171" s="124"/>
      <c r="EL171" s="111"/>
      <c r="EN171" s="200"/>
      <c r="EO171" s="201"/>
      <c r="EP171" s="201"/>
      <c r="EQ171" s="200"/>
      <c r="ER171" s="202"/>
      <c r="ES171" s="203"/>
      <c r="ET171" s="124"/>
      <c r="EV171" s="126"/>
      <c r="EW171" s="124"/>
      <c r="EY171" s="111"/>
      <c r="FA171" s="200"/>
      <c r="FB171" s="201"/>
      <c r="FC171" s="201"/>
      <c r="FD171" s="200"/>
      <c r="FE171" s="202"/>
      <c r="FF171" s="203"/>
      <c r="FG171" s="124"/>
      <c r="FI171" s="126"/>
      <c r="FJ171" s="124"/>
      <c r="FL171" s="111"/>
      <c r="FN171" s="200"/>
      <c r="FO171" s="201"/>
      <c r="FP171" s="201"/>
      <c r="FQ171" s="200"/>
      <c r="FR171" s="202"/>
      <c r="FS171" s="203"/>
      <c r="FT171" s="124"/>
      <c r="FV171" s="126"/>
      <c r="FW171" s="124"/>
      <c r="FY171" s="111"/>
      <c r="GA171" s="200"/>
      <c r="GB171" s="201"/>
      <c r="GC171" s="201"/>
      <c r="GD171" s="200"/>
      <c r="GE171" s="202"/>
      <c r="GF171" s="203"/>
      <c r="GG171" s="124"/>
      <c r="GI171" s="126"/>
      <c r="GJ171" s="124"/>
      <c r="GL171" s="111"/>
      <c r="GN171" s="200"/>
      <c r="GO171" s="201"/>
      <c r="GP171" s="201"/>
      <c r="GQ171" s="200"/>
      <c r="GR171" s="202"/>
      <c r="GS171" s="203"/>
      <c r="GT171" s="124"/>
      <c r="GV171" s="126"/>
      <c r="GW171" s="124"/>
      <c r="GY171" s="111"/>
      <c r="HA171" s="200"/>
      <c r="HB171" s="201"/>
      <c r="HC171" s="201"/>
      <c r="HD171" s="200"/>
      <c r="HE171" s="202"/>
      <c r="HF171" s="203"/>
      <c r="HG171" s="124"/>
      <c r="HI171" s="126"/>
      <c r="HJ171" s="124"/>
      <c r="HL171" s="111"/>
      <c r="HN171" s="200"/>
      <c r="HO171" s="201"/>
      <c r="HP171" s="201"/>
      <c r="HQ171" s="200"/>
      <c r="HR171" s="202"/>
      <c r="HS171" s="203"/>
      <c r="HT171" s="124"/>
      <c r="HV171" s="126"/>
      <c r="HW171" s="124"/>
      <c r="HY171" s="111"/>
      <c r="IA171" s="200"/>
      <c r="IB171" s="201"/>
      <c r="IC171" s="201"/>
      <c r="ID171" s="200"/>
      <c r="IE171" s="202"/>
      <c r="IF171" s="203"/>
      <c r="IG171" s="124"/>
      <c r="II171" s="126"/>
      <c r="IJ171" s="124"/>
      <c r="IL171" s="111"/>
      <c r="IN171" s="200"/>
      <c r="IO171" s="201"/>
      <c r="IP171" s="201"/>
      <c r="IQ171" s="200"/>
      <c r="IR171" s="202"/>
      <c r="IS171" s="203"/>
      <c r="IT171" s="124"/>
      <c r="IV171" s="126"/>
      <c r="IW171" s="124"/>
      <c r="IY171" s="111"/>
      <c r="JA171" s="200"/>
      <c r="JB171" s="201"/>
      <c r="JC171" s="201"/>
      <c r="JD171" s="200"/>
      <c r="JE171" s="202"/>
      <c r="JF171" s="203"/>
      <c r="JG171" s="124"/>
      <c r="JI171" s="126"/>
      <c r="JJ171" s="124"/>
      <c r="JL171" s="111"/>
      <c r="JN171" s="200"/>
      <c r="JO171" s="201"/>
      <c r="JP171" s="201"/>
      <c r="JQ171" s="200"/>
      <c r="JR171" s="202"/>
      <c r="JS171" s="203"/>
      <c r="JT171" s="124"/>
      <c r="JV171" s="126"/>
      <c r="JW171" s="124"/>
      <c r="JY171" s="111"/>
      <c r="KA171" s="200"/>
      <c r="KB171" s="201"/>
      <c r="KC171" s="201"/>
      <c r="KD171" s="200"/>
      <c r="KE171" s="202"/>
      <c r="KF171" s="203"/>
      <c r="KG171" s="124"/>
      <c r="KI171" s="126"/>
      <c r="KJ171" s="124"/>
      <c r="KL171" s="111"/>
      <c r="KN171" s="200"/>
      <c r="KO171" s="201"/>
      <c r="KP171" s="201"/>
      <c r="KQ171" s="200"/>
      <c r="KR171" s="202"/>
      <c r="KS171" s="203"/>
      <c r="KT171" s="124"/>
      <c r="KV171" s="126"/>
      <c r="KW171" s="124"/>
      <c r="KY171" s="111"/>
      <c r="LA171" s="200"/>
      <c r="LB171" s="201"/>
      <c r="LC171" s="201"/>
      <c r="LD171" s="200"/>
      <c r="LE171" s="202"/>
      <c r="LF171" s="203"/>
      <c r="LG171" s="124"/>
      <c r="LI171" s="126"/>
      <c r="LJ171" s="124"/>
      <c r="LL171" s="111"/>
      <c r="LN171" s="200"/>
      <c r="LO171" s="201"/>
      <c r="LP171" s="201"/>
      <c r="LQ171" s="200"/>
      <c r="LR171" s="202"/>
      <c r="LS171" s="203"/>
      <c r="LT171" s="124"/>
      <c r="LV171" s="126"/>
      <c r="LW171" s="124"/>
      <c r="LY171" s="111"/>
      <c r="MA171" s="200"/>
      <c r="MB171" s="201"/>
      <c r="MC171" s="201"/>
      <c r="MD171" s="200"/>
      <c r="ME171" s="202"/>
      <c r="MF171" s="203"/>
      <c r="MG171" s="124"/>
      <c r="MI171" s="126"/>
      <c r="MJ171" s="124"/>
      <c r="ML171" s="111"/>
      <c r="MN171" s="200"/>
      <c r="MO171" s="201"/>
      <c r="MP171" s="201"/>
      <c r="MQ171" s="200"/>
      <c r="MR171" s="202"/>
      <c r="MS171" s="203"/>
      <c r="MT171" s="124"/>
      <c r="MV171" s="126"/>
      <c r="MW171" s="124"/>
      <c r="MY171" s="111"/>
      <c r="NA171" s="200"/>
      <c r="NB171" s="201"/>
      <c r="NC171" s="201"/>
      <c r="ND171" s="200"/>
      <c r="NE171" s="202"/>
      <c r="NF171" s="203"/>
      <c r="NG171" s="124"/>
      <c r="NI171" s="126"/>
      <c r="NJ171" s="124"/>
      <c r="NL171" s="111"/>
      <c r="NN171" s="200"/>
      <c r="NO171" s="201"/>
      <c r="NP171" s="201"/>
      <c r="NQ171" s="200"/>
      <c r="NR171" s="202"/>
      <c r="NS171" s="203"/>
      <c r="NT171" s="124"/>
      <c r="NV171" s="126"/>
      <c r="NW171" s="124"/>
      <c r="NY171" s="111"/>
      <c r="OA171" s="200"/>
      <c r="OB171" s="201"/>
      <c r="OC171" s="201"/>
      <c r="OD171" s="200"/>
      <c r="OE171" s="202"/>
      <c r="OF171" s="203"/>
      <c r="OG171" s="124"/>
      <c r="OI171" s="126"/>
      <c r="OJ171" s="124"/>
      <c r="OL171" s="111"/>
      <c r="ON171" s="200"/>
      <c r="OO171" s="201"/>
      <c r="OP171" s="201"/>
      <c r="OQ171" s="200"/>
      <c r="OR171" s="202"/>
      <c r="OS171" s="203"/>
      <c r="OT171" s="124"/>
      <c r="OV171" s="126"/>
      <c r="OW171" s="124"/>
      <c r="OY171" s="111"/>
      <c r="PA171" s="200"/>
      <c r="PB171" s="201"/>
      <c r="PC171" s="201"/>
      <c r="PD171" s="200"/>
      <c r="PE171" s="202"/>
      <c r="PF171" s="203"/>
      <c r="PG171" s="124"/>
      <c r="PI171" s="126"/>
      <c r="PJ171" s="124"/>
      <c r="PL171" s="111"/>
      <c r="PN171" s="200"/>
      <c r="PO171" s="201"/>
      <c r="PP171" s="201"/>
      <c r="PQ171" s="200"/>
      <c r="PR171" s="202"/>
      <c r="PS171" s="203"/>
      <c r="PT171" s="124"/>
      <c r="PV171" s="126"/>
      <c r="PW171" s="124"/>
      <c r="PY171" s="111"/>
      <c r="QA171" s="200"/>
      <c r="QB171" s="201"/>
      <c r="QC171" s="201"/>
      <c r="QD171" s="200"/>
      <c r="QE171" s="202"/>
      <c r="QF171" s="203"/>
      <c r="QG171" s="124"/>
      <c r="QI171" s="126"/>
      <c r="QJ171" s="124"/>
      <c r="QL171" s="111"/>
      <c r="QN171" s="200"/>
      <c r="QO171" s="201"/>
      <c r="QP171" s="201"/>
      <c r="QQ171" s="200"/>
      <c r="QR171" s="202"/>
      <c r="QS171" s="203"/>
      <c r="QT171" s="124"/>
      <c r="QV171" s="126"/>
      <c r="QW171" s="124"/>
      <c r="QY171" s="111"/>
      <c r="RA171" s="200"/>
      <c r="RB171" s="201"/>
      <c r="RC171" s="201"/>
      <c r="RD171" s="200"/>
      <c r="RE171" s="202"/>
      <c r="RF171" s="203"/>
      <c r="RG171" s="124"/>
      <c r="RI171" s="126"/>
      <c r="RJ171" s="124"/>
      <c r="RL171" s="111"/>
      <c r="RN171" s="200"/>
      <c r="RO171" s="201"/>
      <c r="RP171" s="201"/>
      <c r="RQ171" s="200"/>
      <c r="RR171" s="202"/>
      <c r="RS171" s="203"/>
      <c r="RT171" s="124"/>
      <c r="RV171" s="126"/>
      <c r="RW171" s="124"/>
      <c r="RY171" s="111"/>
      <c r="SA171" s="200"/>
      <c r="SB171" s="201"/>
      <c r="SC171" s="201"/>
      <c r="SD171" s="200"/>
      <c r="SE171" s="202"/>
      <c r="SF171" s="203"/>
      <c r="SG171" s="124"/>
      <c r="SI171" s="126"/>
      <c r="SJ171" s="124"/>
      <c r="SL171" s="111"/>
      <c r="SN171" s="200"/>
      <c r="SO171" s="201"/>
      <c r="SP171" s="201"/>
      <c r="SQ171" s="200"/>
      <c r="SR171" s="202"/>
      <c r="SS171" s="203"/>
      <c r="ST171" s="124"/>
      <c r="SV171" s="126"/>
      <c r="SW171" s="124"/>
      <c r="SY171" s="111"/>
      <c r="TA171" s="200"/>
      <c r="TB171" s="201"/>
      <c r="TC171" s="201"/>
      <c r="TD171" s="200"/>
      <c r="TE171" s="202"/>
      <c r="TF171" s="203"/>
      <c r="TG171" s="124"/>
      <c r="TI171" s="126"/>
      <c r="TJ171" s="124"/>
      <c r="TL171" s="111"/>
      <c r="TN171" s="200"/>
      <c r="TO171" s="201"/>
      <c r="TP171" s="201"/>
      <c r="TQ171" s="200"/>
      <c r="TR171" s="202"/>
      <c r="TS171" s="203"/>
      <c r="TT171" s="124"/>
      <c r="TV171" s="126"/>
      <c r="TW171" s="124"/>
      <c r="TY171" s="111"/>
      <c r="UA171" s="200"/>
      <c r="UB171" s="201"/>
      <c r="UC171" s="201"/>
      <c r="UD171" s="200"/>
      <c r="UE171" s="202"/>
      <c r="UF171" s="203"/>
      <c r="UG171" s="124"/>
      <c r="UI171" s="126"/>
      <c r="UJ171" s="124"/>
      <c r="UL171" s="111"/>
      <c r="UN171" s="200"/>
      <c r="UO171" s="201"/>
      <c r="UP171" s="201"/>
      <c r="UQ171" s="200"/>
      <c r="UR171" s="202"/>
      <c r="US171" s="203"/>
      <c r="UT171" s="124"/>
      <c r="UV171" s="126"/>
      <c r="UW171" s="124"/>
      <c r="UY171" s="111"/>
      <c r="VA171" s="200"/>
      <c r="VB171" s="201"/>
      <c r="VC171" s="201"/>
      <c r="VD171" s="200"/>
      <c r="VE171" s="202"/>
      <c r="VF171" s="203"/>
      <c r="VG171" s="124"/>
      <c r="VI171" s="126"/>
      <c r="VJ171" s="124"/>
      <c r="VL171" s="111"/>
      <c r="VN171" s="200"/>
      <c r="VO171" s="201"/>
      <c r="VP171" s="201"/>
      <c r="VQ171" s="200"/>
      <c r="VR171" s="202"/>
      <c r="VS171" s="203"/>
      <c r="VT171" s="124"/>
      <c r="VV171" s="126"/>
      <c r="VW171" s="124"/>
      <c r="VY171" s="111"/>
      <c r="WA171" s="200"/>
      <c r="WB171" s="201"/>
      <c r="WC171" s="201"/>
      <c r="WD171" s="200"/>
      <c r="WE171" s="202"/>
      <c r="WF171" s="203"/>
      <c r="WG171" s="124"/>
      <c r="WI171" s="126"/>
      <c r="WJ171" s="124"/>
      <c r="WL171" s="111"/>
      <c r="WN171" s="200"/>
      <c r="WO171" s="201"/>
      <c r="WP171" s="201"/>
      <c r="WQ171" s="200"/>
      <c r="WR171" s="202"/>
      <c r="WS171" s="203"/>
      <c r="WT171" s="124"/>
      <c r="WV171" s="126"/>
      <c r="WW171" s="124"/>
      <c r="WY171" s="111"/>
      <c r="XA171" s="200"/>
      <c r="XB171" s="201"/>
      <c r="XC171" s="201"/>
      <c r="XD171" s="200"/>
      <c r="XE171" s="202"/>
      <c r="XF171" s="203"/>
      <c r="XG171" s="124"/>
      <c r="XI171" s="126"/>
      <c r="XJ171" s="124"/>
      <c r="XL171" s="111"/>
      <c r="XN171" s="200"/>
      <c r="XO171" s="201"/>
      <c r="XP171" s="201"/>
      <c r="XQ171" s="200"/>
      <c r="XR171" s="202"/>
      <c r="XS171" s="203"/>
      <c r="XT171" s="124"/>
      <c r="XV171" s="126"/>
      <c r="XW171" s="124"/>
      <c r="XY171" s="111"/>
      <c r="YA171" s="200"/>
      <c r="YB171" s="201"/>
      <c r="YC171" s="201"/>
      <c r="YD171" s="200"/>
      <c r="YE171" s="202"/>
      <c r="YF171" s="203"/>
      <c r="YG171" s="124"/>
      <c r="YI171" s="126"/>
      <c r="YJ171" s="124"/>
      <c r="YL171" s="111"/>
      <c r="YN171" s="200"/>
      <c r="YO171" s="201"/>
      <c r="YP171" s="201"/>
      <c r="YQ171" s="200"/>
      <c r="YR171" s="202"/>
      <c r="YS171" s="203"/>
      <c r="YT171" s="124"/>
      <c r="YV171" s="126"/>
      <c r="YW171" s="124"/>
      <c r="YY171" s="111"/>
      <c r="ZA171" s="200"/>
      <c r="ZB171" s="201"/>
      <c r="ZC171" s="201"/>
      <c r="ZD171" s="200"/>
      <c r="ZE171" s="202"/>
      <c r="ZF171" s="203"/>
      <c r="ZG171" s="124"/>
      <c r="ZI171" s="126"/>
      <c r="ZJ171" s="124"/>
      <c r="ZL171" s="111"/>
      <c r="ZN171" s="200"/>
      <c r="ZO171" s="201"/>
      <c r="ZP171" s="201"/>
      <c r="ZQ171" s="200"/>
      <c r="ZR171" s="202"/>
      <c r="ZS171" s="203"/>
      <c r="ZT171" s="124"/>
      <c r="ZV171" s="126"/>
      <c r="ZW171" s="124"/>
      <c r="ZY171" s="111"/>
      <c r="AAA171" s="200"/>
      <c r="AAB171" s="201"/>
      <c r="AAC171" s="201"/>
      <c r="AAD171" s="200"/>
      <c r="AAE171" s="202"/>
      <c r="AAF171" s="203"/>
      <c r="AAG171" s="124"/>
      <c r="AAI171" s="126"/>
      <c r="AAJ171" s="124"/>
      <c r="AAL171" s="111"/>
      <c r="AAN171" s="200"/>
      <c r="AAO171" s="201"/>
      <c r="AAP171" s="201"/>
      <c r="AAQ171" s="200"/>
      <c r="AAR171" s="202"/>
      <c r="AAS171" s="203"/>
      <c r="AAT171" s="124"/>
      <c r="AAV171" s="126"/>
      <c r="AAW171" s="124"/>
      <c r="AAY171" s="111"/>
      <c r="ABA171" s="200"/>
      <c r="ABB171" s="201"/>
      <c r="ABC171" s="201"/>
      <c r="ABD171" s="200"/>
      <c r="ABE171" s="202"/>
      <c r="ABF171" s="203"/>
      <c r="ABG171" s="124"/>
      <c r="ABI171" s="126"/>
      <c r="ABJ171" s="124"/>
      <c r="ABL171" s="111"/>
      <c r="ABN171" s="200"/>
      <c r="ABO171" s="201"/>
      <c r="ABP171" s="201"/>
      <c r="ABQ171" s="200"/>
      <c r="ABR171" s="202"/>
      <c r="ABS171" s="203"/>
      <c r="ABT171" s="124"/>
      <c r="ABV171" s="126"/>
      <c r="ABW171" s="124"/>
      <c r="ABY171" s="111"/>
      <c r="ACA171" s="200"/>
      <c r="ACB171" s="201"/>
      <c r="ACC171" s="201"/>
      <c r="ACD171" s="200"/>
      <c r="ACE171" s="202"/>
      <c r="ACF171" s="203"/>
      <c r="ACG171" s="124"/>
      <c r="ACI171" s="126"/>
      <c r="ACJ171" s="124"/>
      <c r="ACL171" s="111"/>
      <c r="ACN171" s="200"/>
      <c r="ACO171" s="201"/>
      <c r="ACP171" s="201"/>
      <c r="ACQ171" s="200"/>
      <c r="ACR171" s="202"/>
      <c r="ACS171" s="203"/>
      <c r="ACT171" s="124"/>
      <c r="ACV171" s="126"/>
      <c r="ACW171" s="124"/>
      <c r="ACY171" s="111"/>
      <c r="ADA171" s="200"/>
      <c r="ADB171" s="201"/>
      <c r="ADC171" s="201"/>
      <c r="ADD171" s="200"/>
      <c r="ADE171" s="202"/>
      <c r="ADF171" s="203"/>
      <c r="ADG171" s="124"/>
      <c r="ADI171" s="126"/>
      <c r="ADJ171" s="124"/>
      <c r="ADL171" s="111"/>
      <c r="ADN171" s="200"/>
      <c r="ADO171" s="201"/>
      <c r="ADP171" s="201"/>
      <c r="ADQ171" s="200"/>
      <c r="ADR171" s="202"/>
      <c r="ADS171" s="203"/>
      <c r="ADT171" s="124"/>
      <c r="ADV171" s="126"/>
      <c r="ADW171" s="124"/>
      <c r="ADY171" s="111"/>
      <c r="AEA171" s="200"/>
      <c r="AEB171" s="201"/>
      <c r="AEC171" s="201"/>
      <c r="AED171" s="200"/>
      <c r="AEE171" s="202"/>
      <c r="AEF171" s="203"/>
      <c r="AEG171" s="124"/>
      <c r="AEI171" s="126"/>
      <c r="AEJ171" s="124"/>
      <c r="AEL171" s="111"/>
      <c r="AEN171" s="200"/>
      <c r="AEO171" s="201"/>
      <c r="AEP171" s="201"/>
      <c r="AEQ171" s="200"/>
      <c r="AER171" s="202"/>
      <c r="AES171" s="203"/>
      <c r="AET171" s="124"/>
      <c r="AEV171" s="126"/>
      <c r="AEW171" s="124"/>
      <c r="AEY171" s="111"/>
      <c r="AFA171" s="200"/>
      <c r="AFB171" s="201"/>
      <c r="AFC171" s="201"/>
      <c r="AFD171" s="200"/>
      <c r="AFE171" s="202"/>
      <c r="AFF171" s="203"/>
      <c r="AFG171" s="124"/>
      <c r="AFI171" s="126"/>
      <c r="AFJ171" s="124"/>
      <c r="AFL171" s="111"/>
      <c r="AFN171" s="200"/>
      <c r="AFO171" s="201"/>
      <c r="AFP171" s="201"/>
      <c r="AFQ171" s="200"/>
      <c r="AFR171" s="202"/>
      <c r="AFS171" s="203"/>
      <c r="AFT171" s="124"/>
      <c r="AFV171" s="126"/>
      <c r="AFW171" s="124"/>
      <c r="AFY171" s="111"/>
      <c r="AGA171" s="200"/>
      <c r="AGB171" s="201"/>
      <c r="AGC171" s="201"/>
      <c r="AGD171" s="200"/>
      <c r="AGE171" s="202"/>
      <c r="AGF171" s="203"/>
      <c r="AGG171" s="124"/>
      <c r="AGI171" s="126"/>
      <c r="AGJ171" s="124"/>
      <c r="AGL171" s="111"/>
      <c r="AGN171" s="200"/>
      <c r="AGO171" s="201"/>
      <c r="AGP171" s="201"/>
      <c r="AGQ171" s="200"/>
      <c r="AGR171" s="202"/>
      <c r="AGS171" s="203"/>
      <c r="AGT171" s="124"/>
      <c r="AGV171" s="126"/>
      <c r="AGW171" s="124"/>
      <c r="AGY171" s="111"/>
      <c r="AHA171" s="200"/>
      <c r="AHB171" s="201"/>
      <c r="AHC171" s="201"/>
      <c r="AHD171" s="200"/>
      <c r="AHE171" s="202"/>
      <c r="AHF171" s="203"/>
      <c r="AHG171" s="124"/>
      <c r="AHI171" s="126"/>
      <c r="AHJ171" s="124"/>
      <c r="AHL171" s="111"/>
      <c r="AHN171" s="200"/>
      <c r="AHO171" s="201"/>
      <c r="AHP171" s="201"/>
      <c r="AHQ171" s="200"/>
      <c r="AHR171" s="202"/>
      <c r="AHS171" s="203"/>
      <c r="AHT171" s="124"/>
      <c r="AHV171" s="126"/>
      <c r="AHW171" s="124"/>
      <c r="AHY171" s="111"/>
      <c r="AIA171" s="200"/>
      <c r="AIB171" s="201"/>
      <c r="AIC171" s="201"/>
      <c r="AID171" s="200"/>
      <c r="AIE171" s="202"/>
      <c r="AIF171" s="203"/>
      <c r="AIG171" s="124"/>
      <c r="AII171" s="126"/>
      <c r="AIJ171" s="124"/>
      <c r="AIL171" s="111"/>
      <c r="AIN171" s="200"/>
      <c r="AIO171" s="201"/>
      <c r="AIP171" s="201"/>
      <c r="AIQ171" s="200"/>
      <c r="AIR171" s="202"/>
      <c r="AIS171" s="203"/>
      <c r="AIT171" s="124"/>
      <c r="AIV171" s="126"/>
      <c r="AIW171" s="124"/>
      <c r="AIY171" s="111"/>
      <c r="AJA171" s="200"/>
      <c r="AJB171" s="201"/>
      <c r="AJC171" s="201"/>
      <c r="AJD171" s="200"/>
      <c r="AJE171" s="202"/>
      <c r="AJF171" s="203"/>
      <c r="AJG171" s="124"/>
      <c r="AJI171" s="126"/>
      <c r="AJJ171" s="124"/>
      <c r="AJL171" s="111"/>
      <c r="AJN171" s="200"/>
      <c r="AJO171" s="201"/>
      <c r="AJP171" s="201"/>
      <c r="AJQ171" s="200"/>
      <c r="AJR171" s="202"/>
      <c r="AJS171" s="203"/>
      <c r="AJT171" s="124"/>
      <c r="AJV171" s="126"/>
      <c r="AJW171" s="124"/>
      <c r="AJY171" s="111"/>
      <c r="AKA171" s="200"/>
      <c r="AKB171" s="201"/>
      <c r="AKC171" s="201"/>
      <c r="AKD171" s="200"/>
      <c r="AKE171" s="202"/>
      <c r="AKF171" s="203"/>
      <c r="AKG171" s="124"/>
      <c r="AKI171" s="126"/>
      <c r="AKJ171" s="124"/>
      <c r="AKL171" s="111"/>
      <c r="AKN171" s="200"/>
      <c r="AKO171" s="201"/>
      <c r="AKP171" s="201"/>
      <c r="AKQ171" s="200"/>
      <c r="AKR171" s="202"/>
      <c r="AKS171" s="203"/>
      <c r="AKT171" s="124"/>
      <c r="AKV171" s="126"/>
      <c r="AKW171" s="124"/>
      <c r="AKY171" s="111"/>
      <c r="ALA171" s="200"/>
      <c r="ALB171" s="201"/>
      <c r="ALC171" s="201"/>
      <c r="ALD171" s="200"/>
      <c r="ALE171" s="202"/>
      <c r="ALF171" s="203"/>
      <c r="ALG171" s="124"/>
      <c r="ALI171" s="126"/>
      <c r="ALJ171" s="124"/>
      <c r="ALL171" s="111"/>
      <c r="ALN171" s="200"/>
      <c r="ALO171" s="201"/>
      <c r="ALP171" s="201"/>
      <c r="ALQ171" s="200"/>
      <c r="ALR171" s="202"/>
      <c r="ALS171" s="203"/>
      <c r="ALT171" s="124"/>
      <c r="ALV171" s="126"/>
      <c r="ALW171" s="124"/>
      <c r="ALY171" s="111"/>
      <c r="AMA171" s="200"/>
      <c r="AMB171" s="201"/>
      <c r="AMC171" s="201"/>
      <c r="AMD171" s="200"/>
      <c r="AME171" s="202"/>
      <c r="AMF171" s="203"/>
      <c r="AMG171" s="124"/>
      <c r="AMI171" s="126"/>
      <c r="AMJ171" s="124"/>
      <c r="AML171" s="111"/>
      <c r="AMN171" s="200"/>
      <c r="AMO171" s="201"/>
      <c r="AMP171" s="201"/>
      <c r="AMQ171" s="200"/>
      <c r="AMR171" s="202"/>
      <c r="AMS171" s="203"/>
      <c r="AMT171" s="124"/>
      <c r="AMV171" s="126"/>
      <c r="AMW171" s="124"/>
      <c r="AMY171" s="111"/>
      <c r="ANA171" s="200"/>
      <c r="ANB171" s="201"/>
      <c r="ANC171" s="201"/>
      <c r="AND171" s="200"/>
      <c r="ANE171" s="202"/>
      <c r="ANF171" s="203"/>
      <c r="ANG171" s="124"/>
      <c r="ANI171" s="126"/>
      <c r="ANJ171" s="124"/>
      <c r="ANL171" s="111"/>
      <c r="ANN171" s="200"/>
      <c r="ANO171" s="201"/>
      <c r="ANP171" s="201"/>
      <c r="ANQ171" s="200"/>
      <c r="ANR171" s="202"/>
      <c r="ANS171" s="203"/>
      <c r="ANT171" s="124"/>
      <c r="ANV171" s="126"/>
      <c r="ANW171" s="124"/>
      <c r="ANY171" s="111"/>
      <c r="AOA171" s="200"/>
      <c r="AOB171" s="201"/>
      <c r="AOC171" s="201"/>
      <c r="AOD171" s="200"/>
      <c r="AOE171" s="202"/>
      <c r="AOF171" s="203"/>
      <c r="AOG171" s="124"/>
      <c r="AOI171" s="126"/>
      <c r="AOJ171" s="124"/>
      <c r="AOL171" s="111"/>
      <c r="AON171" s="200"/>
      <c r="AOO171" s="201"/>
      <c r="AOP171" s="201"/>
      <c r="AOQ171" s="200"/>
      <c r="AOR171" s="202"/>
      <c r="AOS171" s="203"/>
      <c r="AOT171" s="124"/>
      <c r="AOV171" s="126"/>
      <c r="AOW171" s="124"/>
      <c r="AOY171" s="111"/>
      <c r="APA171" s="200"/>
      <c r="APB171" s="201"/>
      <c r="APC171" s="201"/>
      <c r="APD171" s="200"/>
      <c r="APE171" s="202"/>
      <c r="APF171" s="203"/>
      <c r="APG171" s="124"/>
      <c r="API171" s="126"/>
      <c r="APJ171" s="124"/>
      <c r="APL171" s="111"/>
      <c r="APN171" s="200"/>
      <c r="APO171" s="201"/>
      <c r="APP171" s="201"/>
      <c r="APQ171" s="200"/>
      <c r="APR171" s="202"/>
      <c r="APS171" s="203"/>
      <c r="APT171" s="124"/>
      <c r="APV171" s="126"/>
      <c r="APW171" s="124"/>
      <c r="APY171" s="111"/>
      <c r="AQA171" s="200"/>
      <c r="AQB171" s="201"/>
      <c r="AQC171" s="201"/>
      <c r="AQD171" s="200"/>
      <c r="AQE171" s="202"/>
      <c r="AQF171" s="203"/>
      <c r="AQG171" s="124"/>
      <c r="AQI171" s="126"/>
      <c r="AQJ171" s="124"/>
      <c r="AQL171" s="111"/>
      <c r="AQN171" s="200"/>
      <c r="AQO171" s="201"/>
      <c r="AQP171" s="201"/>
      <c r="AQQ171" s="200"/>
      <c r="AQR171" s="202"/>
      <c r="AQS171" s="203"/>
      <c r="AQT171" s="124"/>
      <c r="AQV171" s="126"/>
      <c r="AQW171" s="124"/>
      <c r="AQY171" s="111"/>
      <c r="ARA171" s="200"/>
      <c r="ARB171" s="201"/>
      <c r="ARC171" s="201"/>
      <c r="ARD171" s="200"/>
      <c r="ARE171" s="202"/>
      <c r="ARF171" s="203"/>
      <c r="ARG171" s="124"/>
      <c r="ARI171" s="126"/>
      <c r="ARJ171" s="124"/>
      <c r="ARL171" s="111"/>
      <c r="ARN171" s="200"/>
      <c r="ARO171" s="201"/>
      <c r="ARP171" s="201"/>
      <c r="ARQ171" s="200"/>
      <c r="ARR171" s="202"/>
      <c r="ARS171" s="203"/>
      <c r="ART171" s="124"/>
      <c r="ARV171" s="126"/>
      <c r="ARW171" s="124"/>
      <c r="ARY171" s="111"/>
      <c r="ASA171" s="200"/>
      <c r="ASB171" s="201"/>
      <c r="ASC171" s="201"/>
      <c r="ASD171" s="200"/>
      <c r="ASE171" s="202"/>
      <c r="ASF171" s="203"/>
      <c r="ASG171" s="124"/>
      <c r="ASI171" s="126"/>
      <c r="ASJ171" s="124"/>
      <c r="ASL171" s="111"/>
      <c r="ASN171" s="200"/>
      <c r="ASO171" s="201"/>
      <c r="ASP171" s="201"/>
      <c r="ASQ171" s="200"/>
      <c r="ASR171" s="202"/>
      <c r="ASS171" s="203"/>
      <c r="AST171" s="124"/>
      <c r="ASV171" s="126"/>
      <c r="ASW171" s="124"/>
      <c r="ASY171" s="111"/>
      <c r="ATA171" s="200"/>
      <c r="ATB171" s="201"/>
      <c r="ATC171" s="201"/>
      <c r="ATD171" s="200"/>
      <c r="ATE171" s="202"/>
      <c r="ATF171" s="203"/>
      <c r="ATG171" s="124"/>
      <c r="ATI171" s="126"/>
      <c r="ATJ171" s="124"/>
      <c r="ATL171" s="111"/>
      <c r="ATN171" s="200"/>
      <c r="ATO171" s="201"/>
      <c r="ATP171" s="201"/>
      <c r="ATQ171" s="200"/>
      <c r="ATR171" s="202"/>
      <c r="ATS171" s="203"/>
      <c r="ATT171" s="124"/>
      <c r="ATV171" s="126"/>
      <c r="ATW171" s="124"/>
      <c r="ATY171" s="111"/>
      <c r="AUA171" s="200"/>
      <c r="AUB171" s="201"/>
      <c r="AUC171" s="201"/>
      <c r="AUD171" s="200"/>
      <c r="AUE171" s="202"/>
      <c r="AUF171" s="203"/>
      <c r="AUG171" s="124"/>
      <c r="AUI171" s="126"/>
      <c r="AUJ171" s="124"/>
      <c r="AUL171" s="111"/>
      <c r="AUN171" s="200"/>
      <c r="AUO171" s="201"/>
      <c r="AUP171" s="201"/>
      <c r="AUQ171" s="200"/>
      <c r="AUR171" s="202"/>
      <c r="AUS171" s="203"/>
      <c r="AUT171" s="124"/>
      <c r="AUV171" s="126"/>
      <c r="AUW171" s="124"/>
      <c r="AUY171" s="111"/>
      <c r="AVA171" s="200"/>
      <c r="AVB171" s="201"/>
      <c r="AVC171" s="201"/>
      <c r="AVD171" s="200"/>
      <c r="AVE171" s="202"/>
      <c r="AVF171" s="203"/>
      <c r="AVG171" s="124"/>
      <c r="AVI171" s="126"/>
      <c r="AVJ171" s="124"/>
      <c r="AVL171" s="111"/>
      <c r="AVN171" s="200"/>
      <c r="AVO171" s="201"/>
      <c r="AVP171" s="201"/>
      <c r="AVQ171" s="200"/>
      <c r="AVR171" s="202"/>
      <c r="AVS171" s="203"/>
      <c r="AVT171" s="124"/>
      <c r="AVV171" s="126"/>
      <c r="AVW171" s="124"/>
      <c r="AVY171" s="111"/>
      <c r="AWA171" s="200"/>
      <c r="AWB171" s="201"/>
      <c r="AWC171" s="201"/>
      <c r="AWD171" s="200"/>
      <c r="AWE171" s="202"/>
      <c r="AWF171" s="203"/>
      <c r="AWG171" s="124"/>
      <c r="AWI171" s="126"/>
      <c r="AWJ171" s="124"/>
      <c r="AWL171" s="111"/>
      <c r="AWN171" s="200"/>
      <c r="AWO171" s="201"/>
      <c r="AWP171" s="201"/>
      <c r="AWQ171" s="200"/>
      <c r="AWR171" s="202"/>
      <c r="AWS171" s="203"/>
      <c r="AWT171" s="124"/>
      <c r="AWV171" s="126"/>
      <c r="AWW171" s="124"/>
      <c r="AWY171" s="111"/>
      <c r="AXA171" s="200"/>
      <c r="AXB171" s="201"/>
      <c r="AXC171" s="201"/>
      <c r="AXD171" s="200"/>
      <c r="AXE171" s="202"/>
      <c r="AXF171" s="203"/>
      <c r="AXG171" s="124"/>
      <c r="AXI171" s="126"/>
      <c r="AXJ171" s="124"/>
      <c r="AXL171" s="111"/>
      <c r="AXN171" s="200"/>
      <c r="AXO171" s="201"/>
      <c r="AXP171" s="201"/>
      <c r="AXQ171" s="200"/>
      <c r="AXR171" s="202"/>
      <c r="AXS171" s="203"/>
      <c r="AXT171" s="124"/>
      <c r="AXV171" s="126"/>
      <c r="AXW171" s="124"/>
      <c r="AXY171" s="111"/>
      <c r="AYA171" s="200"/>
      <c r="AYB171" s="201"/>
      <c r="AYC171" s="201"/>
      <c r="AYD171" s="200"/>
      <c r="AYE171" s="202"/>
      <c r="AYF171" s="203"/>
      <c r="AYG171" s="124"/>
      <c r="AYI171" s="126"/>
      <c r="AYJ171" s="124"/>
      <c r="AYL171" s="111"/>
      <c r="AYN171" s="200"/>
      <c r="AYO171" s="201"/>
      <c r="AYP171" s="201"/>
      <c r="AYQ171" s="200"/>
      <c r="AYR171" s="202"/>
      <c r="AYS171" s="203"/>
      <c r="AYT171" s="124"/>
      <c r="AYV171" s="126"/>
      <c r="AYW171" s="124"/>
      <c r="AYY171" s="111"/>
      <c r="AZA171" s="200"/>
      <c r="AZB171" s="201"/>
      <c r="AZC171" s="201"/>
      <c r="AZD171" s="200"/>
      <c r="AZE171" s="202"/>
      <c r="AZF171" s="203"/>
      <c r="AZG171" s="124"/>
      <c r="AZI171" s="126"/>
      <c r="AZJ171" s="124"/>
      <c r="AZL171" s="111"/>
      <c r="AZN171" s="200"/>
      <c r="AZO171" s="201"/>
      <c r="AZP171" s="201"/>
      <c r="AZQ171" s="200"/>
      <c r="AZR171" s="202"/>
      <c r="AZS171" s="203"/>
      <c r="AZT171" s="124"/>
      <c r="AZV171" s="126"/>
      <c r="AZW171" s="124"/>
      <c r="AZY171" s="111"/>
      <c r="BAA171" s="200"/>
      <c r="BAB171" s="201"/>
      <c r="BAC171" s="201"/>
      <c r="BAD171" s="200"/>
      <c r="BAE171" s="202"/>
      <c r="BAF171" s="203"/>
      <c r="BAG171" s="124"/>
      <c r="BAI171" s="126"/>
      <c r="BAJ171" s="124"/>
      <c r="BAL171" s="111"/>
      <c r="BAN171" s="200"/>
      <c r="BAO171" s="201"/>
      <c r="BAP171" s="201"/>
      <c r="BAQ171" s="200"/>
      <c r="BAR171" s="202"/>
      <c r="BAS171" s="203"/>
      <c r="BAT171" s="124"/>
      <c r="BAV171" s="126"/>
      <c r="BAW171" s="124"/>
      <c r="BAY171" s="111"/>
      <c r="BBA171" s="200"/>
      <c r="BBB171" s="201"/>
      <c r="BBC171" s="201"/>
      <c r="BBD171" s="200"/>
      <c r="BBE171" s="202"/>
      <c r="BBF171" s="203"/>
      <c r="BBG171" s="124"/>
      <c r="BBI171" s="126"/>
      <c r="BBJ171" s="124"/>
      <c r="BBL171" s="111"/>
      <c r="BBN171" s="200"/>
      <c r="BBO171" s="201"/>
      <c r="BBP171" s="201"/>
      <c r="BBQ171" s="200"/>
      <c r="BBR171" s="202"/>
      <c r="BBS171" s="203"/>
      <c r="BBT171" s="124"/>
      <c r="BBV171" s="126"/>
      <c r="BBW171" s="124"/>
      <c r="BBY171" s="111"/>
      <c r="BCA171" s="200"/>
      <c r="BCB171" s="201"/>
      <c r="BCC171" s="201"/>
      <c r="BCD171" s="200"/>
      <c r="BCE171" s="202"/>
      <c r="BCF171" s="203"/>
      <c r="BCG171" s="124"/>
      <c r="BCI171" s="126"/>
      <c r="BCJ171" s="124"/>
      <c r="BCL171" s="111"/>
      <c r="BCN171" s="200"/>
      <c r="BCO171" s="201"/>
      <c r="BCP171" s="201"/>
      <c r="BCQ171" s="200"/>
      <c r="BCR171" s="202"/>
      <c r="BCS171" s="203"/>
      <c r="BCT171" s="124"/>
      <c r="BCV171" s="126"/>
      <c r="BCW171" s="124"/>
      <c r="BCY171" s="111"/>
      <c r="BDA171" s="200"/>
      <c r="BDB171" s="201"/>
      <c r="BDC171" s="201"/>
      <c r="BDD171" s="200"/>
      <c r="BDE171" s="202"/>
      <c r="BDF171" s="203"/>
      <c r="BDG171" s="124"/>
      <c r="BDI171" s="126"/>
      <c r="BDJ171" s="124"/>
      <c r="BDL171" s="111"/>
      <c r="BDN171" s="200"/>
      <c r="BDO171" s="201"/>
      <c r="BDP171" s="201"/>
      <c r="BDQ171" s="200"/>
      <c r="BDR171" s="202"/>
      <c r="BDS171" s="203"/>
      <c r="BDT171" s="124"/>
      <c r="BDV171" s="126"/>
      <c r="BDW171" s="124"/>
      <c r="BDY171" s="111"/>
      <c r="BEA171" s="200"/>
      <c r="BEB171" s="201"/>
      <c r="BEC171" s="201"/>
      <c r="BED171" s="200"/>
      <c r="BEE171" s="202"/>
      <c r="BEF171" s="203"/>
      <c r="BEG171" s="124"/>
      <c r="BEI171" s="126"/>
      <c r="BEJ171" s="124"/>
      <c r="BEL171" s="111"/>
      <c r="BEN171" s="200"/>
      <c r="BEO171" s="201"/>
      <c r="BEP171" s="201"/>
      <c r="BEQ171" s="200"/>
      <c r="BER171" s="202"/>
      <c r="BES171" s="203"/>
      <c r="BET171" s="124"/>
      <c r="BEV171" s="126"/>
      <c r="BEW171" s="124"/>
      <c r="BEY171" s="111"/>
      <c r="BFA171" s="200"/>
      <c r="BFB171" s="201"/>
      <c r="BFC171" s="201"/>
      <c r="BFD171" s="200"/>
      <c r="BFE171" s="202"/>
      <c r="BFF171" s="203"/>
      <c r="BFG171" s="124"/>
      <c r="BFI171" s="126"/>
      <c r="BFJ171" s="124"/>
      <c r="BFL171" s="111"/>
      <c r="BFN171" s="200"/>
      <c r="BFO171" s="201"/>
      <c r="BFP171" s="201"/>
      <c r="BFQ171" s="200"/>
      <c r="BFR171" s="202"/>
      <c r="BFS171" s="203"/>
      <c r="BFT171" s="124"/>
      <c r="BFV171" s="126"/>
      <c r="BFW171" s="124"/>
      <c r="BFY171" s="111"/>
      <c r="BGA171" s="200"/>
      <c r="BGB171" s="201"/>
      <c r="BGC171" s="201"/>
      <c r="BGD171" s="200"/>
      <c r="BGE171" s="202"/>
      <c r="BGF171" s="203"/>
      <c r="BGG171" s="124"/>
      <c r="BGI171" s="126"/>
      <c r="BGJ171" s="124"/>
      <c r="BGL171" s="111"/>
      <c r="BGN171" s="200"/>
      <c r="BGO171" s="201"/>
      <c r="BGP171" s="201"/>
      <c r="BGQ171" s="200"/>
      <c r="BGR171" s="202"/>
      <c r="BGS171" s="203"/>
      <c r="BGT171" s="124"/>
      <c r="BGV171" s="126"/>
      <c r="BGW171" s="124"/>
      <c r="BGY171" s="111"/>
      <c r="BHA171" s="200"/>
      <c r="BHB171" s="201"/>
      <c r="BHC171" s="201"/>
      <c r="BHD171" s="200"/>
      <c r="BHE171" s="202"/>
      <c r="BHF171" s="203"/>
      <c r="BHG171" s="124"/>
      <c r="BHI171" s="126"/>
      <c r="BHJ171" s="124"/>
      <c r="BHL171" s="111"/>
      <c r="BHN171" s="200"/>
      <c r="BHO171" s="201"/>
      <c r="BHP171" s="201"/>
      <c r="BHQ171" s="200"/>
      <c r="BHR171" s="202"/>
      <c r="BHS171" s="203"/>
      <c r="BHT171" s="124"/>
      <c r="BHV171" s="126"/>
      <c r="BHW171" s="124"/>
      <c r="BHY171" s="111"/>
      <c r="BIA171" s="200"/>
      <c r="BIB171" s="201"/>
      <c r="BIC171" s="201"/>
      <c r="BID171" s="200"/>
      <c r="BIE171" s="202"/>
      <c r="BIF171" s="203"/>
      <c r="BIG171" s="124"/>
      <c r="BII171" s="126"/>
      <c r="BIJ171" s="124"/>
      <c r="BIL171" s="111"/>
      <c r="BIN171" s="200"/>
      <c r="BIO171" s="201"/>
      <c r="BIP171" s="201"/>
      <c r="BIQ171" s="200"/>
      <c r="BIR171" s="202"/>
      <c r="BIS171" s="203"/>
      <c r="BIT171" s="124"/>
      <c r="BIV171" s="126"/>
      <c r="BIW171" s="124"/>
      <c r="BIY171" s="111"/>
      <c r="BJA171" s="200"/>
      <c r="BJB171" s="201"/>
      <c r="BJC171" s="201"/>
      <c r="BJD171" s="200"/>
      <c r="BJE171" s="202"/>
      <c r="BJF171" s="203"/>
      <c r="BJG171" s="124"/>
      <c r="BJI171" s="126"/>
      <c r="BJJ171" s="124"/>
      <c r="BJL171" s="111"/>
      <c r="BJN171" s="200"/>
      <c r="BJO171" s="201"/>
      <c r="BJP171" s="201"/>
      <c r="BJQ171" s="200"/>
      <c r="BJR171" s="202"/>
      <c r="BJS171" s="203"/>
      <c r="BJT171" s="124"/>
      <c r="BJV171" s="126"/>
      <c r="BJW171" s="124"/>
      <c r="BJY171" s="111"/>
      <c r="BKA171" s="200"/>
      <c r="BKB171" s="201"/>
      <c r="BKC171" s="201"/>
      <c r="BKD171" s="200"/>
      <c r="BKE171" s="202"/>
      <c r="BKF171" s="203"/>
      <c r="BKG171" s="124"/>
      <c r="BKI171" s="126"/>
      <c r="BKJ171" s="124"/>
      <c r="BKL171" s="111"/>
      <c r="BKN171" s="200"/>
      <c r="BKO171" s="201"/>
      <c r="BKP171" s="201"/>
      <c r="BKQ171" s="200"/>
      <c r="BKR171" s="202"/>
      <c r="BKS171" s="203"/>
      <c r="BKT171" s="124"/>
      <c r="BKV171" s="126"/>
      <c r="BKW171" s="124"/>
      <c r="BKY171" s="111"/>
      <c r="BLA171" s="200"/>
      <c r="BLB171" s="201"/>
      <c r="BLC171" s="201"/>
      <c r="BLD171" s="200"/>
      <c r="BLE171" s="202"/>
      <c r="BLF171" s="203"/>
      <c r="BLG171" s="124"/>
      <c r="BLI171" s="126"/>
      <c r="BLJ171" s="124"/>
      <c r="BLL171" s="111"/>
      <c r="BLN171" s="200"/>
      <c r="BLO171" s="201"/>
      <c r="BLP171" s="201"/>
      <c r="BLQ171" s="200"/>
      <c r="BLR171" s="202"/>
      <c r="BLS171" s="203"/>
      <c r="BLT171" s="124"/>
      <c r="BLV171" s="126"/>
      <c r="BLW171" s="124"/>
      <c r="BLY171" s="111"/>
      <c r="BMA171" s="200"/>
      <c r="BMB171" s="201"/>
      <c r="BMC171" s="201"/>
      <c r="BMD171" s="200"/>
      <c r="BME171" s="202"/>
      <c r="BMF171" s="203"/>
      <c r="BMG171" s="124"/>
      <c r="BMI171" s="126"/>
      <c r="BMJ171" s="124"/>
      <c r="BML171" s="111"/>
      <c r="BMN171" s="200"/>
      <c r="BMO171" s="201"/>
      <c r="BMP171" s="201"/>
      <c r="BMQ171" s="200"/>
      <c r="BMR171" s="202"/>
      <c r="BMS171" s="203"/>
      <c r="BMT171" s="124"/>
      <c r="BMV171" s="126"/>
      <c r="BMW171" s="124"/>
      <c r="BMY171" s="111"/>
      <c r="BNA171" s="200"/>
      <c r="BNB171" s="201"/>
      <c r="BNC171" s="201"/>
      <c r="BND171" s="200"/>
      <c r="BNE171" s="202"/>
      <c r="BNF171" s="203"/>
      <c r="BNG171" s="124"/>
      <c r="BNI171" s="126"/>
      <c r="BNJ171" s="124"/>
      <c r="BNL171" s="111"/>
      <c r="BNN171" s="200"/>
      <c r="BNO171" s="201"/>
      <c r="BNP171" s="201"/>
      <c r="BNQ171" s="200"/>
      <c r="BNR171" s="202"/>
      <c r="BNS171" s="203"/>
      <c r="BNT171" s="124"/>
      <c r="BNV171" s="126"/>
      <c r="BNW171" s="124"/>
      <c r="BNY171" s="111"/>
      <c r="BOA171" s="200"/>
      <c r="BOB171" s="201"/>
      <c r="BOC171" s="201"/>
      <c r="BOD171" s="200"/>
      <c r="BOE171" s="202"/>
      <c r="BOF171" s="203"/>
      <c r="BOG171" s="124"/>
      <c r="BOI171" s="126"/>
      <c r="BOJ171" s="124"/>
      <c r="BOL171" s="111"/>
      <c r="BON171" s="200"/>
      <c r="BOO171" s="201"/>
      <c r="BOP171" s="201"/>
      <c r="BOQ171" s="200"/>
      <c r="BOR171" s="202"/>
      <c r="BOS171" s="203"/>
      <c r="BOT171" s="124"/>
      <c r="BOV171" s="126"/>
      <c r="BOW171" s="124"/>
      <c r="BOY171" s="111"/>
      <c r="BPA171" s="200"/>
      <c r="BPB171" s="201"/>
      <c r="BPC171" s="201"/>
      <c r="BPD171" s="200"/>
      <c r="BPE171" s="202"/>
      <c r="BPF171" s="203"/>
      <c r="BPG171" s="124"/>
      <c r="BPI171" s="126"/>
      <c r="BPJ171" s="124"/>
      <c r="BPL171" s="111"/>
      <c r="BPN171" s="200"/>
      <c r="BPO171" s="201"/>
      <c r="BPP171" s="201"/>
      <c r="BPQ171" s="200"/>
      <c r="BPR171" s="202"/>
      <c r="BPS171" s="203"/>
      <c r="BPT171" s="124"/>
      <c r="BPV171" s="126"/>
      <c r="BPW171" s="124"/>
      <c r="BPY171" s="111"/>
      <c r="BQA171" s="200"/>
      <c r="BQB171" s="201"/>
      <c r="BQC171" s="201"/>
      <c r="BQD171" s="200"/>
      <c r="BQE171" s="202"/>
      <c r="BQF171" s="203"/>
      <c r="BQG171" s="124"/>
      <c r="BQI171" s="126"/>
      <c r="BQJ171" s="124"/>
      <c r="BQL171" s="111"/>
      <c r="BQN171" s="200"/>
      <c r="BQO171" s="201"/>
      <c r="BQP171" s="201"/>
      <c r="BQQ171" s="200"/>
      <c r="BQR171" s="202"/>
      <c r="BQS171" s="203"/>
      <c r="BQT171" s="124"/>
      <c r="BQV171" s="126"/>
      <c r="BQW171" s="124"/>
      <c r="BQY171" s="111"/>
      <c r="BRA171" s="200"/>
      <c r="BRB171" s="201"/>
      <c r="BRC171" s="201"/>
      <c r="BRD171" s="200"/>
      <c r="BRE171" s="202"/>
      <c r="BRF171" s="203"/>
      <c r="BRG171" s="124"/>
      <c r="BRI171" s="126"/>
      <c r="BRJ171" s="124"/>
      <c r="BRL171" s="111"/>
      <c r="BRN171" s="200"/>
      <c r="BRO171" s="201"/>
      <c r="BRP171" s="201"/>
      <c r="BRQ171" s="200"/>
      <c r="BRR171" s="202"/>
      <c r="BRS171" s="203"/>
      <c r="BRT171" s="124"/>
      <c r="BRV171" s="126"/>
      <c r="BRW171" s="124"/>
      <c r="BRY171" s="111"/>
      <c r="BSA171" s="200"/>
      <c r="BSB171" s="201"/>
      <c r="BSC171" s="201"/>
      <c r="BSD171" s="200"/>
      <c r="BSE171" s="202"/>
      <c r="BSF171" s="203"/>
      <c r="BSG171" s="124"/>
      <c r="BSI171" s="126"/>
      <c r="BSJ171" s="124"/>
      <c r="BSL171" s="111"/>
      <c r="BSN171" s="200"/>
      <c r="BSO171" s="201"/>
      <c r="BSP171" s="201"/>
      <c r="BSQ171" s="200"/>
      <c r="BSR171" s="202"/>
      <c r="BSS171" s="203"/>
      <c r="BST171" s="124"/>
      <c r="BSV171" s="126"/>
      <c r="BSW171" s="124"/>
      <c r="BSY171" s="111"/>
      <c r="BTA171" s="200"/>
      <c r="BTB171" s="201"/>
      <c r="BTC171" s="201"/>
      <c r="BTD171" s="200"/>
      <c r="BTE171" s="202"/>
      <c r="BTF171" s="203"/>
      <c r="BTG171" s="124"/>
      <c r="BTI171" s="126"/>
      <c r="BTJ171" s="124"/>
      <c r="BTL171" s="111"/>
      <c r="BTN171" s="200"/>
      <c r="BTO171" s="201"/>
      <c r="BTP171" s="201"/>
      <c r="BTQ171" s="200"/>
      <c r="BTR171" s="202"/>
      <c r="BTS171" s="203"/>
      <c r="BTT171" s="124"/>
      <c r="BTV171" s="126"/>
      <c r="BTW171" s="124"/>
      <c r="BTY171" s="111"/>
      <c r="BUA171" s="200"/>
      <c r="BUB171" s="201"/>
      <c r="BUC171" s="201"/>
      <c r="BUD171" s="200"/>
      <c r="BUE171" s="202"/>
      <c r="BUF171" s="203"/>
      <c r="BUG171" s="124"/>
      <c r="BUI171" s="126"/>
      <c r="BUJ171" s="124"/>
      <c r="BUL171" s="111"/>
      <c r="BUN171" s="200"/>
      <c r="BUO171" s="201"/>
      <c r="BUP171" s="201"/>
      <c r="BUQ171" s="200"/>
      <c r="BUR171" s="202"/>
      <c r="BUS171" s="203"/>
      <c r="BUT171" s="124"/>
      <c r="BUV171" s="126"/>
      <c r="BUW171" s="124"/>
      <c r="BUY171" s="111"/>
      <c r="BVA171" s="200"/>
      <c r="BVB171" s="201"/>
      <c r="BVC171" s="201"/>
      <c r="BVD171" s="200"/>
      <c r="BVE171" s="202"/>
      <c r="BVF171" s="203"/>
      <c r="BVG171" s="124"/>
      <c r="BVI171" s="126"/>
      <c r="BVJ171" s="124"/>
      <c r="BVL171" s="111"/>
      <c r="BVN171" s="200"/>
      <c r="BVO171" s="201"/>
      <c r="BVP171" s="201"/>
      <c r="BVQ171" s="200"/>
      <c r="BVR171" s="202"/>
      <c r="BVS171" s="203"/>
      <c r="BVT171" s="124"/>
      <c r="BVV171" s="126"/>
      <c r="BVW171" s="124"/>
      <c r="BVY171" s="111"/>
      <c r="BWA171" s="200"/>
      <c r="BWB171" s="201"/>
      <c r="BWC171" s="201"/>
      <c r="BWD171" s="200"/>
      <c r="BWE171" s="202"/>
      <c r="BWF171" s="203"/>
      <c r="BWG171" s="124"/>
      <c r="BWI171" s="126"/>
      <c r="BWJ171" s="124"/>
      <c r="BWL171" s="111"/>
      <c r="BWN171" s="200"/>
      <c r="BWO171" s="201"/>
      <c r="BWP171" s="201"/>
      <c r="BWQ171" s="200"/>
      <c r="BWR171" s="202"/>
      <c r="BWS171" s="203"/>
      <c r="BWT171" s="124"/>
      <c r="BWV171" s="126"/>
      <c r="BWW171" s="124"/>
      <c r="BWY171" s="111"/>
      <c r="BXA171" s="200"/>
      <c r="BXB171" s="201"/>
      <c r="BXC171" s="201"/>
      <c r="BXD171" s="200"/>
      <c r="BXE171" s="202"/>
      <c r="BXF171" s="203"/>
      <c r="BXG171" s="124"/>
      <c r="BXI171" s="126"/>
      <c r="BXJ171" s="124"/>
      <c r="BXL171" s="111"/>
      <c r="BXN171" s="200"/>
      <c r="BXO171" s="201"/>
      <c r="BXP171" s="201"/>
      <c r="BXQ171" s="200"/>
      <c r="BXR171" s="202"/>
      <c r="BXS171" s="203"/>
      <c r="BXT171" s="124"/>
      <c r="BXV171" s="126"/>
      <c r="BXW171" s="124"/>
      <c r="BXY171" s="111"/>
      <c r="BYA171" s="200"/>
      <c r="BYB171" s="201"/>
      <c r="BYC171" s="201"/>
      <c r="BYD171" s="200"/>
      <c r="BYE171" s="202"/>
      <c r="BYF171" s="203"/>
      <c r="BYG171" s="124"/>
      <c r="BYI171" s="126"/>
      <c r="BYJ171" s="124"/>
      <c r="BYL171" s="111"/>
      <c r="BYN171" s="200"/>
      <c r="BYO171" s="201"/>
      <c r="BYP171" s="201"/>
      <c r="BYQ171" s="200"/>
      <c r="BYR171" s="202"/>
      <c r="BYS171" s="203"/>
      <c r="BYT171" s="124"/>
      <c r="BYV171" s="126"/>
      <c r="BYW171" s="124"/>
      <c r="BYY171" s="111"/>
      <c r="BZA171" s="200"/>
      <c r="BZB171" s="201"/>
      <c r="BZC171" s="201"/>
      <c r="BZD171" s="200"/>
      <c r="BZE171" s="202"/>
      <c r="BZF171" s="203"/>
      <c r="BZG171" s="124"/>
      <c r="BZI171" s="126"/>
      <c r="BZJ171" s="124"/>
      <c r="BZL171" s="111"/>
      <c r="BZN171" s="200"/>
      <c r="BZO171" s="201"/>
      <c r="BZP171" s="201"/>
      <c r="BZQ171" s="200"/>
      <c r="BZR171" s="202"/>
      <c r="BZS171" s="203"/>
      <c r="BZT171" s="124"/>
      <c r="BZV171" s="126"/>
      <c r="BZW171" s="124"/>
      <c r="BZY171" s="111"/>
      <c r="CAA171" s="200"/>
      <c r="CAB171" s="201"/>
      <c r="CAC171" s="201"/>
      <c r="CAD171" s="200"/>
      <c r="CAE171" s="202"/>
      <c r="CAF171" s="203"/>
      <c r="CAG171" s="124"/>
      <c r="CAI171" s="126"/>
      <c r="CAJ171" s="124"/>
      <c r="CAL171" s="111"/>
      <c r="CAN171" s="200"/>
      <c r="CAO171" s="201"/>
      <c r="CAP171" s="201"/>
      <c r="CAQ171" s="200"/>
      <c r="CAR171" s="202"/>
      <c r="CAS171" s="203"/>
      <c r="CAT171" s="124"/>
      <c r="CAV171" s="126"/>
      <c r="CAW171" s="124"/>
      <c r="CAY171" s="111"/>
      <c r="CBA171" s="200"/>
      <c r="CBB171" s="201"/>
      <c r="CBC171" s="201"/>
      <c r="CBD171" s="200"/>
      <c r="CBE171" s="202"/>
      <c r="CBF171" s="203"/>
      <c r="CBG171" s="124"/>
      <c r="CBI171" s="126"/>
      <c r="CBJ171" s="124"/>
      <c r="CBL171" s="111"/>
      <c r="CBN171" s="200"/>
      <c r="CBO171" s="201"/>
      <c r="CBP171" s="201"/>
      <c r="CBQ171" s="200"/>
      <c r="CBR171" s="202"/>
      <c r="CBS171" s="203"/>
      <c r="CBT171" s="124"/>
      <c r="CBV171" s="126"/>
      <c r="CBW171" s="124"/>
      <c r="CBY171" s="111"/>
      <c r="CCA171" s="200"/>
      <c r="CCB171" s="201"/>
      <c r="CCC171" s="201"/>
      <c r="CCD171" s="200"/>
      <c r="CCE171" s="202"/>
      <c r="CCF171" s="203"/>
      <c r="CCG171" s="124"/>
      <c r="CCI171" s="126"/>
      <c r="CCJ171" s="124"/>
      <c r="CCL171" s="111"/>
      <c r="CCN171" s="200"/>
      <c r="CCO171" s="201"/>
      <c r="CCP171" s="201"/>
      <c r="CCQ171" s="200"/>
      <c r="CCR171" s="202"/>
      <c r="CCS171" s="203"/>
      <c r="CCT171" s="124"/>
      <c r="CCV171" s="126"/>
      <c r="CCW171" s="124"/>
      <c r="CCY171" s="111"/>
      <c r="CDA171" s="200"/>
      <c r="CDB171" s="201"/>
      <c r="CDC171" s="201"/>
      <c r="CDD171" s="200"/>
      <c r="CDE171" s="202"/>
      <c r="CDF171" s="203"/>
      <c r="CDG171" s="124"/>
      <c r="CDI171" s="126"/>
      <c r="CDJ171" s="124"/>
      <c r="CDL171" s="111"/>
      <c r="CDN171" s="200"/>
      <c r="CDO171" s="201"/>
      <c r="CDP171" s="201"/>
      <c r="CDQ171" s="200"/>
      <c r="CDR171" s="202"/>
      <c r="CDS171" s="203"/>
      <c r="CDT171" s="124"/>
      <c r="CDV171" s="126"/>
      <c r="CDW171" s="124"/>
      <c r="CDY171" s="111"/>
      <c r="CEA171" s="200"/>
      <c r="CEB171" s="201"/>
      <c r="CEC171" s="201"/>
      <c r="CED171" s="200"/>
      <c r="CEE171" s="202"/>
      <c r="CEF171" s="203"/>
      <c r="CEG171" s="124"/>
      <c r="CEI171" s="126"/>
      <c r="CEJ171" s="124"/>
      <c r="CEL171" s="111"/>
      <c r="CEN171" s="200"/>
      <c r="CEO171" s="201"/>
      <c r="CEP171" s="201"/>
      <c r="CEQ171" s="200"/>
      <c r="CER171" s="202"/>
      <c r="CES171" s="203"/>
      <c r="CET171" s="124"/>
      <c r="CEV171" s="126"/>
      <c r="CEW171" s="124"/>
      <c r="CEY171" s="111"/>
      <c r="CFA171" s="200"/>
      <c r="CFB171" s="201"/>
      <c r="CFC171" s="201"/>
      <c r="CFD171" s="200"/>
      <c r="CFE171" s="202"/>
      <c r="CFF171" s="203"/>
      <c r="CFG171" s="124"/>
      <c r="CFI171" s="126"/>
      <c r="CFJ171" s="124"/>
      <c r="CFL171" s="111"/>
      <c r="CFN171" s="200"/>
      <c r="CFO171" s="201"/>
      <c r="CFP171" s="201"/>
      <c r="CFQ171" s="200"/>
      <c r="CFR171" s="202"/>
      <c r="CFS171" s="203"/>
      <c r="CFT171" s="124"/>
      <c r="CFV171" s="126"/>
      <c r="CFW171" s="124"/>
      <c r="CFY171" s="111"/>
      <c r="CGA171" s="200"/>
      <c r="CGB171" s="201"/>
      <c r="CGC171" s="201"/>
      <c r="CGD171" s="200"/>
      <c r="CGE171" s="202"/>
      <c r="CGF171" s="203"/>
      <c r="CGG171" s="124"/>
      <c r="CGI171" s="126"/>
      <c r="CGJ171" s="124"/>
      <c r="CGL171" s="111"/>
      <c r="CGN171" s="200"/>
      <c r="CGO171" s="201"/>
      <c r="CGP171" s="201"/>
      <c r="CGQ171" s="200"/>
      <c r="CGR171" s="202"/>
      <c r="CGS171" s="203"/>
      <c r="CGT171" s="124"/>
      <c r="CGV171" s="126"/>
      <c r="CGW171" s="124"/>
      <c r="CGY171" s="111"/>
      <c r="CHA171" s="200"/>
      <c r="CHB171" s="201"/>
      <c r="CHC171" s="201"/>
      <c r="CHD171" s="200"/>
      <c r="CHE171" s="202"/>
      <c r="CHF171" s="203"/>
      <c r="CHG171" s="124"/>
      <c r="CHI171" s="126"/>
      <c r="CHJ171" s="124"/>
      <c r="CHL171" s="111"/>
      <c r="CHN171" s="200"/>
      <c r="CHO171" s="201"/>
      <c r="CHP171" s="201"/>
      <c r="CHQ171" s="200"/>
      <c r="CHR171" s="202"/>
      <c r="CHS171" s="203"/>
      <c r="CHT171" s="124"/>
      <c r="CHV171" s="126"/>
      <c r="CHW171" s="124"/>
      <c r="CHY171" s="111"/>
      <c r="CIA171" s="200"/>
      <c r="CIB171" s="201"/>
      <c r="CIC171" s="201"/>
      <c r="CID171" s="200"/>
      <c r="CIE171" s="202"/>
      <c r="CIF171" s="203"/>
      <c r="CIG171" s="124"/>
      <c r="CII171" s="126"/>
      <c r="CIJ171" s="124"/>
      <c r="CIL171" s="111"/>
      <c r="CIN171" s="200"/>
      <c r="CIO171" s="201"/>
      <c r="CIP171" s="201"/>
      <c r="CIQ171" s="200"/>
      <c r="CIR171" s="202"/>
      <c r="CIS171" s="203"/>
      <c r="CIT171" s="124"/>
      <c r="CIV171" s="126"/>
      <c r="CIW171" s="124"/>
      <c r="CIY171" s="111"/>
      <c r="CJA171" s="200"/>
      <c r="CJB171" s="201"/>
      <c r="CJC171" s="201"/>
      <c r="CJD171" s="200"/>
      <c r="CJE171" s="202"/>
      <c r="CJF171" s="203"/>
      <c r="CJG171" s="124"/>
      <c r="CJI171" s="126"/>
      <c r="CJJ171" s="124"/>
      <c r="CJL171" s="111"/>
      <c r="CJN171" s="200"/>
      <c r="CJO171" s="201"/>
      <c r="CJP171" s="201"/>
      <c r="CJQ171" s="200"/>
      <c r="CJR171" s="202"/>
      <c r="CJS171" s="203"/>
      <c r="CJT171" s="124"/>
      <c r="CJV171" s="126"/>
      <c r="CJW171" s="124"/>
      <c r="CJY171" s="111"/>
      <c r="CKA171" s="200"/>
      <c r="CKB171" s="201"/>
      <c r="CKC171" s="201"/>
      <c r="CKD171" s="200"/>
      <c r="CKE171" s="202"/>
      <c r="CKF171" s="203"/>
      <c r="CKG171" s="124"/>
      <c r="CKI171" s="126"/>
      <c r="CKJ171" s="124"/>
      <c r="CKL171" s="111"/>
      <c r="CKN171" s="200"/>
      <c r="CKO171" s="201"/>
      <c r="CKP171" s="201"/>
      <c r="CKQ171" s="200"/>
      <c r="CKR171" s="202"/>
      <c r="CKS171" s="203"/>
      <c r="CKT171" s="124"/>
      <c r="CKV171" s="126"/>
      <c r="CKW171" s="124"/>
      <c r="CKY171" s="111"/>
      <c r="CLA171" s="200"/>
      <c r="CLB171" s="201"/>
      <c r="CLC171" s="201"/>
      <c r="CLD171" s="200"/>
      <c r="CLE171" s="202"/>
      <c r="CLF171" s="203"/>
      <c r="CLG171" s="124"/>
      <c r="CLI171" s="126"/>
      <c r="CLJ171" s="124"/>
      <c r="CLL171" s="111"/>
      <c r="CLN171" s="200"/>
      <c r="CLO171" s="201"/>
      <c r="CLP171" s="201"/>
      <c r="CLQ171" s="200"/>
      <c r="CLR171" s="202"/>
      <c r="CLS171" s="203"/>
      <c r="CLT171" s="124"/>
      <c r="CLV171" s="126"/>
      <c r="CLW171" s="124"/>
      <c r="CLY171" s="111"/>
      <c r="CMA171" s="200"/>
      <c r="CMB171" s="201"/>
      <c r="CMC171" s="201"/>
      <c r="CMD171" s="200"/>
      <c r="CME171" s="202"/>
      <c r="CMF171" s="203"/>
      <c r="CMG171" s="124"/>
      <c r="CMI171" s="126"/>
      <c r="CMJ171" s="124"/>
      <c r="CML171" s="111"/>
      <c r="CMN171" s="200"/>
      <c r="CMO171" s="201"/>
      <c r="CMP171" s="201"/>
      <c r="CMQ171" s="200"/>
      <c r="CMR171" s="202"/>
      <c r="CMS171" s="203"/>
      <c r="CMT171" s="124"/>
      <c r="CMV171" s="126"/>
      <c r="CMW171" s="124"/>
      <c r="CMY171" s="111"/>
      <c r="CNA171" s="200"/>
      <c r="CNB171" s="201"/>
      <c r="CNC171" s="201"/>
      <c r="CND171" s="200"/>
      <c r="CNE171" s="202"/>
      <c r="CNF171" s="203"/>
      <c r="CNG171" s="124"/>
      <c r="CNI171" s="126"/>
      <c r="CNJ171" s="124"/>
      <c r="CNL171" s="111"/>
      <c r="CNN171" s="200"/>
      <c r="CNO171" s="201"/>
      <c r="CNP171" s="201"/>
      <c r="CNQ171" s="200"/>
      <c r="CNR171" s="202"/>
      <c r="CNS171" s="203"/>
      <c r="CNT171" s="124"/>
      <c r="CNV171" s="126"/>
      <c r="CNW171" s="124"/>
      <c r="CNY171" s="111"/>
      <c r="COA171" s="200"/>
      <c r="COB171" s="201"/>
      <c r="COC171" s="201"/>
      <c r="COD171" s="200"/>
      <c r="COE171" s="202"/>
      <c r="COF171" s="203"/>
      <c r="COG171" s="124"/>
      <c r="COI171" s="126"/>
      <c r="COJ171" s="124"/>
      <c r="COL171" s="111"/>
      <c r="CON171" s="200"/>
      <c r="COO171" s="201"/>
      <c r="COP171" s="201"/>
      <c r="COQ171" s="200"/>
      <c r="COR171" s="202"/>
      <c r="COS171" s="203"/>
      <c r="COT171" s="124"/>
      <c r="COV171" s="126"/>
      <c r="COW171" s="124"/>
      <c r="COY171" s="111"/>
      <c r="CPA171" s="200"/>
      <c r="CPB171" s="201"/>
      <c r="CPC171" s="201"/>
      <c r="CPD171" s="200"/>
      <c r="CPE171" s="202"/>
      <c r="CPF171" s="203"/>
      <c r="CPG171" s="124"/>
      <c r="CPI171" s="126"/>
      <c r="CPJ171" s="124"/>
      <c r="CPL171" s="111"/>
      <c r="CPN171" s="200"/>
      <c r="CPO171" s="201"/>
      <c r="CPP171" s="201"/>
      <c r="CPQ171" s="200"/>
      <c r="CPR171" s="202"/>
      <c r="CPS171" s="203"/>
      <c r="CPT171" s="124"/>
      <c r="CPV171" s="126"/>
      <c r="CPW171" s="124"/>
      <c r="CPY171" s="111"/>
      <c r="CQA171" s="200"/>
      <c r="CQB171" s="201"/>
      <c r="CQC171" s="201"/>
      <c r="CQD171" s="200"/>
      <c r="CQE171" s="202"/>
      <c r="CQF171" s="203"/>
      <c r="CQG171" s="124"/>
      <c r="CQI171" s="126"/>
      <c r="CQJ171" s="124"/>
      <c r="CQL171" s="111"/>
      <c r="CQN171" s="200"/>
      <c r="CQO171" s="201"/>
      <c r="CQP171" s="201"/>
      <c r="CQQ171" s="200"/>
      <c r="CQR171" s="202"/>
      <c r="CQS171" s="203"/>
      <c r="CQT171" s="124"/>
      <c r="CQV171" s="126"/>
      <c r="CQW171" s="124"/>
      <c r="CQY171" s="111"/>
      <c r="CRA171" s="200"/>
      <c r="CRB171" s="201"/>
      <c r="CRC171" s="201"/>
      <c r="CRD171" s="200"/>
      <c r="CRE171" s="202"/>
      <c r="CRF171" s="203"/>
      <c r="CRG171" s="124"/>
      <c r="CRI171" s="126"/>
      <c r="CRJ171" s="124"/>
      <c r="CRL171" s="111"/>
      <c r="CRN171" s="200"/>
      <c r="CRO171" s="201"/>
      <c r="CRP171" s="201"/>
      <c r="CRQ171" s="200"/>
      <c r="CRR171" s="202"/>
      <c r="CRS171" s="203"/>
      <c r="CRT171" s="124"/>
      <c r="CRV171" s="126"/>
      <c r="CRW171" s="124"/>
      <c r="CRY171" s="111"/>
      <c r="CSA171" s="200"/>
      <c r="CSB171" s="201"/>
      <c r="CSC171" s="201"/>
      <c r="CSD171" s="200"/>
      <c r="CSE171" s="202"/>
      <c r="CSF171" s="203"/>
      <c r="CSG171" s="124"/>
      <c r="CSI171" s="126"/>
      <c r="CSJ171" s="124"/>
      <c r="CSL171" s="111"/>
      <c r="CSN171" s="200"/>
      <c r="CSO171" s="201"/>
      <c r="CSP171" s="201"/>
      <c r="CSQ171" s="200"/>
      <c r="CSR171" s="202"/>
      <c r="CSS171" s="203"/>
      <c r="CST171" s="124"/>
      <c r="CSV171" s="126"/>
      <c r="CSW171" s="124"/>
      <c r="CSY171" s="111"/>
      <c r="CTA171" s="200"/>
      <c r="CTB171" s="201"/>
      <c r="CTC171" s="201"/>
      <c r="CTD171" s="200"/>
      <c r="CTE171" s="202"/>
      <c r="CTF171" s="203"/>
      <c r="CTG171" s="124"/>
      <c r="CTI171" s="126"/>
      <c r="CTJ171" s="124"/>
      <c r="CTL171" s="111"/>
      <c r="CTN171" s="200"/>
      <c r="CTO171" s="201"/>
      <c r="CTP171" s="201"/>
      <c r="CTQ171" s="200"/>
      <c r="CTR171" s="202"/>
      <c r="CTS171" s="203"/>
      <c r="CTT171" s="124"/>
      <c r="CTV171" s="126"/>
      <c r="CTW171" s="124"/>
      <c r="CTY171" s="111"/>
      <c r="CUA171" s="200"/>
      <c r="CUB171" s="201"/>
      <c r="CUC171" s="201"/>
      <c r="CUD171" s="200"/>
      <c r="CUE171" s="202"/>
      <c r="CUF171" s="203"/>
      <c r="CUG171" s="124"/>
      <c r="CUI171" s="126"/>
      <c r="CUJ171" s="124"/>
      <c r="CUL171" s="111"/>
      <c r="CUN171" s="200"/>
      <c r="CUO171" s="201"/>
      <c r="CUP171" s="201"/>
      <c r="CUQ171" s="200"/>
      <c r="CUR171" s="202"/>
      <c r="CUS171" s="203"/>
      <c r="CUT171" s="124"/>
      <c r="CUV171" s="126"/>
      <c r="CUW171" s="124"/>
      <c r="CUY171" s="111"/>
      <c r="CVA171" s="200"/>
      <c r="CVB171" s="201"/>
      <c r="CVC171" s="201"/>
      <c r="CVD171" s="200"/>
      <c r="CVE171" s="202"/>
      <c r="CVF171" s="203"/>
      <c r="CVG171" s="124"/>
      <c r="CVI171" s="126"/>
      <c r="CVJ171" s="124"/>
      <c r="CVL171" s="111"/>
      <c r="CVN171" s="200"/>
      <c r="CVO171" s="201"/>
      <c r="CVP171" s="201"/>
      <c r="CVQ171" s="200"/>
      <c r="CVR171" s="202"/>
      <c r="CVS171" s="203"/>
      <c r="CVT171" s="124"/>
      <c r="CVV171" s="126"/>
      <c r="CVW171" s="124"/>
      <c r="CVY171" s="111"/>
      <c r="CWA171" s="200"/>
      <c r="CWB171" s="201"/>
      <c r="CWC171" s="201"/>
      <c r="CWD171" s="200"/>
      <c r="CWE171" s="202"/>
      <c r="CWF171" s="203"/>
      <c r="CWG171" s="124"/>
      <c r="CWI171" s="126"/>
      <c r="CWJ171" s="124"/>
      <c r="CWL171" s="111"/>
      <c r="CWN171" s="200"/>
      <c r="CWO171" s="201"/>
      <c r="CWP171" s="201"/>
      <c r="CWQ171" s="200"/>
      <c r="CWR171" s="202"/>
      <c r="CWS171" s="203"/>
      <c r="CWT171" s="124"/>
      <c r="CWV171" s="126"/>
      <c r="CWW171" s="124"/>
      <c r="CWY171" s="111"/>
      <c r="CXA171" s="200"/>
      <c r="CXB171" s="201"/>
      <c r="CXC171" s="201"/>
      <c r="CXD171" s="200"/>
      <c r="CXE171" s="202"/>
      <c r="CXF171" s="203"/>
      <c r="CXG171" s="124"/>
      <c r="CXI171" s="126"/>
      <c r="CXJ171" s="124"/>
      <c r="CXL171" s="111"/>
      <c r="CXN171" s="200"/>
      <c r="CXO171" s="201"/>
      <c r="CXP171" s="201"/>
      <c r="CXQ171" s="200"/>
      <c r="CXR171" s="202"/>
      <c r="CXS171" s="203"/>
      <c r="CXT171" s="124"/>
      <c r="CXV171" s="126"/>
      <c r="CXW171" s="124"/>
      <c r="CXY171" s="111"/>
      <c r="CYA171" s="200"/>
      <c r="CYB171" s="201"/>
      <c r="CYC171" s="201"/>
      <c r="CYD171" s="200"/>
      <c r="CYE171" s="202"/>
      <c r="CYF171" s="203"/>
      <c r="CYG171" s="124"/>
      <c r="CYI171" s="126"/>
      <c r="CYJ171" s="124"/>
      <c r="CYL171" s="111"/>
      <c r="CYN171" s="200"/>
      <c r="CYO171" s="201"/>
      <c r="CYP171" s="201"/>
      <c r="CYQ171" s="200"/>
      <c r="CYR171" s="202"/>
      <c r="CYS171" s="203"/>
      <c r="CYT171" s="124"/>
      <c r="CYV171" s="126"/>
      <c r="CYW171" s="124"/>
      <c r="CYY171" s="111"/>
      <c r="CZA171" s="200"/>
      <c r="CZB171" s="201"/>
      <c r="CZC171" s="201"/>
      <c r="CZD171" s="200"/>
      <c r="CZE171" s="202"/>
      <c r="CZF171" s="203"/>
      <c r="CZG171" s="124"/>
      <c r="CZI171" s="126"/>
      <c r="CZJ171" s="124"/>
      <c r="CZL171" s="111"/>
      <c r="CZN171" s="200"/>
      <c r="CZO171" s="201"/>
      <c r="CZP171" s="201"/>
      <c r="CZQ171" s="200"/>
      <c r="CZR171" s="202"/>
      <c r="CZS171" s="203"/>
      <c r="CZT171" s="124"/>
      <c r="CZV171" s="126"/>
      <c r="CZW171" s="124"/>
      <c r="CZY171" s="111"/>
      <c r="DAA171" s="200"/>
      <c r="DAB171" s="201"/>
      <c r="DAC171" s="201"/>
      <c r="DAD171" s="200"/>
      <c r="DAE171" s="202"/>
      <c r="DAF171" s="203"/>
      <c r="DAG171" s="124"/>
      <c r="DAI171" s="126"/>
      <c r="DAJ171" s="124"/>
      <c r="DAL171" s="111"/>
      <c r="DAN171" s="200"/>
      <c r="DAO171" s="201"/>
      <c r="DAP171" s="201"/>
      <c r="DAQ171" s="200"/>
      <c r="DAR171" s="202"/>
      <c r="DAS171" s="203"/>
      <c r="DAT171" s="124"/>
      <c r="DAV171" s="126"/>
      <c r="DAW171" s="124"/>
      <c r="DAY171" s="111"/>
      <c r="DBA171" s="200"/>
      <c r="DBB171" s="201"/>
      <c r="DBC171" s="201"/>
      <c r="DBD171" s="200"/>
      <c r="DBE171" s="202"/>
      <c r="DBF171" s="203"/>
      <c r="DBG171" s="124"/>
      <c r="DBI171" s="126"/>
      <c r="DBJ171" s="124"/>
      <c r="DBL171" s="111"/>
      <c r="DBN171" s="200"/>
      <c r="DBO171" s="201"/>
      <c r="DBP171" s="201"/>
      <c r="DBQ171" s="200"/>
      <c r="DBR171" s="202"/>
      <c r="DBS171" s="203"/>
      <c r="DBT171" s="124"/>
      <c r="DBV171" s="126"/>
      <c r="DBW171" s="124"/>
      <c r="DBY171" s="111"/>
      <c r="DCA171" s="200"/>
      <c r="DCB171" s="201"/>
      <c r="DCC171" s="201"/>
      <c r="DCD171" s="200"/>
      <c r="DCE171" s="202"/>
      <c r="DCF171" s="203"/>
      <c r="DCG171" s="124"/>
      <c r="DCI171" s="126"/>
      <c r="DCJ171" s="124"/>
      <c r="DCL171" s="111"/>
      <c r="DCN171" s="200"/>
      <c r="DCO171" s="201"/>
      <c r="DCP171" s="201"/>
      <c r="DCQ171" s="200"/>
      <c r="DCR171" s="202"/>
      <c r="DCS171" s="203"/>
      <c r="DCT171" s="124"/>
      <c r="DCV171" s="126"/>
      <c r="DCW171" s="124"/>
      <c r="DCY171" s="111"/>
      <c r="DDA171" s="200"/>
      <c r="DDB171" s="201"/>
      <c r="DDC171" s="201"/>
      <c r="DDD171" s="200"/>
      <c r="DDE171" s="202"/>
      <c r="DDF171" s="203"/>
      <c r="DDG171" s="124"/>
      <c r="DDI171" s="126"/>
      <c r="DDJ171" s="124"/>
      <c r="DDL171" s="111"/>
      <c r="DDN171" s="200"/>
      <c r="DDO171" s="201"/>
      <c r="DDP171" s="201"/>
      <c r="DDQ171" s="200"/>
      <c r="DDR171" s="202"/>
      <c r="DDS171" s="203"/>
      <c r="DDT171" s="124"/>
      <c r="DDV171" s="126"/>
      <c r="DDW171" s="124"/>
      <c r="DDY171" s="111"/>
      <c r="DEA171" s="200"/>
      <c r="DEB171" s="201"/>
      <c r="DEC171" s="201"/>
      <c r="DED171" s="200"/>
      <c r="DEE171" s="202"/>
      <c r="DEF171" s="203"/>
      <c r="DEG171" s="124"/>
      <c r="DEI171" s="126"/>
      <c r="DEJ171" s="124"/>
      <c r="DEL171" s="111"/>
      <c r="DEN171" s="200"/>
      <c r="DEO171" s="201"/>
      <c r="DEP171" s="201"/>
      <c r="DEQ171" s="200"/>
      <c r="DER171" s="202"/>
      <c r="DES171" s="203"/>
      <c r="DET171" s="124"/>
      <c r="DEV171" s="126"/>
      <c r="DEW171" s="124"/>
      <c r="DEY171" s="111"/>
      <c r="DFA171" s="200"/>
      <c r="DFB171" s="201"/>
      <c r="DFC171" s="201"/>
      <c r="DFD171" s="200"/>
      <c r="DFE171" s="202"/>
      <c r="DFF171" s="203"/>
      <c r="DFG171" s="124"/>
      <c r="DFI171" s="126"/>
      <c r="DFJ171" s="124"/>
      <c r="DFL171" s="111"/>
      <c r="DFN171" s="200"/>
      <c r="DFO171" s="201"/>
      <c r="DFP171" s="201"/>
      <c r="DFQ171" s="200"/>
      <c r="DFR171" s="202"/>
      <c r="DFS171" s="203"/>
      <c r="DFT171" s="124"/>
      <c r="DFV171" s="126"/>
      <c r="DFW171" s="124"/>
      <c r="DFY171" s="111"/>
      <c r="DGA171" s="200"/>
      <c r="DGB171" s="201"/>
      <c r="DGC171" s="201"/>
      <c r="DGD171" s="200"/>
      <c r="DGE171" s="202"/>
      <c r="DGF171" s="203"/>
      <c r="DGG171" s="124"/>
      <c r="DGI171" s="126"/>
      <c r="DGJ171" s="124"/>
      <c r="DGL171" s="111"/>
      <c r="DGN171" s="200"/>
      <c r="DGO171" s="201"/>
      <c r="DGP171" s="201"/>
      <c r="DGQ171" s="200"/>
      <c r="DGR171" s="202"/>
      <c r="DGS171" s="203"/>
      <c r="DGT171" s="124"/>
      <c r="DGV171" s="126"/>
      <c r="DGW171" s="124"/>
      <c r="DGY171" s="111"/>
      <c r="DHA171" s="200"/>
      <c r="DHB171" s="201"/>
      <c r="DHC171" s="201"/>
      <c r="DHD171" s="200"/>
      <c r="DHE171" s="202"/>
      <c r="DHF171" s="203"/>
      <c r="DHG171" s="124"/>
      <c r="DHI171" s="126"/>
      <c r="DHJ171" s="124"/>
      <c r="DHL171" s="111"/>
      <c r="DHN171" s="200"/>
      <c r="DHO171" s="201"/>
      <c r="DHP171" s="201"/>
      <c r="DHQ171" s="200"/>
      <c r="DHR171" s="202"/>
      <c r="DHS171" s="203"/>
      <c r="DHT171" s="124"/>
      <c r="DHV171" s="126"/>
      <c r="DHW171" s="124"/>
      <c r="DHY171" s="111"/>
      <c r="DIA171" s="200"/>
      <c r="DIB171" s="201"/>
      <c r="DIC171" s="201"/>
      <c r="DID171" s="200"/>
      <c r="DIE171" s="202"/>
      <c r="DIF171" s="203"/>
      <c r="DIG171" s="124"/>
      <c r="DII171" s="126"/>
      <c r="DIJ171" s="124"/>
      <c r="DIL171" s="111"/>
      <c r="DIN171" s="200"/>
      <c r="DIO171" s="201"/>
      <c r="DIP171" s="201"/>
      <c r="DIQ171" s="200"/>
      <c r="DIR171" s="202"/>
      <c r="DIS171" s="203"/>
      <c r="DIT171" s="124"/>
      <c r="DIV171" s="126"/>
      <c r="DIW171" s="124"/>
      <c r="DIY171" s="111"/>
      <c r="DJA171" s="200"/>
      <c r="DJB171" s="201"/>
      <c r="DJC171" s="201"/>
      <c r="DJD171" s="200"/>
      <c r="DJE171" s="202"/>
      <c r="DJF171" s="203"/>
      <c r="DJG171" s="124"/>
      <c r="DJI171" s="126"/>
      <c r="DJJ171" s="124"/>
      <c r="DJL171" s="111"/>
      <c r="DJN171" s="200"/>
      <c r="DJO171" s="201"/>
      <c r="DJP171" s="201"/>
      <c r="DJQ171" s="200"/>
      <c r="DJR171" s="202"/>
      <c r="DJS171" s="203"/>
      <c r="DJT171" s="124"/>
      <c r="DJV171" s="126"/>
      <c r="DJW171" s="124"/>
      <c r="DJY171" s="111"/>
      <c r="DKA171" s="200"/>
      <c r="DKB171" s="201"/>
      <c r="DKC171" s="201"/>
      <c r="DKD171" s="200"/>
      <c r="DKE171" s="202"/>
      <c r="DKF171" s="203"/>
      <c r="DKG171" s="124"/>
      <c r="DKI171" s="126"/>
      <c r="DKJ171" s="124"/>
      <c r="DKL171" s="111"/>
      <c r="DKN171" s="200"/>
      <c r="DKO171" s="201"/>
      <c r="DKP171" s="201"/>
      <c r="DKQ171" s="200"/>
      <c r="DKR171" s="202"/>
      <c r="DKS171" s="203"/>
      <c r="DKT171" s="124"/>
      <c r="DKV171" s="126"/>
      <c r="DKW171" s="124"/>
      <c r="DKY171" s="111"/>
      <c r="DLA171" s="200"/>
      <c r="DLB171" s="201"/>
      <c r="DLC171" s="201"/>
      <c r="DLD171" s="200"/>
      <c r="DLE171" s="202"/>
      <c r="DLF171" s="203"/>
      <c r="DLG171" s="124"/>
      <c r="DLI171" s="126"/>
      <c r="DLJ171" s="124"/>
      <c r="DLL171" s="111"/>
      <c r="DLN171" s="200"/>
      <c r="DLO171" s="201"/>
      <c r="DLP171" s="201"/>
      <c r="DLQ171" s="200"/>
      <c r="DLR171" s="202"/>
      <c r="DLS171" s="203"/>
      <c r="DLT171" s="124"/>
      <c r="DLV171" s="126"/>
      <c r="DLW171" s="124"/>
      <c r="DLY171" s="111"/>
      <c r="DMA171" s="200"/>
      <c r="DMB171" s="201"/>
      <c r="DMC171" s="201"/>
      <c r="DMD171" s="200"/>
      <c r="DME171" s="202"/>
      <c r="DMF171" s="203"/>
      <c r="DMG171" s="124"/>
      <c r="DMI171" s="126"/>
      <c r="DMJ171" s="124"/>
      <c r="DML171" s="111"/>
      <c r="DMN171" s="200"/>
      <c r="DMO171" s="201"/>
      <c r="DMP171" s="201"/>
      <c r="DMQ171" s="200"/>
      <c r="DMR171" s="202"/>
      <c r="DMS171" s="203"/>
      <c r="DMT171" s="124"/>
      <c r="DMV171" s="126"/>
      <c r="DMW171" s="124"/>
      <c r="DMY171" s="111"/>
      <c r="DNA171" s="200"/>
      <c r="DNB171" s="201"/>
      <c r="DNC171" s="201"/>
      <c r="DND171" s="200"/>
      <c r="DNE171" s="202"/>
      <c r="DNF171" s="203"/>
      <c r="DNG171" s="124"/>
      <c r="DNI171" s="126"/>
      <c r="DNJ171" s="124"/>
      <c r="DNL171" s="111"/>
      <c r="DNN171" s="200"/>
      <c r="DNO171" s="201"/>
      <c r="DNP171" s="201"/>
      <c r="DNQ171" s="200"/>
      <c r="DNR171" s="202"/>
      <c r="DNS171" s="203"/>
      <c r="DNT171" s="124"/>
      <c r="DNV171" s="126"/>
      <c r="DNW171" s="124"/>
      <c r="DNY171" s="111"/>
      <c r="DOA171" s="200"/>
      <c r="DOB171" s="201"/>
      <c r="DOC171" s="201"/>
      <c r="DOD171" s="200"/>
      <c r="DOE171" s="202"/>
      <c r="DOF171" s="203"/>
      <c r="DOG171" s="124"/>
      <c r="DOI171" s="126"/>
      <c r="DOJ171" s="124"/>
      <c r="DOL171" s="111"/>
      <c r="DON171" s="200"/>
      <c r="DOO171" s="201"/>
      <c r="DOP171" s="201"/>
      <c r="DOQ171" s="200"/>
      <c r="DOR171" s="202"/>
      <c r="DOS171" s="203"/>
      <c r="DOT171" s="124"/>
      <c r="DOV171" s="126"/>
      <c r="DOW171" s="124"/>
      <c r="DOY171" s="111"/>
      <c r="DPA171" s="200"/>
      <c r="DPB171" s="201"/>
      <c r="DPC171" s="201"/>
      <c r="DPD171" s="200"/>
      <c r="DPE171" s="202"/>
      <c r="DPF171" s="203"/>
      <c r="DPG171" s="124"/>
      <c r="DPI171" s="126"/>
      <c r="DPJ171" s="124"/>
      <c r="DPL171" s="111"/>
      <c r="DPN171" s="200"/>
      <c r="DPO171" s="201"/>
      <c r="DPP171" s="201"/>
      <c r="DPQ171" s="200"/>
      <c r="DPR171" s="202"/>
      <c r="DPS171" s="203"/>
      <c r="DPT171" s="124"/>
      <c r="DPV171" s="126"/>
      <c r="DPW171" s="124"/>
      <c r="DPY171" s="111"/>
      <c r="DQA171" s="200"/>
      <c r="DQB171" s="201"/>
      <c r="DQC171" s="201"/>
      <c r="DQD171" s="200"/>
      <c r="DQE171" s="202"/>
      <c r="DQF171" s="203"/>
      <c r="DQG171" s="124"/>
      <c r="DQI171" s="126"/>
      <c r="DQJ171" s="124"/>
      <c r="DQL171" s="111"/>
      <c r="DQN171" s="200"/>
      <c r="DQO171" s="201"/>
      <c r="DQP171" s="201"/>
      <c r="DQQ171" s="200"/>
      <c r="DQR171" s="202"/>
      <c r="DQS171" s="203"/>
      <c r="DQT171" s="124"/>
      <c r="DQV171" s="126"/>
      <c r="DQW171" s="124"/>
      <c r="DQY171" s="111"/>
      <c r="DRA171" s="200"/>
      <c r="DRB171" s="201"/>
      <c r="DRC171" s="201"/>
      <c r="DRD171" s="200"/>
      <c r="DRE171" s="202"/>
      <c r="DRF171" s="203"/>
      <c r="DRG171" s="124"/>
      <c r="DRI171" s="126"/>
      <c r="DRJ171" s="124"/>
      <c r="DRL171" s="111"/>
      <c r="DRN171" s="200"/>
      <c r="DRO171" s="201"/>
      <c r="DRP171" s="201"/>
      <c r="DRQ171" s="200"/>
      <c r="DRR171" s="202"/>
      <c r="DRS171" s="203"/>
      <c r="DRT171" s="124"/>
      <c r="DRV171" s="126"/>
      <c r="DRW171" s="124"/>
      <c r="DRY171" s="111"/>
      <c r="DSA171" s="200"/>
      <c r="DSB171" s="201"/>
      <c r="DSC171" s="201"/>
      <c r="DSD171" s="200"/>
      <c r="DSE171" s="202"/>
      <c r="DSF171" s="203"/>
      <c r="DSG171" s="124"/>
      <c r="DSI171" s="126"/>
      <c r="DSJ171" s="124"/>
      <c r="DSL171" s="111"/>
      <c r="DSN171" s="200"/>
      <c r="DSO171" s="201"/>
      <c r="DSP171" s="201"/>
      <c r="DSQ171" s="200"/>
      <c r="DSR171" s="202"/>
      <c r="DSS171" s="203"/>
      <c r="DST171" s="124"/>
      <c r="DSV171" s="126"/>
      <c r="DSW171" s="124"/>
      <c r="DSY171" s="111"/>
      <c r="DTA171" s="200"/>
      <c r="DTB171" s="201"/>
      <c r="DTC171" s="201"/>
      <c r="DTD171" s="200"/>
      <c r="DTE171" s="202"/>
      <c r="DTF171" s="203"/>
      <c r="DTG171" s="124"/>
      <c r="DTI171" s="126"/>
      <c r="DTJ171" s="124"/>
      <c r="DTL171" s="111"/>
      <c r="DTN171" s="200"/>
      <c r="DTO171" s="201"/>
      <c r="DTP171" s="201"/>
      <c r="DTQ171" s="200"/>
      <c r="DTR171" s="202"/>
      <c r="DTS171" s="203"/>
      <c r="DTT171" s="124"/>
      <c r="DTV171" s="126"/>
      <c r="DTW171" s="124"/>
      <c r="DTY171" s="111"/>
      <c r="DUA171" s="200"/>
      <c r="DUB171" s="201"/>
      <c r="DUC171" s="201"/>
      <c r="DUD171" s="200"/>
      <c r="DUE171" s="202"/>
      <c r="DUF171" s="203"/>
      <c r="DUG171" s="124"/>
      <c r="DUI171" s="126"/>
      <c r="DUJ171" s="124"/>
      <c r="DUL171" s="111"/>
      <c r="DUN171" s="200"/>
      <c r="DUO171" s="201"/>
      <c r="DUP171" s="201"/>
      <c r="DUQ171" s="200"/>
      <c r="DUR171" s="202"/>
      <c r="DUS171" s="203"/>
      <c r="DUT171" s="124"/>
      <c r="DUV171" s="126"/>
      <c r="DUW171" s="124"/>
      <c r="DUY171" s="111"/>
      <c r="DVA171" s="200"/>
      <c r="DVB171" s="201"/>
      <c r="DVC171" s="201"/>
      <c r="DVD171" s="200"/>
      <c r="DVE171" s="202"/>
      <c r="DVF171" s="203"/>
      <c r="DVG171" s="124"/>
      <c r="DVI171" s="126"/>
      <c r="DVJ171" s="124"/>
      <c r="DVL171" s="111"/>
      <c r="DVN171" s="200"/>
      <c r="DVO171" s="201"/>
      <c r="DVP171" s="201"/>
      <c r="DVQ171" s="200"/>
      <c r="DVR171" s="202"/>
      <c r="DVS171" s="203"/>
      <c r="DVT171" s="124"/>
      <c r="DVV171" s="126"/>
      <c r="DVW171" s="124"/>
      <c r="DVY171" s="111"/>
      <c r="DWA171" s="200"/>
      <c r="DWB171" s="201"/>
      <c r="DWC171" s="201"/>
      <c r="DWD171" s="200"/>
      <c r="DWE171" s="202"/>
      <c r="DWF171" s="203"/>
      <c r="DWG171" s="124"/>
      <c r="DWI171" s="126"/>
      <c r="DWJ171" s="124"/>
      <c r="DWL171" s="111"/>
      <c r="DWN171" s="200"/>
      <c r="DWO171" s="201"/>
      <c r="DWP171" s="201"/>
      <c r="DWQ171" s="200"/>
      <c r="DWR171" s="202"/>
      <c r="DWS171" s="203"/>
      <c r="DWT171" s="124"/>
      <c r="DWV171" s="126"/>
      <c r="DWW171" s="124"/>
      <c r="DWY171" s="111"/>
      <c r="DXA171" s="200"/>
      <c r="DXB171" s="201"/>
      <c r="DXC171" s="201"/>
      <c r="DXD171" s="200"/>
      <c r="DXE171" s="202"/>
      <c r="DXF171" s="203"/>
      <c r="DXG171" s="124"/>
      <c r="DXI171" s="126"/>
      <c r="DXJ171" s="124"/>
      <c r="DXL171" s="111"/>
      <c r="DXN171" s="200"/>
      <c r="DXO171" s="201"/>
      <c r="DXP171" s="201"/>
      <c r="DXQ171" s="200"/>
      <c r="DXR171" s="202"/>
      <c r="DXS171" s="203"/>
      <c r="DXT171" s="124"/>
      <c r="DXV171" s="126"/>
      <c r="DXW171" s="124"/>
      <c r="DXY171" s="111"/>
      <c r="DYA171" s="200"/>
      <c r="DYB171" s="201"/>
      <c r="DYC171" s="201"/>
      <c r="DYD171" s="200"/>
      <c r="DYE171" s="202"/>
      <c r="DYF171" s="203"/>
      <c r="DYG171" s="124"/>
      <c r="DYI171" s="126"/>
      <c r="DYJ171" s="124"/>
      <c r="DYL171" s="111"/>
      <c r="DYN171" s="200"/>
      <c r="DYO171" s="201"/>
      <c r="DYP171" s="201"/>
      <c r="DYQ171" s="200"/>
      <c r="DYR171" s="202"/>
      <c r="DYS171" s="203"/>
      <c r="DYT171" s="124"/>
      <c r="DYV171" s="126"/>
      <c r="DYW171" s="124"/>
      <c r="DYY171" s="111"/>
      <c r="DZA171" s="200"/>
      <c r="DZB171" s="201"/>
      <c r="DZC171" s="201"/>
      <c r="DZD171" s="200"/>
      <c r="DZE171" s="202"/>
      <c r="DZF171" s="203"/>
      <c r="DZG171" s="124"/>
      <c r="DZI171" s="126"/>
      <c r="DZJ171" s="124"/>
      <c r="DZL171" s="111"/>
      <c r="DZN171" s="200"/>
      <c r="DZO171" s="201"/>
      <c r="DZP171" s="201"/>
      <c r="DZQ171" s="200"/>
      <c r="DZR171" s="202"/>
      <c r="DZS171" s="203"/>
      <c r="DZT171" s="124"/>
      <c r="DZV171" s="126"/>
      <c r="DZW171" s="124"/>
      <c r="DZY171" s="111"/>
      <c r="EAA171" s="200"/>
      <c r="EAB171" s="201"/>
      <c r="EAC171" s="201"/>
      <c r="EAD171" s="200"/>
      <c r="EAE171" s="202"/>
      <c r="EAF171" s="203"/>
      <c r="EAG171" s="124"/>
      <c r="EAI171" s="126"/>
      <c r="EAJ171" s="124"/>
      <c r="EAL171" s="111"/>
      <c r="EAN171" s="200"/>
      <c r="EAO171" s="201"/>
      <c r="EAP171" s="201"/>
      <c r="EAQ171" s="200"/>
      <c r="EAR171" s="202"/>
      <c r="EAS171" s="203"/>
      <c r="EAT171" s="124"/>
      <c r="EAV171" s="126"/>
      <c r="EAW171" s="124"/>
      <c r="EAY171" s="111"/>
      <c r="EBA171" s="200"/>
      <c r="EBB171" s="201"/>
      <c r="EBC171" s="201"/>
      <c r="EBD171" s="200"/>
      <c r="EBE171" s="202"/>
      <c r="EBF171" s="203"/>
      <c r="EBG171" s="124"/>
      <c r="EBI171" s="126"/>
      <c r="EBJ171" s="124"/>
      <c r="EBL171" s="111"/>
      <c r="EBN171" s="200"/>
      <c r="EBO171" s="201"/>
      <c r="EBP171" s="201"/>
      <c r="EBQ171" s="200"/>
      <c r="EBR171" s="202"/>
      <c r="EBS171" s="203"/>
      <c r="EBT171" s="124"/>
      <c r="EBV171" s="126"/>
      <c r="EBW171" s="124"/>
      <c r="EBY171" s="111"/>
      <c r="ECA171" s="200"/>
      <c r="ECB171" s="201"/>
      <c r="ECC171" s="201"/>
      <c r="ECD171" s="200"/>
      <c r="ECE171" s="202"/>
      <c r="ECF171" s="203"/>
      <c r="ECG171" s="124"/>
      <c r="ECI171" s="126"/>
      <c r="ECJ171" s="124"/>
      <c r="ECL171" s="111"/>
      <c r="ECN171" s="200"/>
      <c r="ECO171" s="201"/>
      <c r="ECP171" s="201"/>
      <c r="ECQ171" s="200"/>
      <c r="ECR171" s="202"/>
      <c r="ECS171" s="203"/>
      <c r="ECT171" s="124"/>
      <c r="ECV171" s="126"/>
      <c r="ECW171" s="124"/>
      <c r="ECY171" s="111"/>
      <c r="EDA171" s="200"/>
      <c r="EDB171" s="201"/>
      <c r="EDC171" s="201"/>
      <c r="EDD171" s="200"/>
      <c r="EDE171" s="202"/>
      <c r="EDF171" s="203"/>
      <c r="EDG171" s="124"/>
      <c r="EDI171" s="126"/>
      <c r="EDJ171" s="124"/>
      <c r="EDL171" s="111"/>
      <c r="EDN171" s="200"/>
      <c r="EDO171" s="201"/>
      <c r="EDP171" s="201"/>
      <c r="EDQ171" s="200"/>
      <c r="EDR171" s="202"/>
      <c r="EDS171" s="203"/>
      <c r="EDT171" s="124"/>
      <c r="EDV171" s="126"/>
      <c r="EDW171" s="124"/>
      <c r="EDY171" s="111"/>
      <c r="EEA171" s="200"/>
      <c r="EEB171" s="201"/>
      <c r="EEC171" s="201"/>
      <c r="EED171" s="200"/>
      <c r="EEE171" s="202"/>
      <c r="EEF171" s="203"/>
      <c r="EEG171" s="124"/>
      <c r="EEI171" s="126"/>
      <c r="EEJ171" s="124"/>
      <c r="EEL171" s="111"/>
      <c r="EEN171" s="200"/>
      <c r="EEO171" s="201"/>
      <c r="EEP171" s="201"/>
      <c r="EEQ171" s="200"/>
      <c r="EER171" s="202"/>
      <c r="EES171" s="203"/>
      <c r="EET171" s="124"/>
      <c r="EEV171" s="126"/>
      <c r="EEW171" s="124"/>
      <c r="EEY171" s="111"/>
      <c r="EFA171" s="200"/>
      <c r="EFB171" s="201"/>
      <c r="EFC171" s="201"/>
      <c r="EFD171" s="200"/>
      <c r="EFE171" s="202"/>
      <c r="EFF171" s="203"/>
      <c r="EFG171" s="124"/>
      <c r="EFI171" s="126"/>
      <c r="EFJ171" s="124"/>
      <c r="EFL171" s="111"/>
      <c r="EFN171" s="200"/>
      <c r="EFO171" s="201"/>
      <c r="EFP171" s="201"/>
      <c r="EFQ171" s="200"/>
      <c r="EFR171" s="202"/>
      <c r="EFS171" s="203"/>
      <c r="EFT171" s="124"/>
      <c r="EFV171" s="126"/>
      <c r="EFW171" s="124"/>
      <c r="EFY171" s="111"/>
      <c r="EGA171" s="200"/>
      <c r="EGB171" s="201"/>
      <c r="EGC171" s="201"/>
      <c r="EGD171" s="200"/>
      <c r="EGE171" s="202"/>
      <c r="EGF171" s="203"/>
      <c r="EGG171" s="124"/>
      <c r="EGI171" s="126"/>
      <c r="EGJ171" s="124"/>
      <c r="EGL171" s="111"/>
      <c r="EGN171" s="200"/>
      <c r="EGO171" s="201"/>
      <c r="EGP171" s="201"/>
      <c r="EGQ171" s="200"/>
      <c r="EGR171" s="202"/>
      <c r="EGS171" s="203"/>
      <c r="EGT171" s="124"/>
      <c r="EGV171" s="126"/>
      <c r="EGW171" s="124"/>
      <c r="EGY171" s="111"/>
      <c r="EHA171" s="200"/>
      <c r="EHB171" s="201"/>
      <c r="EHC171" s="201"/>
      <c r="EHD171" s="200"/>
      <c r="EHE171" s="202"/>
      <c r="EHF171" s="203"/>
      <c r="EHG171" s="124"/>
      <c r="EHI171" s="126"/>
      <c r="EHJ171" s="124"/>
      <c r="EHL171" s="111"/>
      <c r="EHN171" s="200"/>
      <c r="EHO171" s="201"/>
      <c r="EHP171" s="201"/>
      <c r="EHQ171" s="200"/>
      <c r="EHR171" s="202"/>
      <c r="EHS171" s="203"/>
      <c r="EHT171" s="124"/>
      <c r="EHV171" s="126"/>
      <c r="EHW171" s="124"/>
      <c r="EHY171" s="111"/>
      <c r="EIA171" s="200"/>
      <c r="EIB171" s="201"/>
      <c r="EIC171" s="201"/>
      <c r="EID171" s="200"/>
      <c r="EIE171" s="202"/>
      <c r="EIF171" s="203"/>
      <c r="EIG171" s="124"/>
      <c r="EII171" s="126"/>
      <c r="EIJ171" s="124"/>
      <c r="EIL171" s="111"/>
      <c r="EIN171" s="200"/>
      <c r="EIO171" s="201"/>
      <c r="EIP171" s="201"/>
      <c r="EIQ171" s="200"/>
      <c r="EIR171" s="202"/>
      <c r="EIS171" s="203"/>
      <c r="EIT171" s="124"/>
      <c r="EIV171" s="126"/>
      <c r="EIW171" s="124"/>
      <c r="EIY171" s="111"/>
      <c r="EJA171" s="200"/>
      <c r="EJB171" s="201"/>
      <c r="EJC171" s="201"/>
      <c r="EJD171" s="200"/>
      <c r="EJE171" s="202"/>
      <c r="EJF171" s="203"/>
      <c r="EJG171" s="124"/>
      <c r="EJI171" s="126"/>
      <c r="EJJ171" s="124"/>
      <c r="EJL171" s="111"/>
      <c r="EJN171" s="200"/>
      <c r="EJO171" s="201"/>
      <c r="EJP171" s="201"/>
      <c r="EJQ171" s="200"/>
      <c r="EJR171" s="202"/>
      <c r="EJS171" s="203"/>
      <c r="EJT171" s="124"/>
      <c r="EJV171" s="126"/>
      <c r="EJW171" s="124"/>
      <c r="EJY171" s="111"/>
      <c r="EKA171" s="200"/>
      <c r="EKB171" s="201"/>
      <c r="EKC171" s="201"/>
      <c r="EKD171" s="200"/>
      <c r="EKE171" s="202"/>
      <c r="EKF171" s="203"/>
      <c r="EKG171" s="124"/>
      <c r="EKI171" s="126"/>
      <c r="EKJ171" s="124"/>
      <c r="EKL171" s="111"/>
      <c r="EKN171" s="200"/>
      <c r="EKO171" s="201"/>
      <c r="EKP171" s="201"/>
      <c r="EKQ171" s="200"/>
      <c r="EKR171" s="202"/>
      <c r="EKS171" s="203"/>
      <c r="EKT171" s="124"/>
      <c r="EKV171" s="126"/>
      <c r="EKW171" s="124"/>
      <c r="EKY171" s="111"/>
      <c r="ELA171" s="200"/>
      <c r="ELB171" s="201"/>
      <c r="ELC171" s="201"/>
      <c r="ELD171" s="200"/>
      <c r="ELE171" s="202"/>
      <c r="ELF171" s="203"/>
      <c r="ELG171" s="124"/>
      <c r="ELI171" s="126"/>
      <c r="ELJ171" s="124"/>
      <c r="ELL171" s="111"/>
      <c r="ELN171" s="200"/>
      <c r="ELO171" s="201"/>
      <c r="ELP171" s="201"/>
      <c r="ELQ171" s="200"/>
      <c r="ELR171" s="202"/>
      <c r="ELS171" s="203"/>
      <c r="ELT171" s="124"/>
      <c r="ELV171" s="126"/>
      <c r="ELW171" s="124"/>
      <c r="ELY171" s="111"/>
      <c r="EMA171" s="200"/>
      <c r="EMB171" s="201"/>
      <c r="EMC171" s="201"/>
      <c r="EMD171" s="200"/>
      <c r="EME171" s="202"/>
      <c r="EMF171" s="203"/>
      <c r="EMG171" s="124"/>
      <c r="EMI171" s="126"/>
      <c r="EMJ171" s="124"/>
      <c r="EML171" s="111"/>
      <c r="EMN171" s="200"/>
      <c r="EMO171" s="201"/>
      <c r="EMP171" s="201"/>
      <c r="EMQ171" s="200"/>
      <c r="EMR171" s="202"/>
      <c r="EMS171" s="203"/>
      <c r="EMT171" s="124"/>
      <c r="EMV171" s="126"/>
      <c r="EMW171" s="124"/>
      <c r="EMY171" s="111"/>
      <c r="ENA171" s="200"/>
      <c r="ENB171" s="201"/>
      <c r="ENC171" s="201"/>
      <c r="END171" s="200"/>
      <c r="ENE171" s="202"/>
      <c r="ENF171" s="203"/>
      <c r="ENG171" s="124"/>
      <c r="ENI171" s="126"/>
      <c r="ENJ171" s="124"/>
      <c r="ENL171" s="111"/>
      <c r="ENN171" s="200"/>
      <c r="ENO171" s="201"/>
      <c r="ENP171" s="201"/>
      <c r="ENQ171" s="200"/>
      <c r="ENR171" s="202"/>
      <c r="ENS171" s="203"/>
      <c r="ENT171" s="124"/>
      <c r="ENV171" s="126"/>
      <c r="ENW171" s="124"/>
      <c r="ENY171" s="111"/>
      <c r="EOA171" s="200"/>
      <c r="EOB171" s="201"/>
      <c r="EOC171" s="201"/>
      <c r="EOD171" s="200"/>
      <c r="EOE171" s="202"/>
      <c r="EOF171" s="203"/>
      <c r="EOG171" s="124"/>
      <c r="EOI171" s="126"/>
      <c r="EOJ171" s="124"/>
      <c r="EOL171" s="111"/>
      <c r="EON171" s="200"/>
      <c r="EOO171" s="201"/>
      <c r="EOP171" s="201"/>
      <c r="EOQ171" s="200"/>
      <c r="EOR171" s="202"/>
      <c r="EOS171" s="203"/>
      <c r="EOT171" s="124"/>
      <c r="EOV171" s="126"/>
      <c r="EOW171" s="124"/>
      <c r="EOY171" s="111"/>
      <c r="EPA171" s="200"/>
      <c r="EPB171" s="201"/>
      <c r="EPC171" s="201"/>
      <c r="EPD171" s="200"/>
      <c r="EPE171" s="202"/>
      <c r="EPF171" s="203"/>
      <c r="EPG171" s="124"/>
      <c r="EPI171" s="126"/>
      <c r="EPJ171" s="124"/>
      <c r="EPL171" s="111"/>
      <c r="EPN171" s="200"/>
      <c r="EPO171" s="201"/>
      <c r="EPP171" s="201"/>
      <c r="EPQ171" s="200"/>
      <c r="EPR171" s="202"/>
      <c r="EPS171" s="203"/>
      <c r="EPT171" s="124"/>
      <c r="EPV171" s="126"/>
      <c r="EPW171" s="124"/>
      <c r="EPY171" s="111"/>
      <c r="EQA171" s="200"/>
      <c r="EQB171" s="201"/>
      <c r="EQC171" s="201"/>
      <c r="EQD171" s="200"/>
      <c r="EQE171" s="202"/>
      <c r="EQF171" s="203"/>
      <c r="EQG171" s="124"/>
      <c r="EQI171" s="126"/>
      <c r="EQJ171" s="124"/>
      <c r="EQL171" s="111"/>
      <c r="EQN171" s="200"/>
      <c r="EQO171" s="201"/>
      <c r="EQP171" s="201"/>
      <c r="EQQ171" s="200"/>
      <c r="EQR171" s="202"/>
      <c r="EQS171" s="203"/>
      <c r="EQT171" s="124"/>
      <c r="EQV171" s="126"/>
      <c r="EQW171" s="124"/>
      <c r="EQY171" s="111"/>
      <c r="ERA171" s="200"/>
      <c r="ERB171" s="201"/>
      <c r="ERC171" s="201"/>
      <c r="ERD171" s="200"/>
      <c r="ERE171" s="202"/>
      <c r="ERF171" s="203"/>
      <c r="ERG171" s="124"/>
      <c r="ERI171" s="126"/>
      <c r="ERJ171" s="124"/>
      <c r="ERL171" s="111"/>
      <c r="ERN171" s="200"/>
      <c r="ERO171" s="201"/>
      <c r="ERP171" s="201"/>
      <c r="ERQ171" s="200"/>
      <c r="ERR171" s="202"/>
      <c r="ERS171" s="203"/>
      <c r="ERT171" s="124"/>
      <c r="ERV171" s="126"/>
      <c r="ERW171" s="124"/>
      <c r="ERY171" s="111"/>
      <c r="ESA171" s="200"/>
      <c r="ESB171" s="201"/>
      <c r="ESC171" s="201"/>
      <c r="ESD171" s="200"/>
      <c r="ESE171" s="202"/>
      <c r="ESF171" s="203"/>
      <c r="ESG171" s="124"/>
      <c r="ESI171" s="126"/>
      <c r="ESJ171" s="124"/>
      <c r="ESL171" s="111"/>
      <c r="ESN171" s="200"/>
      <c r="ESO171" s="201"/>
      <c r="ESP171" s="201"/>
      <c r="ESQ171" s="200"/>
      <c r="ESR171" s="202"/>
      <c r="ESS171" s="203"/>
      <c r="EST171" s="124"/>
      <c r="ESV171" s="126"/>
      <c r="ESW171" s="124"/>
      <c r="ESY171" s="111"/>
      <c r="ETA171" s="200"/>
      <c r="ETB171" s="201"/>
      <c r="ETC171" s="201"/>
      <c r="ETD171" s="200"/>
      <c r="ETE171" s="202"/>
      <c r="ETF171" s="203"/>
      <c r="ETG171" s="124"/>
      <c r="ETI171" s="126"/>
      <c r="ETJ171" s="124"/>
      <c r="ETL171" s="111"/>
      <c r="ETN171" s="200"/>
      <c r="ETO171" s="201"/>
      <c r="ETP171" s="201"/>
      <c r="ETQ171" s="200"/>
      <c r="ETR171" s="202"/>
      <c r="ETS171" s="203"/>
      <c r="ETT171" s="124"/>
      <c r="ETV171" s="126"/>
      <c r="ETW171" s="124"/>
      <c r="ETY171" s="111"/>
      <c r="EUA171" s="200"/>
      <c r="EUB171" s="201"/>
      <c r="EUC171" s="201"/>
      <c r="EUD171" s="200"/>
      <c r="EUE171" s="202"/>
      <c r="EUF171" s="203"/>
      <c r="EUG171" s="124"/>
      <c r="EUI171" s="126"/>
      <c r="EUJ171" s="124"/>
      <c r="EUL171" s="111"/>
      <c r="EUN171" s="200"/>
      <c r="EUO171" s="201"/>
      <c r="EUP171" s="201"/>
      <c r="EUQ171" s="200"/>
      <c r="EUR171" s="202"/>
      <c r="EUS171" s="203"/>
      <c r="EUT171" s="124"/>
      <c r="EUV171" s="126"/>
      <c r="EUW171" s="124"/>
      <c r="EUY171" s="111"/>
      <c r="EVA171" s="200"/>
      <c r="EVB171" s="201"/>
      <c r="EVC171" s="201"/>
      <c r="EVD171" s="200"/>
      <c r="EVE171" s="202"/>
      <c r="EVF171" s="203"/>
      <c r="EVG171" s="124"/>
      <c r="EVI171" s="126"/>
      <c r="EVJ171" s="124"/>
      <c r="EVL171" s="111"/>
      <c r="EVN171" s="200"/>
      <c r="EVO171" s="201"/>
      <c r="EVP171" s="201"/>
      <c r="EVQ171" s="200"/>
      <c r="EVR171" s="202"/>
      <c r="EVS171" s="203"/>
      <c r="EVT171" s="124"/>
      <c r="EVV171" s="126"/>
      <c r="EVW171" s="124"/>
      <c r="EVY171" s="111"/>
      <c r="EWA171" s="200"/>
      <c r="EWB171" s="201"/>
      <c r="EWC171" s="201"/>
      <c r="EWD171" s="200"/>
      <c r="EWE171" s="202"/>
      <c r="EWF171" s="203"/>
      <c r="EWG171" s="124"/>
      <c r="EWI171" s="126"/>
      <c r="EWJ171" s="124"/>
      <c r="EWL171" s="111"/>
      <c r="EWN171" s="200"/>
      <c r="EWO171" s="201"/>
      <c r="EWP171" s="201"/>
      <c r="EWQ171" s="200"/>
      <c r="EWR171" s="202"/>
      <c r="EWS171" s="203"/>
      <c r="EWT171" s="124"/>
      <c r="EWV171" s="126"/>
      <c r="EWW171" s="124"/>
      <c r="EWY171" s="111"/>
      <c r="EXA171" s="200"/>
      <c r="EXB171" s="201"/>
      <c r="EXC171" s="201"/>
      <c r="EXD171" s="200"/>
      <c r="EXE171" s="202"/>
      <c r="EXF171" s="203"/>
      <c r="EXG171" s="124"/>
      <c r="EXI171" s="126"/>
      <c r="EXJ171" s="124"/>
      <c r="EXL171" s="111"/>
      <c r="EXN171" s="200"/>
      <c r="EXO171" s="201"/>
      <c r="EXP171" s="201"/>
      <c r="EXQ171" s="200"/>
      <c r="EXR171" s="202"/>
      <c r="EXS171" s="203"/>
      <c r="EXT171" s="124"/>
      <c r="EXV171" s="126"/>
      <c r="EXW171" s="124"/>
      <c r="EXY171" s="111"/>
      <c r="EYA171" s="200"/>
      <c r="EYB171" s="201"/>
      <c r="EYC171" s="201"/>
      <c r="EYD171" s="200"/>
      <c r="EYE171" s="202"/>
      <c r="EYF171" s="203"/>
      <c r="EYG171" s="124"/>
      <c r="EYI171" s="126"/>
      <c r="EYJ171" s="124"/>
      <c r="EYL171" s="111"/>
      <c r="EYN171" s="200"/>
      <c r="EYO171" s="201"/>
      <c r="EYP171" s="201"/>
      <c r="EYQ171" s="200"/>
      <c r="EYR171" s="202"/>
      <c r="EYS171" s="203"/>
      <c r="EYT171" s="124"/>
      <c r="EYV171" s="126"/>
      <c r="EYW171" s="124"/>
      <c r="EYY171" s="111"/>
      <c r="EZA171" s="200"/>
      <c r="EZB171" s="201"/>
      <c r="EZC171" s="201"/>
      <c r="EZD171" s="200"/>
      <c r="EZE171" s="202"/>
      <c r="EZF171" s="203"/>
      <c r="EZG171" s="124"/>
      <c r="EZI171" s="126"/>
      <c r="EZJ171" s="124"/>
      <c r="EZL171" s="111"/>
      <c r="EZN171" s="200"/>
      <c r="EZO171" s="201"/>
      <c r="EZP171" s="201"/>
      <c r="EZQ171" s="200"/>
      <c r="EZR171" s="202"/>
      <c r="EZS171" s="203"/>
      <c r="EZT171" s="124"/>
      <c r="EZV171" s="126"/>
      <c r="EZW171" s="124"/>
      <c r="EZY171" s="111"/>
      <c r="FAA171" s="200"/>
      <c r="FAB171" s="201"/>
      <c r="FAC171" s="201"/>
      <c r="FAD171" s="200"/>
      <c r="FAE171" s="202"/>
      <c r="FAF171" s="203"/>
      <c r="FAG171" s="124"/>
      <c r="FAI171" s="126"/>
      <c r="FAJ171" s="124"/>
      <c r="FAL171" s="111"/>
      <c r="FAN171" s="200"/>
      <c r="FAO171" s="201"/>
      <c r="FAP171" s="201"/>
      <c r="FAQ171" s="200"/>
      <c r="FAR171" s="202"/>
      <c r="FAS171" s="203"/>
      <c r="FAT171" s="124"/>
      <c r="FAV171" s="126"/>
      <c r="FAW171" s="124"/>
      <c r="FAY171" s="111"/>
      <c r="FBA171" s="200"/>
      <c r="FBB171" s="201"/>
      <c r="FBC171" s="201"/>
      <c r="FBD171" s="200"/>
      <c r="FBE171" s="202"/>
      <c r="FBF171" s="203"/>
      <c r="FBG171" s="124"/>
      <c r="FBI171" s="126"/>
      <c r="FBJ171" s="124"/>
      <c r="FBL171" s="111"/>
      <c r="FBN171" s="200"/>
      <c r="FBO171" s="201"/>
      <c r="FBP171" s="201"/>
      <c r="FBQ171" s="200"/>
      <c r="FBR171" s="202"/>
      <c r="FBS171" s="203"/>
      <c r="FBT171" s="124"/>
      <c r="FBV171" s="126"/>
      <c r="FBW171" s="124"/>
      <c r="FBY171" s="111"/>
      <c r="FCA171" s="200"/>
      <c r="FCB171" s="201"/>
      <c r="FCC171" s="201"/>
      <c r="FCD171" s="200"/>
      <c r="FCE171" s="202"/>
      <c r="FCF171" s="203"/>
      <c r="FCG171" s="124"/>
      <c r="FCI171" s="126"/>
      <c r="FCJ171" s="124"/>
      <c r="FCL171" s="111"/>
      <c r="FCN171" s="200"/>
      <c r="FCO171" s="201"/>
      <c r="FCP171" s="201"/>
      <c r="FCQ171" s="200"/>
      <c r="FCR171" s="202"/>
      <c r="FCS171" s="203"/>
      <c r="FCT171" s="124"/>
      <c r="FCV171" s="126"/>
      <c r="FCW171" s="124"/>
      <c r="FCY171" s="111"/>
      <c r="FDA171" s="200"/>
      <c r="FDB171" s="201"/>
      <c r="FDC171" s="201"/>
      <c r="FDD171" s="200"/>
      <c r="FDE171" s="202"/>
      <c r="FDF171" s="203"/>
      <c r="FDG171" s="124"/>
      <c r="FDI171" s="126"/>
      <c r="FDJ171" s="124"/>
      <c r="FDL171" s="111"/>
      <c r="FDN171" s="200"/>
      <c r="FDO171" s="201"/>
      <c r="FDP171" s="201"/>
      <c r="FDQ171" s="200"/>
      <c r="FDR171" s="202"/>
      <c r="FDS171" s="203"/>
      <c r="FDT171" s="124"/>
      <c r="FDV171" s="126"/>
      <c r="FDW171" s="124"/>
      <c r="FDY171" s="111"/>
      <c r="FEA171" s="200"/>
      <c r="FEB171" s="201"/>
      <c r="FEC171" s="201"/>
      <c r="FED171" s="200"/>
      <c r="FEE171" s="202"/>
      <c r="FEF171" s="203"/>
      <c r="FEG171" s="124"/>
      <c r="FEI171" s="126"/>
      <c r="FEJ171" s="124"/>
      <c r="FEL171" s="111"/>
      <c r="FEN171" s="200"/>
      <c r="FEO171" s="201"/>
      <c r="FEP171" s="201"/>
      <c r="FEQ171" s="200"/>
      <c r="FER171" s="202"/>
      <c r="FES171" s="203"/>
      <c r="FET171" s="124"/>
      <c r="FEV171" s="126"/>
      <c r="FEW171" s="124"/>
      <c r="FEY171" s="111"/>
      <c r="FFA171" s="200"/>
      <c r="FFB171" s="201"/>
      <c r="FFC171" s="201"/>
      <c r="FFD171" s="200"/>
      <c r="FFE171" s="202"/>
      <c r="FFF171" s="203"/>
      <c r="FFG171" s="124"/>
      <c r="FFI171" s="126"/>
      <c r="FFJ171" s="124"/>
      <c r="FFL171" s="111"/>
      <c r="FFN171" s="200"/>
      <c r="FFO171" s="201"/>
      <c r="FFP171" s="201"/>
      <c r="FFQ171" s="200"/>
      <c r="FFR171" s="202"/>
      <c r="FFS171" s="203"/>
      <c r="FFT171" s="124"/>
      <c r="FFV171" s="126"/>
      <c r="FFW171" s="124"/>
      <c r="FFY171" s="111"/>
      <c r="FGA171" s="200"/>
      <c r="FGB171" s="201"/>
      <c r="FGC171" s="201"/>
      <c r="FGD171" s="200"/>
      <c r="FGE171" s="202"/>
      <c r="FGF171" s="203"/>
      <c r="FGG171" s="124"/>
      <c r="FGI171" s="126"/>
      <c r="FGJ171" s="124"/>
      <c r="FGL171" s="111"/>
      <c r="FGN171" s="200"/>
      <c r="FGO171" s="201"/>
      <c r="FGP171" s="201"/>
      <c r="FGQ171" s="200"/>
      <c r="FGR171" s="202"/>
      <c r="FGS171" s="203"/>
      <c r="FGT171" s="124"/>
      <c r="FGV171" s="126"/>
      <c r="FGW171" s="124"/>
      <c r="FGY171" s="111"/>
      <c r="FHA171" s="200"/>
      <c r="FHB171" s="201"/>
      <c r="FHC171" s="201"/>
      <c r="FHD171" s="200"/>
      <c r="FHE171" s="202"/>
      <c r="FHF171" s="203"/>
      <c r="FHG171" s="124"/>
      <c r="FHI171" s="126"/>
      <c r="FHJ171" s="124"/>
      <c r="FHL171" s="111"/>
      <c r="FHN171" s="200"/>
      <c r="FHO171" s="201"/>
      <c r="FHP171" s="201"/>
      <c r="FHQ171" s="200"/>
      <c r="FHR171" s="202"/>
      <c r="FHS171" s="203"/>
      <c r="FHT171" s="124"/>
      <c r="FHV171" s="126"/>
      <c r="FHW171" s="124"/>
      <c r="FHY171" s="111"/>
      <c r="FIA171" s="200"/>
      <c r="FIB171" s="201"/>
      <c r="FIC171" s="201"/>
      <c r="FID171" s="200"/>
      <c r="FIE171" s="202"/>
      <c r="FIF171" s="203"/>
      <c r="FIG171" s="124"/>
      <c r="FII171" s="126"/>
      <c r="FIJ171" s="124"/>
      <c r="FIL171" s="111"/>
      <c r="FIN171" s="200"/>
      <c r="FIO171" s="201"/>
      <c r="FIP171" s="201"/>
      <c r="FIQ171" s="200"/>
      <c r="FIR171" s="202"/>
      <c r="FIS171" s="203"/>
      <c r="FIT171" s="124"/>
      <c r="FIV171" s="126"/>
      <c r="FIW171" s="124"/>
      <c r="FIY171" s="111"/>
      <c r="FJA171" s="200"/>
      <c r="FJB171" s="201"/>
      <c r="FJC171" s="201"/>
      <c r="FJD171" s="200"/>
      <c r="FJE171" s="202"/>
      <c r="FJF171" s="203"/>
      <c r="FJG171" s="124"/>
      <c r="FJI171" s="126"/>
      <c r="FJJ171" s="124"/>
      <c r="FJL171" s="111"/>
      <c r="FJN171" s="200"/>
      <c r="FJO171" s="201"/>
      <c r="FJP171" s="201"/>
      <c r="FJQ171" s="200"/>
      <c r="FJR171" s="202"/>
      <c r="FJS171" s="203"/>
      <c r="FJT171" s="124"/>
      <c r="FJV171" s="126"/>
      <c r="FJW171" s="124"/>
      <c r="FJY171" s="111"/>
      <c r="FKA171" s="200"/>
      <c r="FKB171" s="201"/>
      <c r="FKC171" s="201"/>
      <c r="FKD171" s="200"/>
      <c r="FKE171" s="202"/>
      <c r="FKF171" s="203"/>
      <c r="FKG171" s="124"/>
      <c r="FKI171" s="126"/>
      <c r="FKJ171" s="124"/>
      <c r="FKL171" s="111"/>
      <c r="FKN171" s="200"/>
      <c r="FKO171" s="201"/>
      <c r="FKP171" s="201"/>
      <c r="FKQ171" s="200"/>
      <c r="FKR171" s="202"/>
      <c r="FKS171" s="203"/>
      <c r="FKT171" s="124"/>
      <c r="FKV171" s="126"/>
      <c r="FKW171" s="124"/>
      <c r="FKY171" s="111"/>
      <c r="FLA171" s="200"/>
      <c r="FLB171" s="201"/>
      <c r="FLC171" s="201"/>
      <c r="FLD171" s="200"/>
      <c r="FLE171" s="202"/>
      <c r="FLF171" s="203"/>
      <c r="FLG171" s="124"/>
      <c r="FLI171" s="126"/>
      <c r="FLJ171" s="124"/>
      <c r="FLL171" s="111"/>
      <c r="FLN171" s="200"/>
      <c r="FLO171" s="201"/>
      <c r="FLP171" s="201"/>
      <c r="FLQ171" s="200"/>
      <c r="FLR171" s="202"/>
      <c r="FLS171" s="203"/>
      <c r="FLT171" s="124"/>
      <c r="FLV171" s="126"/>
      <c r="FLW171" s="124"/>
      <c r="FLY171" s="111"/>
      <c r="FMA171" s="200"/>
      <c r="FMB171" s="201"/>
      <c r="FMC171" s="201"/>
      <c r="FMD171" s="200"/>
      <c r="FME171" s="202"/>
      <c r="FMF171" s="203"/>
      <c r="FMG171" s="124"/>
      <c r="FMI171" s="126"/>
      <c r="FMJ171" s="124"/>
      <c r="FML171" s="111"/>
      <c r="FMN171" s="200"/>
      <c r="FMO171" s="201"/>
      <c r="FMP171" s="201"/>
      <c r="FMQ171" s="200"/>
      <c r="FMR171" s="202"/>
      <c r="FMS171" s="203"/>
      <c r="FMT171" s="124"/>
      <c r="FMV171" s="126"/>
      <c r="FMW171" s="124"/>
      <c r="FMY171" s="111"/>
      <c r="FNA171" s="200"/>
      <c r="FNB171" s="201"/>
      <c r="FNC171" s="201"/>
      <c r="FND171" s="200"/>
      <c r="FNE171" s="202"/>
      <c r="FNF171" s="203"/>
      <c r="FNG171" s="124"/>
      <c r="FNI171" s="126"/>
      <c r="FNJ171" s="124"/>
      <c r="FNL171" s="111"/>
      <c r="FNN171" s="200"/>
      <c r="FNO171" s="201"/>
      <c r="FNP171" s="201"/>
      <c r="FNQ171" s="200"/>
      <c r="FNR171" s="202"/>
      <c r="FNS171" s="203"/>
      <c r="FNT171" s="124"/>
      <c r="FNV171" s="126"/>
      <c r="FNW171" s="124"/>
      <c r="FNY171" s="111"/>
      <c r="FOA171" s="200"/>
      <c r="FOB171" s="201"/>
      <c r="FOC171" s="201"/>
      <c r="FOD171" s="200"/>
      <c r="FOE171" s="202"/>
      <c r="FOF171" s="203"/>
      <c r="FOG171" s="124"/>
      <c r="FOI171" s="126"/>
      <c r="FOJ171" s="124"/>
      <c r="FOL171" s="111"/>
      <c r="FON171" s="200"/>
      <c r="FOO171" s="201"/>
      <c r="FOP171" s="201"/>
      <c r="FOQ171" s="200"/>
      <c r="FOR171" s="202"/>
      <c r="FOS171" s="203"/>
      <c r="FOT171" s="124"/>
      <c r="FOV171" s="126"/>
      <c r="FOW171" s="124"/>
      <c r="FOY171" s="111"/>
      <c r="FPA171" s="200"/>
      <c r="FPB171" s="201"/>
      <c r="FPC171" s="201"/>
      <c r="FPD171" s="200"/>
      <c r="FPE171" s="202"/>
      <c r="FPF171" s="203"/>
      <c r="FPG171" s="124"/>
      <c r="FPI171" s="126"/>
      <c r="FPJ171" s="124"/>
      <c r="FPL171" s="111"/>
      <c r="FPN171" s="200"/>
      <c r="FPO171" s="201"/>
      <c r="FPP171" s="201"/>
      <c r="FPQ171" s="200"/>
      <c r="FPR171" s="202"/>
      <c r="FPS171" s="203"/>
      <c r="FPT171" s="124"/>
      <c r="FPV171" s="126"/>
      <c r="FPW171" s="124"/>
      <c r="FPY171" s="111"/>
      <c r="FQA171" s="200"/>
      <c r="FQB171" s="201"/>
      <c r="FQC171" s="201"/>
      <c r="FQD171" s="200"/>
      <c r="FQE171" s="202"/>
      <c r="FQF171" s="203"/>
      <c r="FQG171" s="124"/>
      <c r="FQI171" s="126"/>
      <c r="FQJ171" s="124"/>
      <c r="FQL171" s="111"/>
      <c r="FQN171" s="200"/>
      <c r="FQO171" s="201"/>
      <c r="FQP171" s="201"/>
      <c r="FQQ171" s="200"/>
      <c r="FQR171" s="202"/>
      <c r="FQS171" s="203"/>
      <c r="FQT171" s="124"/>
      <c r="FQV171" s="126"/>
      <c r="FQW171" s="124"/>
      <c r="FQY171" s="111"/>
      <c r="FRA171" s="200"/>
      <c r="FRB171" s="201"/>
      <c r="FRC171" s="201"/>
      <c r="FRD171" s="200"/>
      <c r="FRE171" s="202"/>
      <c r="FRF171" s="203"/>
      <c r="FRG171" s="124"/>
      <c r="FRI171" s="126"/>
      <c r="FRJ171" s="124"/>
      <c r="FRL171" s="111"/>
      <c r="FRN171" s="200"/>
      <c r="FRO171" s="201"/>
      <c r="FRP171" s="201"/>
      <c r="FRQ171" s="200"/>
      <c r="FRR171" s="202"/>
      <c r="FRS171" s="203"/>
      <c r="FRT171" s="124"/>
      <c r="FRV171" s="126"/>
      <c r="FRW171" s="124"/>
      <c r="FRY171" s="111"/>
      <c r="FSA171" s="200"/>
      <c r="FSB171" s="201"/>
      <c r="FSC171" s="201"/>
      <c r="FSD171" s="200"/>
      <c r="FSE171" s="202"/>
      <c r="FSF171" s="203"/>
      <c r="FSG171" s="124"/>
      <c r="FSI171" s="126"/>
      <c r="FSJ171" s="124"/>
      <c r="FSL171" s="111"/>
      <c r="FSN171" s="200"/>
      <c r="FSO171" s="201"/>
      <c r="FSP171" s="201"/>
      <c r="FSQ171" s="200"/>
      <c r="FSR171" s="202"/>
      <c r="FSS171" s="203"/>
      <c r="FST171" s="124"/>
      <c r="FSV171" s="126"/>
      <c r="FSW171" s="124"/>
      <c r="FSY171" s="111"/>
      <c r="FTA171" s="200"/>
      <c r="FTB171" s="201"/>
      <c r="FTC171" s="201"/>
      <c r="FTD171" s="200"/>
      <c r="FTE171" s="202"/>
      <c r="FTF171" s="203"/>
      <c r="FTG171" s="124"/>
      <c r="FTI171" s="126"/>
      <c r="FTJ171" s="124"/>
      <c r="FTL171" s="111"/>
      <c r="FTN171" s="200"/>
      <c r="FTO171" s="201"/>
      <c r="FTP171" s="201"/>
      <c r="FTQ171" s="200"/>
      <c r="FTR171" s="202"/>
      <c r="FTS171" s="203"/>
      <c r="FTT171" s="124"/>
      <c r="FTV171" s="126"/>
      <c r="FTW171" s="124"/>
      <c r="FTY171" s="111"/>
      <c r="FUA171" s="200"/>
      <c r="FUB171" s="201"/>
      <c r="FUC171" s="201"/>
      <c r="FUD171" s="200"/>
      <c r="FUE171" s="202"/>
      <c r="FUF171" s="203"/>
      <c r="FUG171" s="124"/>
      <c r="FUI171" s="126"/>
      <c r="FUJ171" s="124"/>
      <c r="FUL171" s="111"/>
      <c r="FUN171" s="200"/>
      <c r="FUO171" s="201"/>
      <c r="FUP171" s="201"/>
      <c r="FUQ171" s="200"/>
      <c r="FUR171" s="202"/>
      <c r="FUS171" s="203"/>
      <c r="FUT171" s="124"/>
      <c r="FUV171" s="126"/>
      <c r="FUW171" s="124"/>
      <c r="FUY171" s="111"/>
      <c r="FVA171" s="200"/>
      <c r="FVB171" s="201"/>
      <c r="FVC171" s="201"/>
      <c r="FVD171" s="200"/>
      <c r="FVE171" s="202"/>
      <c r="FVF171" s="203"/>
      <c r="FVG171" s="124"/>
      <c r="FVI171" s="126"/>
      <c r="FVJ171" s="124"/>
      <c r="FVL171" s="111"/>
      <c r="FVN171" s="200"/>
      <c r="FVO171" s="201"/>
      <c r="FVP171" s="201"/>
      <c r="FVQ171" s="200"/>
      <c r="FVR171" s="202"/>
      <c r="FVS171" s="203"/>
      <c r="FVT171" s="124"/>
      <c r="FVV171" s="126"/>
      <c r="FVW171" s="124"/>
      <c r="FVY171" s="111"/>
      <c r="FWA171" s="200"/>
      <c r="FWB171" s="201"/>
      <c r="FWC171" s="201"/>
      <c r="FWD171" s="200"/>
      <c r="FWE171" s="202"/>
      <c r="FWF171" s="203"/>
      <c r="FWG171" s="124"/>
      <c r="FWI171" s="126"/>
      <c r="FWJ171" s="124"/>
      <c r="FWL171" s="111"/>
      <c r="FWN171" s="200"/>
      <c r="FWO171" s="201"/>
      <c r="FWP171" s="201"/>
      <c r="FWQ171" s="200"/>
      <c r="FWR171" s="202"/>
      <c r="FWS171" s="203"/>
      <c r="FWT171" s="124"/>
      <c r="FWV171" s="126"/>
      <c r="FWW171" s="124"/>
      <c r="FWY171" s="111"/>
      <c r="FXA171" s="200"/>
      <c r="FXB171" s="201"/>
      <c r="FXC171" s="201"/>
      <c r="FXD171" s="200"/>
      <c r="FXE171" s="202"/>
      <c r="FXF171" s="203"/>
      <c r="FXG171" s="124"/>
      <c r="FXI171" s="126"/>
      <c r="FXJ171" s="124"/>
      <c r="FXL171" s="111"/>
      <c r="FXN171" s="200"/>
      <c r="FXO171" s="201"/>
      <c r="FXP171" s="201"/>
      <c r="FXQ171" s="200"/>
      <c r="FXR171" s="202"/>
      <c r="FXS171" s="203"/>
      <c r="FXT171" s="124"/>
      <c r="FXV171" s="126"/>
      <c r="FXW171" s="124"/>
      <c r="FXY171" s="111"/>
      <c r="FYA171" s="200"/>
      <c r="FYB171" s="201"/>
      <c r="FYC171" s="201"/>
      <c r="FYD171" s="200"/>
      <c r="FYE171" s="202"/>
      <c r="FYF171" s="203"/>
      <c r="FYG171" s="124"/>
      <c r="FYI171" s="126"/>
      <c r="FYJ171" s="124"/>
      <c r="FYL171" s="111"/>
      <c r="FYN171" s="200"/>
      <c r="FYO171" s="201"/>
      <c r="FYP171" s="201"/>
      <c r="FYQ171" s="200"/>
      <c r="FYR171" s="202"/>
      <c r="FYS171" s="203"/>
      <c r="FYT171" s="124"/>
      <c r="FYV171" s="126"/>
      <c r="FYW171" s="124"/>
      <c r="FYY171" s="111"/>
      <c r="FZA171" s="200"/>
      <c r="FZB171" s="201"/>
      <c r="FZC171" s="201"/>
      <c r="FZD171" s="200"/>
      <c r="FZE171" s="202"/>
      <c r="FZF171" s="203"/>
      <c r="FZG171" s="124"/>
      <c r="FZI171" s="126"/>
      <c r="FZJ171" s="124"/>
      <c r="FZL171" s="111"/>
      <c r="FZN171" s="200"/>
      <c r="FZO171" s="201"/>
      <c r="FZP171" s="201"/>
      <c r="FZQ171" s="200"/>
      <c r="FZR171" s="202"/>
      <c r="FZS171" s="203"/>
      <c r="FZT171" s="124"/>
      <c r="FZV171" s="126"/>
      <c r="FZW171" s="124"/>
      <c r="FZY171" s="111"/>
      <c r="GAA171" s="200"/>
      <c r="GAB171" s="201"/>
      <c r="GAC171" s="201"/>
      <c r="GAD171" s="200"/>
      <c r="GAE171" s="202"/>
      <c r="GAF171" s="203"/>
      <c r="GAG171" s="124"/>
      <c r="GAI171" s="126"/>
      <c r="GAJ171" s="124"/>
      <c r="GAL171" s="111"/>
      <c r="GAN171" s="200"/>
      <c r="GAO171" s="201"/>
      <c r="GAP171" s="201"/>
      <c r="GAQ171" s="200"/>
      <c r="GAR171" s="202"/>
      <c r="GAS171" s="203"/>
      <c r="GAT171" s="124"/>
      <c r="GAV171" s="126"/>
      <c r="GAW171" s="124"/>
      <c r="GAY171" s="111"/>
      <c r="GBA171" s="200"/>
      <c r="GBB171" s="201"/>
      <c r="GBC171" s="201"/>
      <c r="GBD171" s="200"/>
      <c r="GBE171" s="202"/>
      <c r="GBF171" s="203"/>
      <c r="GBG171" s="124"/>
      <c r="GBI171" s="126"/>
      <c r="GBJ171" s="124"/>
      <c r="GBL171" s="111"/>
      <c r="GBN171" s="200"/>
      <c r="GBO171" s="201"/>
      <c r="GBP171" s="201"/>
      <c r="GBQ171" s="200"/>
      <c r="GBR171" s="202"/>
      <c r="GBS171" s="203"/>
      <c r="GBT171" s="124"/>
      <c r="GBV171" s="126"/>
      <c r="GBW171" s="124"/>
      <c r="GBY171" s="111"/>
      <c r="GCA171" s="200"/>
      <c r="GCB171" s="201"/>
      <c r="GCC171" s="201"/>
      <c r="GCD171" s="200"/>
      <c r="GCE171" s="202"/>
      <c r="GCF171" s="203"/>
      <c r="GCG171" s="124"/>
      <c r="GCI171" s="126"/>
      <c r="GCJ171" s="124"/>
      <c r="GCL171" s="111"/>
      <c r="GCN171" s="200"/>
      <c r="GCO171" s="201"/>
      <c r="GCP171" s="201"/>
      <c r="GCQ171" s="200"/>
      <c r="GCR171" s="202"/>
      <c r="GCS171" s="203"/>
      <c r="GCT171" s="124"/>
      <c r="GCV171" s="126"/>
      <c r="GCW171" s="124"/>
      <c r="GCY171" s="111"/>
      <c r="GDA171" s="200"/>
      <c r="GDB171" s="201"/>
      <c r="GDC171" s="201"/>
      <c r="GDD171" s="200"/>
      <c r="GDE171" s="202"/>
      <c r="GDF171" s="203"/>
      <c r="GDG171" s="124"/>
      <c r="GDI171" s="126"/>
      <c r="GDJ171" s="124"/>
      <c r="GDL171" s="111"/>
      <c r="GDN171" s="200"/>
      <c r="GDO171" s="201"/>
      <c r="GDP171" s="201"/>
      <c r="GDQ171" s="200"/>
      <c r="GDR171" s="202"/>
      <c r="GDS171" s="203"/>
      <c r="GDT171" s="124"/>
      <c r="GDV171" s="126"/>
      <c r="GDW171" s="124"/>
      <c r="GDY171" s="111"/>
      <c r="GEA171" s="200"/>
      <c r="GEB171" s="201"/>
      <c r="GEC171" s="201"/>
      <c r="GED171" s="200"/>
      <c r="GEE171" s="202"/>
      <c r="GEF171" s="203"/>
      <c r="GEG171" s="124"/>
      <c r="GEI171" s="126"/>
      <c r="GEJ171" s="124"/>
      <c r="GEL171" s="111"/>
      <c r="GEN171" s="200"/>
      <c r="GEO171" s="201"/>
      <c r="GEP171" s="201"/>
      <c r="GEQ171" s="200"/>
      <c r="GER171" s="202"/>
      <c r="GES171" s="203"/>
      <c r="GET171" s="124"/>
      <c r="GEV171" s="126"/>
      <c r="GEW171" s="124"/>
      <c r="GEY171" s="111"/>
      <c r="GFA171" s="200"/>
      <c r="GFB171" s="201"/>
      <c r="GFC171" s="201"/>
      <c r="GFD171" s="200"/>
      <c r="GFE171" s="202"/>
      <c r="GFF171" s="203"/>
      <c r="GFG171" s="124"/>
      <c r="GFI171" s="126"/>
      <c r="GFJ171" s="124"/>
      <c r="GFL171" s="111"/>
      <c r="GFN171" s="200"/>
      <c r="GFO171" s="201"/>
      <c r="GFP171" s="201"/>
      <c r="GFQ171" s="200"/>
      <c r="GFR171" s="202"/>
      <c r="GFS171" s="203"/>
      <c r="GFT171" s="124"/>
      <c r="GFV171" s="126"/>
      <c r="GFW171" s="124"/>
      <c r="GFY171" s="111"/>
      <c r="GGA171" s="200"/>
      <c r="GGB171" s="201"/>
      <c r="GGC171" s="201"/>
      <c r="GGD171" s="200"/>
      <c r="GGE171" s="202"/>
      <c r="GGF171" s="203"/>
      <c r="GGG171" s="124"/>
      <c r="GGI171" s="126"/>
      <c r="GGJ171" s="124"/>
      <c r="GGL171" s="111"/>
      <c r="GGN171" s="200"/>
      <c r="GGO171" s="201"/>
      <c r="GGP171" s="201"/>
      <c r="GGQ171" s="200"/>
      <c r="GGR171" s="202"/>
      <c r="GGS171" s="203"/>
      <c r="GGT171" s="124"/>
      <c r="GGV171" s="126"/>
      <c r="GGW171" s="124"/>
      <c r="GGY171" s="111"/>
      <c r="GHA171" s="200"/>
      <c r="GHB171" s="201"/>
      <c r="GHC171" s="201"/>
      <c r="GHD171" s="200"/>
      <c r="GHE171" s="202"/>
      <c r="GHF171" s="203"/>
      <c r="GHG171" s="124"/>
      <c r="GHI171" s="126"/>
      <c r="GHJ171" s="124"/>
      <c r="GHL171" s="111"/>
      <c r="GHN171" s="200"/>
      <c r="GHO171" s="201"/>
      <c r="GHP171" s="201"/>
      <c r="GHQ171" s="200"/>
      <c r="GHR171" s="202"/>
      <c r="GHS171" s="203"/>
      <c r="GHT171" s="124"/>
      <c r="GHV171" s="126"/>
      <c r="GHW171" s="124"/>
      <c r="GHY171" s="111"/>
      <c r="GIA171" s="200"/>
      <c r="GIB171" s="201"/>
      <c r="GIC171" s="201"/>
      <c r="GID171" s="200"/>
      <c r="GIE171" s="202"/>
      <c r="GIF171" s="203"/>
      <c r="GIG171" s="124"/>
      <c r="GII171" s="126"/>
      <c r="GIJ171" s="124"/>
      <c r="GIL171" s="111"/>
      <c r="GIN171" s="200"/>
      <c r="GIO171" s="201"/>
      <c r="GIP171" s="201"/>
      <c r="GIQ171" s="200"/>
      <c r="GIR171" s="202"/>
      <c r="GIS171" s="203"/>
      <c r="GIT171" s="124"/>
      <c r="GIV171" s="126"/>
      <c r="GIW171" s="124"/>
      <c r="GIY171" s="111"/>
      <c r="GJA171" s="200"/>
      <c r="GJB171" s="201"/>
      <c r="GJC171" s="201"/>
      <c r="GJD171" s="200"/>
      <c r="GJE171" s="202"/>
      <c r="GJF171" s="203"/>
      <c r="GJG171" s="124"/>
      <c r="GJI171" s="126"/>
      <c r="GJJ171" s="124"/>
      <c r="GJL171" s="111"/>
      <c r="GJN171" s="200"/>
      <c r="GJO171" s="201"/>
      <c r="GJP171" s="201"/>
      <c r="GJQ171" s="200"/>
      <c r="GJR171" s="202"/>
      <c r="GJS171" s="203"/>
      <c r="GJT171" s="124"/>
      <c r="GJV171" s="126"/>
      <c r="GJW171" s="124"/>
      <c r="GJY171" s="111"/>
      <c r="GKA171" s="200"/>
      <c r="GKB171" s="201"/>
      <c r="GKC171" s="201"/>
      <c r="GKD171" s="200"/>
      <c r="GKE171" s="202"/>
      <c r="GKF171" s="203"/>
      <c r="GKG171" s="124"/>
      <c r="GKI171" s="126"/>
      <c r="GKJ171" s="124"/>
      <c r="GKL171" s="111"/>
      <c r="GKN171" s="200"/>
      <c r="GKO171" s="201"/>
      <c r="GKP171" s="201"/>
      <c r="GKQ171" s="200"/>
      <c r="GKR171" s="202"/>
      <c r="GKS171" s="203"/>
      <c r="GKT171" s="124"/>
      <c r="GKV171" s="126"/>
      <c r="GKW171" s="124"/>
      <c r="GKY171" s="111"/>
      <c r="GLA171" s="200"/>
      <c r="GLB171" s="201"/>
      <c r="GLC171" s="201"/>
      <c r="GLD171" s="200"/>
      <c r="GLE171" s="202"/>
      <c r="GLF171" s="203"/>
      <c r="GLG171" s="124"/>
      <c r="GLI171" s="126"/>
      <c r="GLJ171" s="124"/>
      <c r="GLL171" s="111"/>
      <c r="GLN171" s="200"/>
      <c r="GLO171" s="201"/>
      <c r="GLP171" s="201"/>
      <c r="GLQ171" s="200"/>
      <c r="GLR171" s="202"/>
      <c r="GLS171" s="203"/>
      <c r="GLT171" s="124"/>
      <c r="GLV171" s="126"/>
      <c r="GLW171" s="124"/>
      <c r="GLY171" s="111"/>
      <c r="GMA171" s="200"/>
      <c r="GMB171" s="201"/>
      <c r="GMC171" s="201"/>
      <c r="GMD171" s="200"/>
      <c r="GME171" s="202"/>
      <c r="GMF171" s="203"/>
      <c r="GMG171" s="124"/>
      <c r="GMI171" s="126"/>
      <c r="GMJ171" s="124"/>
      <c r="GML171" s="111"/>
      <c r="GMN171" s="200"/>
      <c r="GMO171" s="201"/>
      <c r="GMP171" s="201"/>
      <c r="GMQ171" s="200"/>
      <c r="GMR171" s="202"/>
      <c r="GMS171" s="203"/>
      <c r="GMT171" s="124"/>
      <c r="GMV171" s="126"/>
      <c r="GMW171" s="124"/>
      <c r="GMY171" s="111"/>
      <c r="GNA171" s="200"/>
      <c r="GNB171" s="201"/>
      <c r="GNC171" s="201"/>
      <c r="GND171" s="200"/>
      <c r="GNE171" s="202"/>
      <c r="GNF171" s="203"/>
      <c r="GNG171" s="124"/>
      <c r="GNI171" s="126"/>
      <c r="GNJ171" s="124"/>
      <c r="GNL171" s="111"/>
      <c r="GNN171" s="200"/>
      <c r="GNO171" s="201"/>
      <c r="GNP171" s="201"/>
      <c r="GNQ171" s="200"/>
      <c r="GNR171" s="202"/>
      <c r="GNS171" s="203"/>
      <c r="GNT171" s="124"/>
      <c r="GNV171" s="126"/>
      <c r="GNW171" s="124"/>
      <c r="GNY171" s="111"/>
      <c r="GOA171" s="200"/>
      <c r="GOB171" s="201"/>
      <c r="GOC171" s="201"/>
      <c r="GOD171" s="200"/>
      <c r="GOE171" s="202"/>
      <c r="GOF171" s="203"/>
      <c r="GOG171" s="124"/>
      <c r="GOI171" s="126"/>
      <c r="GOJ171" s="124"/>
      <c r="GOL171" s="111"/>
      <c r="GON171" s="200"/>
      <c r="GOO171" s="201"/>
      <c r="GOP171" s="201"/>
      <c r="GOQ171" s="200"/>
      <c r="GOR171" s="202"/>
      <c r="GOS171" s="203"/>
      <c r="GOT171" s="124"/>
      <c r="GOV171" s="126"/>
      <c r="GOW171" s="124"/>
      <c r="GOY171" s="111"/>
      <c r="GPA171" s="200"/>
      <c r="GPB171" s="201"/>
      <c r="GPC171" s="201"/>
      <c r="GPD171" s="200"/>
      <c r="GPE171" s="202"/>
      <c r="GPF171" s="203"/>
      <c r="GPG171" s="124"/>
      <c r="GPI171" s="126"/>
      <c r="GPJ171" s="124"/>
      <c r="GPL171" s="111"/>
      <c r="GPN171" s="200"/>
      <c r="GPO171" s="201"/>
      <c r="GPP171" s="201"/>
      <c r="GPQ171" s="200"/>
      <c r="GPR171" s="202"/>
      <c r="GPS171" s="203"/>
      <c r="GPT171" s="124"/>
      <c r="GPV171" s="126"/>
      <c r="GPW171" s="124"/>
      <c r="GPY171" s="111"/>
      <c r="GQA171" s="200"/>
      <c r="GQB171" s="201"/>
      <c r="GQC171" s="201"/>
      <c r="GQD171" s="200"/>
      <c r="GQE171" s="202"/>
      <c r="GQF171" s="203"/>
      <c r="GQG171" s="124"/>
      <c r="GQI171" s="126"/>
      <c r="GQJ171" s="124"/>
      <c r="GQL171" s="111"/>
      <c r="GQN171" s="200"/>
      <c r="GQO171" s="201"/>
      <c r="GQP171" s="201"/>
      <c r="GQQ171" s="200"/>
      <c r="GQR171" s="202"/>
      <c r="GQS171" s="203"/>
      <c r="GQT171" s="124"/>
      <c r="GQV171" s="126"/>
      <c r="GQW171" s="124"/>
      <c r="GQY171" s="111"/>
      <c r="GRA171" s="200"/>
      <c r="GRB171" s="201"/>
      <c r="GRC171" s="201"/>
      <c r="GRD171" s="200"/>
      <c r="GRE171" s="202"/>
      <c r="GRF171" s="203"/>
      <c r="GRG171" s="124"/>
      <c r="GRI171" s="126"/>
      <c r="GRJ171" s="124"/>
      <c r="GRL171" s="111"/>
      <c r="GRN171" s="200"/>
      <c r="GRO171" s="201"/>
      <c r="GRP171" s="201"/>
      <c r="GRQ171" s="200"/>
      <c r="GRR171" s="202"/>
      <c r="GRS171" s="203"/>
      <c r="GRT171" s="124"/>
      <c r="GRV171" s="126"/>
      <c r="GRW171" s="124"/>
      <c r="GRY171" s="111"/>
      <c r="GSA171" s="200"/>
      <c r="GSB171" s="201"/>
      <c r="GSC171" s="201"/>
      <c r="GSD171" s="200"/>
      <c r="GSE171" s="202"/>
      <c r="GSF171" s="203"/>
      <c r="GSG171" s="124"/>
      <c r="GSI171" s="126"/>
      <c r="GSJ171" s="124"/>
      <c r="GSL171" s="111"/>
      <c r="GSN171" s="200"/>
      <c r="GSO171" s="201"/>
      <c r="GSP171" s="201"/>
      <c r="GSQ171" s="200"/>
      <c r="GSR171" s="202"/>
      <c r="GSS171" s="203"/>
      <c r="GST171" s="124"/>
      <c r="GSV171" s="126"/>
      <c r="GSW171" s="124"/>
      <c r="GSY171" s="111"/>
      <c r="GTA171" s="200"/>
      <c r="GTB171" s="201"/>
      <c r="GTC171" s="201"/>
      <c r="GTD171" s="200"/>
      <c r="GTE171" s="202"/>
      <c r="GTF171" s="203"/>
      <c r="GTG171" s="124"/>
      <c r="GTI171" s="126"/>
      <c r="GTJ171" s="124"/>
      <c r="GTL171" s="111"/>
      <c r="GTN171" s="200"/>
      <c r="GTO171" s="201"/>
      <c r="GTP171" s="201"/>
      <c r="GTQ171" s="200"/>
      <c r="GTR171" s="202"/>
      <c r="GTS171" s="203"/>
      <c r="GTT171" s="124"/>
      <c r="GTV171" s="126"/>
      <c r="GTW171" s="124"/>
      <c r="GTY171" s="111"/>
      <c r="GUA171" s="200"/>
      <c r="GUB171" s="201"/>
      <c r="GUC171" s="201"/>
      <c r="GUD171" s="200"/>
      <c r="GUE171" s="202"/>
      <c r="GUF171" s="203"/>
      <c r="GUG171" s="124"/>
      <c r="GUI171" s="126"/>
      <c r="GUJ171" s="124"/>
      <c r="GUL171" s="111"/>
      <c r="GUN171" s="200"/>
      <c r="GUO171" s="201"/>
      <c r="GUP171" s="201"/>
      <c r="GUQ171" s="200"/>
      <c r="GUR171" s="202"/>
      <c r="GUS171" s="203"/>
      <c r="GUT171" s="124"/>
      <c r="GUV171" s="126"/>
      <c r="GUW171" s="124"/>
      <c r="GUY171" s="111"/>
      <c r="GVA171" s="200"/>
      <c r="GVB171" s="201"/>
      <c r="GVC171" s="201"/>
      <c r="GVD171" s="200"/>
      <c r="GVE171" s="202"/>
      <c r="GVF171" s="203"/>
      <c r="GVG171" s="124"/>
      <c r="GVI171" s="126"/>
      <c r="GVJ171" s="124"/>
      <c r="GVL171" s="111"/>
      <c r="GVN171" s="200"/>
      <c r="GVO171" s="201"/>
      <c r="GVP171" s="201"/>
      <c r="GVQ171" s="200"/>
      <c r="GVR171" s="202"/>
      <c r="GVS171" s="203"/>
      <c r="GVT171" s="124"/>
      <c r="GVV171" s="126"/>
      <c r="GVW171" s="124"/>
      <c r="GVY171" s="111"/>
      <c r="GWA171" s="200"/>
      <c r="GWB171" s="201"/>
      <c r="GWC171" s="201"/>
      <c r="GWD171" s="200"/>
      <c r="GWE171" s="202"/>
      <c r="GWF171" s="203"/>
      <c r="GWG171" s="124"/>
      <c r="GWI171" s="126"/>
      <c r="GWJ171" s="124"/>
      <c r="GWL171" s="111"/>
      <c r="GWN171" s="200"/>
      <c r="GWO171" s="201"/>
      <c r="GWP171" s="201"/>
      <c r="GWQ171" s="200"/>
      <c r="GWR171" s="202"/>
      <c r="GWS171" s="203"/>
      <c r="GWT171" s="124"/>
      <c r="GWV171" s="126"/>
      <c r="GWW171" s="124"/>
      <c r="GWY171" s="111"/>
      <c r="GXA171" s="200"/>
      <c r="GXB171" s="201"/>
      <c r="GXC171" s="201"/>
      <c r="GXD171" s="200"/>
      <c r="GXE171" s="202"/>
      <c r="GXF171" s="203"/>
      <c r="GXG171" s="124"/>
      <c r="GXI171" s="126"/>
      <c r="GXJ171" s="124"/>
      <c r="GXL171" s="111"/>
      <c r="GXN171" s="200"/>
      <c r="GXO171" s="201"/>
      <c r="GXP171" s="201"/>
      <c r="GXQ171" s="200"/>
      <c r="GXR171" s="202"/>
      <c r="GXS171" s="203"/>
      <c r="GXT171" s="124"/>
      <c r="GXV171" s="126"/>
      <c r="GXW171" s="124"/>
      <c r="GXY171" s="111"/>
      <c r="GYA171" s="200"/>
      <c r="GYB171" s="201"/>
      <c r="GYC171" s="201"/>
      <c r="GYD171" s="200"/>
      <c r="GYE171" s="202"/>
      <c r="GYF171" s="203"/>
      <c r="GYG171" s="124"/>
      <c r="GYI171" s="126"/>
      <c r="GYJ171" s="124"/>
      <c r="GYL171" s="111"/>
      <c r="GYN171" s="200"/>
      <c r="GYO171" s="201"/>
      <c r="GYP171" s="201"/>
      <c r="GYQ171" s="200"/>
      <c r="GYR171" s="202"/>
      <c r="GYS171" s="203"/>
      <c r="GYT171" s="124"/>
      <c r="GYV171" s="126"/>
      <c r="GYW171" s="124"/>
      <c r="GYY171" s="111"/>
      <c r="GZA171" s="200"/>
      <c r="GZB171" s="201"/>
      <c r="GZC171" s="201"/>
      <c r="GZD171" s="200"/>
      <c r="GZE171" s="202"/>
      <c r="GZF171" s="203"/>
      <c r="GZG171" s="124"/>
      <c r="GZI171" s="126"/>
      <c r="GZJ171" s="124"/>
      <c r="GZL171" s="111"/>
      <c r="GZN171" s="200"/>
      <c r="GZO171" s="201"/>
      <c r="GZP171" s="201"/>
      <c r="GZQ171" s="200"/>
      <c r="GZR171" s="202"/>
      <c r="GZS171" s="203"/>
      <c r="GZT171" s="124"/>
      <c r="GZV171" s="126"/>
      <c r="GZW171" s="124"/>
      <c r="GZY171" s="111"/>
      <c r="HAA171" s="200"/>
      <c r="HAB171" s="201"/>
      <c r="HAC171" s="201"/>
      <c r="HAD171" s="200"/>
      <c r="HAE171" s="202"/>
      <c r="HAF171" s="203"/>
      <c r="HAG171" s="124"/>
      <c r="HAI171" s="126"/>
      <c r="HAJ171" s="124"/>
      <c r="HAL171" s="111"/>
      <c r="HAN171" s="200"/>
      <c r="HAO171" s="201"/>
      <c r="HAP171" s="201"/>
      <c r="HAQ171" s="200"/>
      <c r="HAR171" s="202"/>
      <c r="HAS171" s="203"/>
      <c r="HAT171" s="124"/>
      <c r="HAV171" s="126"/>
      <c r="HAW171" s="124"/>
      <c r="HAY171" s="111"/>
      <c r="HBA171" s="200"/>
      <c r="HBB171" s="201"/>
      <c r="HBC171" s="201"/>
      <c r="HBD171" s="200"/>
      <c r="HBE171" s="202"/>
      <c r="HBF171" s="203"/>
      <c r="HBG171" s="124"/>
      <c r="HBI171" s="126"/>
      <c r="HBJ171" s="124"/>
      <c r="HBL171" s="111"/>
      <c r="HBN171" s="200"/>
      <c r="HBO171" s="201"/>
      <c r="HBP171" s="201"/>
      <c r="HBQ171" s="200"/>
      <c r="HBR171" s="202"/>
      <c r="HBS171" s="203"/>
      <c r="HBT171" s="124"/>
      <c r="HBV171" s="126"/>
      <c r="HBW171" s="124"/>
      <c r="HBY171" s="111"/>
      <c r="HCA171" s="200"/>
      <c r="HCB171" s="201"/>
      <c r="HCC171" s="201"/>
      <c r="HCD171" s="200"/>
      <c r="HCE171" s="202"/>
      <c r="HCF171" s="203"/>
      <c r="HCG171" s="124"/>
      <c r="HCI171" s="126"/>
      <c r="HCJ171" s="124"/>
      <c r="HCL171" s="111"/>
      <c r="HCN171" s="200"/>
      <c r="HCO171" s="201"/>
      <c r="HCP171" s="201"/>
      <c r="HCQ171" s="200"/>
      <c r="HCR171" s="202"/>
      <c r="HCS171" s="203"/>
      <c r="HCT171" s="124"/>
      <c r="HCV171" s="126"/>
      <c r="HCW171" s="124"/>
      <c r="HCY171" s="111"/>
      <c r="HDA171" s="200"/>
      <c r="HDB171" s="201"/>
      <c r="HDC171" s="201"/>
      <c r="HDD171" s="200"/>
      <c r="HDE171" s="202"/>
      <c r="HDF171" s="203"/>
      <c r="HDG171" s="124"/>
      <c r="HDI171" s="126"/>
      <c r="HDJ171" s="124"/>
      <c r="HDL171" s="111"/>
      <c r="HDN171" s="200"/>
      <c r="HDO171" s="201"/>
      <c r="HDP171" s="201"/>
      <c r="HDQ171" s="200"/>
      <c r="HDR171" s="202"/>
      <c r="HDS171" s="203"/>
      <c r="HDT171" s="124"/>
      <c r="HDV171" s="126"/>
      <c r="HDW171" s="124"/>
      <c r="HDY171" s="111"/>
      <c r="HEA171" s="200"/>
      <c r="HEB171" s="201"/>
      <c r="HEC171" s="201"/>
      <c r="HED171" s="200"/>
      <c r="HEE171" s="202"/>
      <c r="HEF171" s="203"/>
      <c r="HEG171" s="124"/>
      <c r="HEI171" s="126"/>
      <c r="HEJ171" s="124"/>
      <c r="HEL171" s="111"/>
      <c r="HEN171" s="200"/>
      <c r="HEO171" s="201"/>
      <c r="HEP171" s="201"/>
      <c r="HEQ171" s="200"/>
      <c r="HER171" s="202"/>
      <c r="HES171" s="203"/>
      <c r="HET171" s="124"/>
      <c r="HEV171" s="126"/>
      <c r="HEW171" s="124"/>
      <c r="HEY171" s="111"/>
      <c r="HFA171" s="200"/>
      <c r="HFB171" s="201"/>
      <c r="HFC171" s="201"/>
      <c r="HFD171" s="200"/>
      <c r="HFE171" s="202"/>
      <c r="HFF171" s="203"/>
      <c r="HFG171" s="124"/>
      <c r="HFI171" s="126"/>
      <c r="HFJ171" s="124"/>
      <c r="HFL171" s="111"/>
      <c r="HFN171" s="200"/>
      <c r="HFO171" s="201"/>
      <c r="HFP171" s="201"/>
      <c r="HFQ171" s="200"/>
      <c r="HFR171" s="202"/>
      <c r="HFS171" s="203"/>
      <c r="HFT171" s="124"/>
      <c r="HFV171" s="126"/>
      <c r="HFW171" s="124"/>
      <c r="HFY171" s="111"/>
      <c r="HGA171" s="200"/>
      <c r="HGB171" s="201"/>
      <c r="HGC171" s="201"/>
      <c r="HGD171" s="200"/>
      <c r="HGE171" s="202"/>
      <c r="HGF171" s="203"/>
      <c r="HGG171" s="124"/>
      <c r="HGI171" s="126"/>
      <c r="HGJ171" s="124"/>
      <c r="HGL171" s="111"/>
      <c r="HGN171" s="200"/>
      <c r="HGO171" s="201"/>
      <c r="HGP171" s="201"/>
      <c r="HGQ171" s="200"/>
      <c r="HGR171" s="202"/>
      <c r="HGS171" s="203"/>
      <c r="HGT171" s="124"/>
      <c r="HGV171" s="126"/>
      <c r="HGW171" s="124"/>
      <c r="HGY171" s="111"/>
      <c r="HHA171" s="200"/>
      <c r="HHB171" s="201"/>
      <c r="HHC171" s="201"/>
      <c r="HHD171" s="200"/>
      <c r="HHE171" s="202"/>
      <c r="HHF171" s="203"/>
      <c r="HHG171" s="124"/>
      <c r="HHI171" s="126"/>
      <c r="HHJ171" s="124"/>
      <c r="HHL171" s="111"/>
      <c r="HHN171" s="200"/>
      <c r="HHO171" s="201"/>
      <c r="HHP171" s="201"/>
      <c r="HHQ171" s="200"/>
      <c r="HHR171" s="202"/>
      <c r="HHS171" s="203"/>
      <c r="HHT171" s="124"/>
      <c r="HHV171" s="126"/>
      <c r="HHW171" s="124"/>
      <c r="HHY171" s="111"/>
      <c r="HIA171" s="200"/>
      <c r="HIB171" s="201"/>
      <c r="HIC171" s="201"/>
      <c r="HID171" s="200"/>
      <c r="HIE171" s="202"/>
      <c r="HIF171" s="203"/>
      <c r="HIG171" s="124"/>
      <c r="HII171" s="126"/>
      <c r="HIJ171" s="124"/>
      <c r="HIL171" s="111"/>
      <c r="HIN171" s="200"/>
      <c r="HIO171" s="201"/>
      <c r="HIP171" s="201"/>
      <c r="HIQ171" s="200"/>
      <c r="HIR171" s="202"/>
      <c r="HIS171" s="203"/>
      <c r="HIT171" s="124"/>
      <c r="HIV171" s="126"/>
      <c r="HIW171" s="124"/>
      <c r="HIY171" s="111"/>
      <c r="HJA171" s="200"/>
      <c r="HJB171" s="201"/>
      <c r="HJC171" s="201"/>
      <c r="HJD171" s="200"/>
      <c r="HJE171" s="202"/>
      <c r="HJF171" s="203"/>
      <c r="HJG171" s="124"/>
      <c r="HJI171" s="126"/>
      <c r="HJJ171" s="124"/>
      <c r="HJL171" s="111"/>
      <c r="HJN171" s="200"/>
      <c r="HJO171" s="201"/>
      <c r="HJP171" s="201"/>
      <c r="HJQ171" s="200"/>
      <c r="HJR171" s="202"/>
      <c r="HJS171" s="203"/>
      <c r="HJT171" s="124"/>
      <c r="HJV171" s="126"/>
      <c r="HJW171" s="124"/>
      <c r="HJY171" s="111"/>
      <c r="HKA171" s="200"/>
      <c r="HKB171" s="201"/>
      <c r="HKC171" s="201"/>
      <c r="HKD171" s="200"/>
      <c r="HKE171" s="202"/>
      <c r="HKF171" s="203"/>
      <c r="HKG171" s="124"/>
      <c r="HKI171" s="126"/>
      <c r="HKJ171" s="124"/>
      <c r="HKL171" s="111"/>
      <c r="HKN171" s="200"/>
      <c r="HKO171" s="201"/>
      <c r="HKP171" s="201"/>
      <c r="HKQ171" s="200"/>
      <c r="HKR171" s="202"/>
      <c r="HKS171" s="203"/>
      <c r="HKT171" s="124"/>
      <c r="HKV171" s="126"/>
      <c r="HKW171" s="124"/>
      <c r="HKY171" s="111"/>
      <c r="HLA171" s="200"/>
      <c r="HLB171" s="201"/>
      <c r="HLC171" s="201"/>
      <c r="HLD171" s="200"/>
      <c r="HLE171" s="202"/>
      <c r="HLF171" s="203"/>
      <c r="HLG171" s="124"/>
      <c r="HLI171" s="126"/>
      <c r="HLJ171" s="124"/>
      <c r="HLL171" s="111"/>
      <c r="HLN171" s="200"/>
      <c r="HLO171" s="201"/>
      <c r="HLP171" s="201"/>
      <c r="HLQ171" s="200"/>
      <c r="HLR171" s="202"/>
      <c r="HLS171" s="203"/>
      <c r="HLT171" s="124"/>
      <c r="HLV171" s="126"/>
      <c r="HLW171" s="124"/>
      <c r="HLY171" s="111"/>
      <c r="HMA171" s="200"/>
      <c r="HMB171" s="201"/>
      <c r="HMC171" s="201"/>
      <c r="HMD171" s="200"/>
      <c r="HME171" s="202"/>
      <c r="HMF171" s="203"/>
      <c r="HMG171" s="124"/>
      <c r="HMI171" s="126"/>
      <c r="HMJ171" s="124"/>
      <c r="HML171" s="111"/>
      <c r="HMN171" s="200"/>
      <c r="HMO171" s="201"/>
      <c r="HMP171" s="201"/>
      <c r="HMQ171" s="200"/>
      <c r="HMR171" s="202"/>
      <c r="HMS171" s="203"/>
      <c r="HMT171" s="124"/>
      <c r="HMV171" s="126"/>
      <c r="HMW171" s="124"/>
      <c r="HMY171" s="111"/>
      <c r="HNA171" s="200"/>
      <c r="HNB171" s="201"/>
      <c r="HNC171" s="201"/>
      <c r="HND171" s="200"/>
      <c r="HNE171" s="202"/>
      <c r="HNF171" s="203"/>
      <c r="HNG171" s="124"/>
      <c r="HNI171" s="126"/>
      <c r="HNJ171" s="124"/>
      <c r="HNL171" s="111"/>
      <c r="HNN171" s="200"/>
      <c r="HNO171" s="201"/>
      <c r="HNP171" s="201"/>
      <c r="HNQ171" s="200"/>
      <c r="HNR171" s="202"/>
      <c r="HNS171" s="203"/>
      <c r="HNT171" s="124"/>
      <c r="HNV171" s="126"/>
      <c r="HNW171" s="124"/>
      <c r="HNY171" s="111"/>
      <c r="HOA171" s="200"/>
      <c r="HOB171" s="201"/>
      <c r="HOC171" s="201"/>
      <c r="HOD171" s="200"/>
      <c r="HOE171" s="202"/>
      <c r="HOF171" s="203"/>
      <c r="HOG171" s="124"/>
      <c r="HOI171" s="126"/>
      <c r="HOJ171" s="124"/>
      <c r="HOL171" s="111"/>
      <c r="HON171" s="200"/>
      <c r="HOO171" s="201"/>
      <c r="HOP171" s="201"/>
      <c r="HOQ171" s="200"/>
      <c r="HOR171" s="202"/>
      <c r="HOS171" s="203"/>
      <c r="HOT171" s="124"/>
      <c r="HOV171" s="126"/>
      <c r="HOW171" s="124"/>
      <c r="HOY171" s="111"/>
      <c r="HPA171" s="200"/>
      <c r="HPB171" s="201"/>
      <c r="HPC171" s="201"/>
      <c r="HPD171" s="200"/>
      <c r="HPE171" s="202"/>
      <c r="HPF171" s="203"/>
      <c r="HPG171" s="124"/>
      <c r="HPI171" s="126"/>
      <c r="HPJ171" s="124"/>
      <c r="HPL171" s="111"/>
      <c r="HPN171" s="200"/>
      <c r="HPO171" s="201"/>
      <c r="HPP171" s="201"/>
      <c r="HPQ171" s="200"/>
      <c r="HPR171" s="202"/>
      <c r="HPS171" s="203"/>
      <c r="HPT171" s="124"/>
      <c r="HPV171" s="126"/>
      <c r="HPW171" s="124"/>
      <c r="HPY171" s="111"/>
      <c r="HQA171" s="200"/>
      <c r="HQB171" s="201"/>
      <c r="HQC171" s="201"/>
      <c r="HQD171" s="200"/>
      <c r="HQE171" s="202"/>
      <c r="HQF171" s="203"/>
      <c r="HQG171" s="124"/>
      <c r="HQI171" s="126"/>
      <c r="HQJ171" s="124"/>
      <c r="HQL171" s="111"/>
      <c r="HQN171" s="200"/>
      <c r="HQO171" s="201"/>
      <c r="HQP171" s="201"/>
      <c r="HQQ171" s="200"/>
      <c r="HQR171" s="202"/>
      <c r="HQS171" s="203"/>
      <c r="HQT171" s="124"/>
      <c r="HQV171" s="126"/>
      <c r="HQW171" s="124"/>
      <c r="HQY171" s="111"/>
      <c r="HRA171" s="200"/>
      <c r="HRB171" s="201"/>
      <c r="HRC171" s="201"/>
      <c r="HRD171" s="200"/>
      <c r="HRE171" s="202"/>
      <c r="HRF171" s="203"/>
      <c r="HRG171" s="124"/>
      <c r="HRI171" s="126"/>
      <c r="HRJ171" s="124"/>
      <c r="HRL171" s="111"/>
      <c r="HRN171" s="200"/>
      <c r="HRO171" s="201"/>
      <c r="HRP171" s="201"/>
      <c r="HRQ171" s="200"/>
      <c r="HRR171" s="202"/>
      <c r="HRS171" s="203"/>
      <c r="HRT171" s="124"/>
      <c r="HRV171" s="126"/>
      <c r="HRW171" s="124"/>
      <c r="HRY171" s="111"/>
      <c r="HSA171" s="200"/>
      <c r="HSB171" s="201"/>
      <c r="HSC171" s="201"/>
      <c r="HSD171" s="200"/>
      <c r="HSE171" s="202"/>
      <c r="HSF171" s="203"/>
      <c r="HSG171" s="124"/>
      <c r="HSI171" s="126"/>
      <c r="HSJ171" s="124"/>
      <c r="HSL171" s="111"/>
      <c r="HSN171" s="200"/>
      <c r="HSO171" s="201"/>
      <c r="HSP171" s="201"/>
      <c r="HSQ171" s="200"/>
      <c r="HSR171" s="202"/>
      <c r="HSS171" s="203"/>
      <c r="HST171" s="124"/>
      <c r="HSV171" s="126"/>
      <c r="HSW171" s="124"/>
      <c r="HSY171" s="111"/>
      <c r="HTA171" s="200"/>
      <c r="HTB171" s="201"/>
      <c r="HTC171" s="201"/>
      <c r="HTD171" s="200"/>
      <c r="HTE171" s="202"/>
      <c r="HTF171" s="203"/>
      <c r="HTG171" s="124"/>
      <c r="HTI171" s="126"/>
      <c r="HTJ171" s="124"/>
      <c r="HTL171" s="111"/>
      <c r="HTN171" s="200"/>
      <c r="HTO171" s="201"/>
      <c r="HTP171" s="201"/>
      <c r="HTQ171" s="200"/>
      <c r="HTR171" s="202"/>
      <c r="HTS171" s="203"/>
      <c r="HTT171" s="124"/>
      <c r="HTV171" s="126"/>
      <c r="HTW171" s="124"/>
      <c r="HTY171" s="111"/>
      <c r="HUA171" s="200"/>
      <c r="HUB171" s="201"/>
      <c r="HUC171" s="201"/>
      <c r="HUD171" s="200"/>
      <c r="HUE171" s="202"/>
      <c r="HUF171" s="203"/>
      <c r="HUG171" s="124"/>
      <c r="HUI171" s="126"/>
      <c r="HUJ171" s="124"/>
      <c r="HUL171" s="111"/>
      <c r="HUN171" s="200"/>
      <c r="HUO171" s="201"/>
      <c r="HUP171" s="201"/>
      <c r="HUQ171" s="200"/>
      <c r="HUR171" s="202"/>
      <c r="HUS171" s="203"/>
      <c r="HUT171" s="124"/>
      <c r="HUV171" s="126"/>
      <c r="HUW171" s="124"/>
      <c r="HUY171" s="111"/>
      <c r="HVA171" s="200"/>
      <c r="HVB171" s="201"/>
      <c r="HVC171" s="201"/>
      <c r="HVD171" s="200"/>
      <c r="HVE171" s="202"/>
      <c r="HVF171" s="203"/>
      <c r="HVG171" s="124"/>
      <c r="HVI171" s="126"/>
      <c r="HVJ171" s="124"/>
      <c r="HVL171" s="111"/>
      <c r="HVN171" s="200"/>
      <c r="HVO171" s="201"/>
      <c r="HVP171" s="201"/>
      <c r="HVQ171" s="200"/>
      <c r="HVR171" s="202"/>
      <c r="HVS171" s="203"/>
      <c r="HVT171" s="124"/>
      <c r="HVV171" s="126"/>
      <c r="HVW171" s="124"/>
      <c r="HVY171" s="111"/>
      <c r="HWA171" s="200"/>
      <c r="HWB171" s="201"/>
      <c r="HWC171" s="201"/>
      <c r="HWD171" s="200"/>
      <c r="HWE171" s="202"/>
      <c r="HWF171" s="203"/>
      <c r="HWG171" s="124"/>
      <c r="HWI171" s="126"/>
      <c r="HWJ171" s="124"/>
      <c r="HWL171" s="111"/>
      <c r="HWN171" s="200"/>
      <c r="HWO171" s="201"/>
      <c r="HWP171" s="201"/>
      <c r="HWQ171" s="200"/>
      <c r="HWR171" s="202"/>
      <c r="HWS171" s="203"/>
      <c r="HWT171" s="124"/>
      <c r="HWV171" s="126"/>
      <c r="HWW171" s="124"/>
      <c r="HWY171" s="111"/>
      <c r="HXA171" s="200"/>
      <c r="HXB171" s="201"/>
      <c r="HXC171" s="201"/>
      <c r="HXD171" s="200"/>
      <c r="HXE171" s="202"/>
      <c r="HXF171" s="203"/>
      <c r="HXG171" s="124"/>
      <c r="HXI171" s="126"/>
      <c r="HXJ171" s="124"/>
      <c r="HXL171" s="111"/>
      <c r="HXN171" s="200"/>
      <c r="HXO171" s="201"/>
      <c r="HXP171" s="201"/>
      <c r="HXQ171" s="200"/>
      <c r="HXR171" s="202"/>
      <c r="HXS171" s="203"/>
      <c r="HXT171" s="124"/>
      <c r="HXV171" s="126"/>
      <c r="HXW171" s="124"/>
      <c r="HXY171" s="111"/>
      <c r="HYA171" s="200"/>
      <c r="HYB171" s="201"/>
      <c r="HYC171" s="201"/>
      <c r="HYD171" s="200"/>
      <c r="HYE171" s="202"/>
      <c r="HYF171" s="203"/>
      <c r="HYG171" s="124"/>
      <c r="HYI171" s="126"/>
      <c r="HYJ171" s="124"/>
      <c r="HYL171" s="111"/>
      <c r="HYN171" s="200"/>
      <c r="HYO171" s="201"/>
      <c r="HYP171" s="201"/>
      <c r="HYQ171" s="200"/>
      <c r="HYR171" s="202"/>
      <c r="HYS171" s="203"/>
      <c r="HYT171" s="124"/>
      <c r="HYV171" s="126"/>
      <c r="HYW171" s="124"/>
      <c r="HYY171" s="111"/>
      <c r="HZA171" s="200"/>
      <c r="HZB171" s="201"/>
      <c r="HZC171" s="201"/>
      <c r="HZD171" s="200"/>
      <c r="HZE171" s="202"/>
      <c r="HZF171" s="203"/>
      <c r="HZG171" s="124"/>
      <c r="HZI171" s="126"/>
      <c r="HZJ171" s="124"/>
      <c r="HZL171" s="111"/>
      <c r="HZN171" s="200"/>
      <c r="HZO171" s="201"/>
      <c r="HZP171" s="201"/>
      <c r="HZQ171" s="200"/>
      <c r="HZR171" s="202"/>
      <c r="HZS171" s="203"/>
      <c r="HZT171" s="124"/>
      <c r="HZV171" s="126"/>
      <c r="HZW171" s="124"/>
      <c r="HZY171" s="111"/>
      <c r="IAA171" s="200"/>
      <c r="IAB171" s="201"/>
      <c r="IAC171" s="201"/>
      <c r="IAD171" s="200"/>
      <c r="IAE171" s="202"/>
      <c r="IAF171" s="203"/>
      <c r="IAG171" s="124"/>
      <c r="IAI171" s="126"/>
      <c r="IAJ171" s="124"/>
      <c r="IAL171" s="111"/>
      <c r="IAN171" s="200"/>
      <c r="IAO171" s="201"/>
      <c r="IAP171" s="201"/>
      <c r="IAQ171" s="200"/>
      <c r="IAR171" s="202"/>
      <c r="IAS171" s="203"/>
      <c r="IAT171" s="124"/>
      <c r="IAV171" s="126"/>
      <c r="IAW171" s="124"/>
      <c r="IAY171" s="111"/>
      <c r="IBA171" s="200"/>
      <c r="IBB171" s="201"/>
      <c r="IBC171" s="201"/>
      <c r="IBD171" s="200"/>
      <c r="IBE171" s="202"/>
      <c r="IBF171" s="203"/>
      <c r="IBG171" s="124"/>
      <c r="IBI171" s="126"/>
      <c r="IBJ171" s="124"/>
      <c r="IBL171" s="111"/>
      <c r="IBN171" s="200"/>
      <c r="IBO171" s="201"/>
      <c r="IBP171" s="201"/>
      <c r="IBQ171" s="200"/>
      <c r="IBR171" s="202"/>
      <c r="IBS171" s="203"/>
      <c r="IBT171" s="124"/>
      <c r="IBV171" s="126"/>
      <c r="IBW171" s="124"/>
      <c r="IBY171" s="111"/>
      <c r="ICA171" s="200"/>
      <c r="ICB171" s="201"/>
      <c r="ICC171" s="201"/>
      <c r="ICD171" s="200"/>
      <c r="ICE171" s="202"/>
      <c r="ICF171" s="203"/>
      <c r="ICG171" s="124"/>
      <c r="ICI171" s="126"/>
      <c r="ICJ171" s="124"/>
      <c r="ICL171" s="111"/>
      <c r="ICN171" s="200"/>
      <c r="ICO171" s="201"/>
      <c r="ICP171" s="201"/>
      <c r="ICQ171" s="200"/>
      <c r="ICR171" s="202"/>
      <c r="ICS171" s="203"/>
      <c r="ICT171" s="124"/>
      <c r="ICV171" s="126"/>
      <c r="ICW171" s="124"/>
      <c r="ICY171" s="111"/>
      <c r="IDA171" s="200"/>
      <c r="IDB171" s="201"/>
      <c r="IDC171" s="201"/>
      <c r="IDD171" s="200"/>
      <c r="IDE171" s="202"/>
      <c r="IDF171" s="203"/>
      <c r="IDG171" s="124"/>
      <c r="IDI171" s="126"/>
      <c r="IDJ171" s="124"/>
      <c r="IDL171" s="111"/>
      <c r="IDN171" s="200"/>
      <c r="IDO171" s="201"/>
      <c r="IDP171" s="201"/>
      <c r="IDQ171" s="200"/>
      <c r="IDR171" s="202"/>
      <c r="IDS171" s="203"/>
      <c r="IDT171" s="124"/>
      <c r="IDV171" s="126"/>
      <c r="IDW171" s="124"/>
      <c r="IDY171" s="111"/>
      <c r="IEA171" s="200"/>
      <c r="IEB171" s="201"/>
      <c r="IEC171" s="201"/>
      <c r="IED171" s="200"/>
      <c r="IEE171" s="202"/>
      <c r="IEF171" s="203"/>
      <c r="IEG171" s="124"/>
      <c r="IEI171" s="126"/>
      <c r="IEJ171" s="124"/>
      <c r="IEL171" s="111"/>
      <c r="IEN171" s="200"/>
      <c r="IEO171" s="201"/>
      <c r="IEP171" s="201"/>
      <c r="IEQ171" s="200"/>
      <c r="IER171" s="202"/>
      <c r="IES171" s="203"/>
      <c r="IET171" s="124"/>
      <c r="IEV171" s="126"/>
      <c r="IEW171" s="124"/>
      <c r="IEY171" s="111"/>
      <c r="IFA171" s="200"/>
      <c r="IFB171" s="201"/>
      <c r="IFC171" s="201"/>
      <c r="IFD171" s="200"/>
      <c r="IFE171" s="202"/>
      <c r="IFF171" s="203"/>
      <c r="IFG171" s="124"/>
      <c r="IFI171" s="126"/>
      <c r="IFJ171" s="124"/>
      <c r="IFL171" s="111"/>
      <c r="IFN171" s="200"/>
      <c r="IFO171" s="201"/>
      <c r="IFP171" s="201"/>
      <c r="IFQ171" s="200"/>
      <c r="IFR171" s="202"/>
      <c r="IFS171" s="203"/>
      <c r="IFT171" s="124"/>
      <c r="IFV171" s="126"/>
      <c r="IFW171" s="124"/>
      <c r="IFY171" s="111"/>
      <c r="IGA171" s="200"/>
      <c r="IGB171" s="201"/>
      <c r="IGC171" s="201"/>
      <c r="IGD171" s="200"/>
      <c r="IGE171" s="202"/>
      <c r="IGF171" s="203"/>
      <c r="IGG171" s="124"/>
      <c r="IGI171" s="126"/>
      <c r="IGJ171" s="124"/>
      <c r="IGL171" s="111"/>
      <c r="IGN171" s="200"/>
      <c r="IGO171" s="201"/>
      <c r="IGP171" s="201"/>
      <c r="IGQ171" s="200"/>
      <c r="IGR171" s="202"/>
      <c r="IGS171" s="203"/>
      <c r="IGT171" s="124"/>
      <c r="IGV171" s="126"/>
      <c r="IGW171" s="124"/>
      <c r="IGY171" s="111"/>
      <c r="IHA171" s="200"/>
      <c r="IHB171" s="201"/>
      <c r="IHC171" s="201"/>
      <c r="IHD171" s="200"/>
      <c r="IHE171" s="202"/>
      <c r="IHF171" s="203"/>
      <c r="IHG171" s="124"/>
      <c r="IHI171" s="126"/>
      <c r="IHJ171" s="124"/>
      <c r="IHL171" s="111"/>
      <c r="IHN171" s="200"/>
      <c r="IHO171" s="201"/>
      <c r="IHP171" s="201"/>
      <c r="IHQ171" s="200"/>
      <c r="IHR171" s="202"/>
      <c r="IHS171" s="203"/>
      <c r="IHT171" s="124"/>
      <c r="IHV171" s="126"/>
      <c r="IHW171" s="124"/>
      <c r="IHY171" s="111"/>
      <c r="IIA171" s="200"/>
      <c r="IIB171" s="201"/>
      <c r="IIC171" s="201"/>
      <c r="IID171" s="200"/>
      <c r="IIE171" s="202"/>
      <c r="IIF171" s="203"/>
      <c r="IIG171" s="124"/>
      <c r="III171" s="126"/>
      <c r="IIJ171" s="124"/>
      <c r="IIL171" s="111"/>
      <c r="IIN171" s="200"/>
      <c r="IIO171" s="201"/>
      <c r="IIP171" s="201"/>
      <c r="IIQ171" s="200"/>
      <c r="IIR171" s="202"/>
      <c r="IIS171" s="203"/>
      <c r="IIT171" s="124"/>
      <c r="IIV171" s="126"/>
      <c r="IIW171" s="124"/>
      <c r="IIY171" s="111"/>
      <c r="IJA171" s="200"/>
      <c r="IJB171" s="201"/>
      <c r="IJC171" s="201"/>
      <c r="IJD171" s="200"/>
      <c r="IJE171" s="202"/>
      <c r="IJF171" s="203"/>
      <c r="IJG171" s="124"/>
      <c r="IJI171" s="126"/>
      <c r="IJJ171" s="124"/>
      <c r="IJL171" s="111"/>
      <c r="IJN171" s="200"/>
      <c r="IJO171" s="201"/>
      <c r="IJP171" s="201"/>
      <c r="IJQ171" s="200"/>
      <c r="IJR171" s="202"/>
      <c r="IJS171" s="203"/>
      <c r="IJT171" s="124"/>
      <c r="IJV171" s="126"/>
      <c r="IJW171" s="124"/>
      <c r="IJY171" s="111"/>
      <c r="IKA171" s="200"/>
      <c r="IKB171" s="201"/>
      <c r="IKC171" s="201"/>
      <c r="IKD171" s="200"/>
      <c r="IKE171" s="202"/>
      <c r="IKF171" s="203"/>
      <c r="IKG171" s="124"/>
      <c r="IKI171" s="126"/>
      <c r="IKJ171" s="124"/>
      <c r="IKL171" s="111"/>
      <c r="IKN171" s="200"/>
      <c r="IKO171" s="201"/>
      <c r="IKP171" s="201"/>
      <c r="IKQ171" s="200"/>
      <c r="IKR171" s="202"/>
      <c r="IKS171" s="203"/>
      <c r="IKT171" s="124"/>
      <c r="IKV171" s="126"/>
      <c r="IKW171" s="124"/>
      <c r="IKY171" s="111"/>
      <c r="ILA171" s="200"/>
      <c r="ILB171" s="201"/>
      <c r="ILC171" s="201"/>
      <c r="ILD171" s="200"/>
      <c r="ILE171" s="202"/>
      <c r="ILF171" s="203"/>
      <c r="ILG171" s="124"/>
      <c r="ILI171" s="126"/>
      <c r="ILJ171" s="124"/>
      <c r="ILL171" s="111"/>
      <c r="ILN171" s="200"/>
      <c r="ILO171" s="201"/>
      <c r="ILP171" s="201"/>
      <c r="ILQ171" s="200"/>
      <c r="ILR171" s="202"/>
      <c r="ILS171" s="203"/>
      <c r="ILT171" s="124"/>
      <c r="ILV171" s="126"/>
      <c r="ILW171" s="124"/>
      <c r="ILY171" s="111"/>
      <c r="IMA171" s="200"/>
      <c r="IMB171" s="201"/>
      <c r="IMC171" s="201"/>
      <c r="IMD171" s="200"/>
      <c r="IME171" s="202"/>
      <c r="IMF171" s="203"/>
      <c r="IMG171" s="124"/>
      <c r="IMI171" s="126"/>
      <c r="IMJ171" s="124"/>
      <c r="IML171" s="111"/>
      <c r="IMN171" s="200"/>
      <c r="IMO171" s="201"/>
      <c r="IMP171" s="201"/>
      <c r="IMQ171" s="200"/>
      <c r="IMR171" s="202"/>
      <c r="IMS171" s="203"/>
      <c r="IMT171" s="124"/>
      <c r="IMV171" s="126"/>
      <c r="IMW171" s="124"/>
      <c r="IMY171" s="111"/>
      <c r="INA171" s="200"/>
      <c r="INB171" s="201"/>
      <c r="INC171" s="201"/>
      <c r="IND171" s="200"/>
      <c r="INE171" s="202"/>
      <c r="INF171" s="203"/>
      <c r="ING171" s="124"/>
      <c r="INI171" s="126"/>
      <c r="INJ171" s="124"/>
      <c r="INL171" s="111"/>
      <c r="INN171" s="200"/>
      <c r="INO171" s="201"/>
      <c r="INP171" s="201"/>
      <c r="INQ171" s="200"/>
      <c r="INR171" s="202"/>
      <c r="INS171" s="203"/>
      <c r="INT171" s="124"/>
      <c r="INV171" s="126"/>
      <c r="INW171" s="124"/>
      <c r="INY171" s="111"/>
      <c r="IOA171" s="200"/>
      <c r="IOB171" s="201"/>
      <c r="IOC171" s="201"/>
      <c r="IOD171" s="200"/>
      <c r="IOE171" s="202"/>
      <c r="IOF171" s="203"/>
      <c r="IOG171" s="124"/>
      <c r="IOI171" s="126"/>
      <c r="IOJ171" s="124"/>
      <c r="IOL171" s="111"/>
      <c r="ION171" s="200"/>
      <c r="IOO171" s="201"/>
      <c r="IOP171" s="201"/>
      <c r="IOQ171" s="200"/>
      <c r="IOR171" s="202"/>
      <c r="IOS171" s="203"/>
      <c r="IOT171" s="124"/>
      <c r="IOV171" s="126"/>
      <c r="IOW171" s="124"/>
      <c r="IOY171" s="111"/>
      <c r="IPA171" s="200"/>
      <c r="IPB171" s="201"/>
      <c r="IPC171" s="201"/>
      <c r="IPD171" s="200"/>
      <c r="IPE171" s="202"/>
      <c r="IPF171" s="203"/>
      <c r="IPG171" s="124"/>
      <c r="IPI171" s="126"/>
      <c r="IPJ171" s="124"/>
      <c r="IPL171" s="111"/>
      <c r="IPN171" s="200"/>
      <c r="IPO171" s="201"/>
      <c r="IPP171" s="201"/>
      <c r="IPQ171" s="200"/>
      <c r="IPR171" s="202"/>
      <c r="IPS171" s="203"/>
      <c r="IPT171" s="124"/>
      <c r="IPV171" s="126"/>
      <c r="IPW171" s="124"/>
      <c r="IPY171" s="111"/>
      <c r="IQA171" s="200"/>
      <c r="IQB171" s="201"/>
      <c r="IQC171" s="201"/>
      <c r="IQD171" s="200"/>
      <c r="IQE171" s="202"/>
      <c r="IQF171" s="203"/>
      <c r="IQG171" s="124"/>
      <c r="IQI171" s="126"/>
      <c r="IQJ171" s="124"/>
      <c r="IQL171" s="111"/>
      <c r="IQN171" s="200"/>
      <c r="IQO171" s="201"/>
      <c r="IQP171" s="201"/>
      <c r="IQQ171" s="200"/>
      <c r="IQR171" s="202"/>
      <c r="IQS171" s="203"/>
      <c r="IQT171" s="124"/>
      <c r="IQV171" s="126"/>
      <c r="IQW171" s="124"/>
      <c r="IQY171" s="111"/>
      <c r="IRA171" s="200"/>
      <c r="IRB171" s="201"/>
      <c r="IRC171" s="201"/>
      <c r="IRD171" s="200"/>
      <c r="IRE171" s="202"/>
      <c r="IRF171" s="203"/>
      <c r="IRG171" s="124"/>
      <c r="IRI171" s="126"/>
      <c r="IRJ171" s="124"/>
      <c r="IRL171" s="111"/>
      <c r="IRN171" s="200"/>
      <c r="IRO171" s="201"/>
      <c r="IRP171" s="201"/>
      <c r="IRQ171" s="200"/>
      <c r="IRR171" s="202"/>
      <c r="IRS171" s="203"/>
      <c r="IRT171" s="124"/>
      <c r="IRV171" s="126"/>
      <c r="IRW171" s="124"/>
      <c r="IRY171" s="111"/>
      <c r="ISA171" s="200"/>
      <c r="ISB171" s="201"/>
      <c r="ISC171" s="201"/>
      <c r="ISD171" s="200"/>
      <c r="ISE171" s="202"/>
      <c r="ISF171" s="203"/>
      <c r="ISG171" s="124"/>
      <c r="ISI171" s="126"/>
      <c r="ISJ171" s="124"/>
      <c r="ISL171" s="111"/>
      <c r="ISN171" s="200"/>
      <c r="ISO171" s="201"/>
      <c r="ISP171" s="201"/>
      <c r="ISQ171" s="200"/>
      <c r="ISR171" s="202"/>
      <c r="ISS171" s="203"/>
      <c r="IST171" s="124"/>
      <c r="ISV171" s="126"/>
      <c r="ISW171" s="124"/>
      <c r="ISY171" s="111"/>
      <c r="ITA171" s="200"/>
      <c r="ITB171" s="201"/>
      <c r="ITC171" s="201"/>
      <c r="ITD171" s="200"/>
      <c r="ITE171" s="202"/>
      <c r="ITF171" s="203"/>
      <c r="ITG171" s="124"/>
      <c r="ITI171" s="126"/>
      <c r="ITJ171" s="124"/>
      <c r="ITL171" s="111"/>
      <c r="ITN171" s="200"/>
      <c r="ITO171" s="201"/>
      <c r="ITP171" s="201"/>
      <c r="ITQ171" s="200"/>
      <c r="ITR171" s="202"/>
      <c r="ITS171" s="203"/>
      <c r="ITT171" s="124"/>
      <c r="ITV171" s="126"/>
      <c r="ITW171" s="124"/>
      <c r="ITY171" s="111"/>
      <c r="IUA171" s="200"/>
      <c r="IUB171" s="201"/>
      <c r="IUC171" s="201"/>
      <c r="IUD171" s="200"/>
      <c r="IUE171" s="202"/>
      <c r="IUF171" s="203"/>
      <c r="IUG171" s="124"/>
      <c r="IUI171" s="126"/>
      <c r="IUJ171" s="124"/>
      <c r="IUL171" s="111"/>
      <c r="IUN171" s="200"/>
      <c r="IUO171" s="201"/>
      <c r="IUP171" s="201"/>
      <c r="IUQ171" s="200"/>
      <c r="IUR171" s="202"/>
      <c r="IUS171" s="203"/>
      <c r="IUT171" s="124"/>
      <c r="IUV171" s="126"/>
      <c r="IUW171" s="124"/>
      <c r="IUY171" s="111"/>
      <c r="IVA171" s="200"/>
      <c r="IVB171" s="201"/>
      <c r="IVC171" s="201"/>
      <c r="IVD171" s="200"/>
      <c r="IVE171" s="202"/>
      <c r="IVF171" s="203"/>
      <c r="IVG171" s="124"/>
      <c r="IVI171" s="126"/>
      <c r="IVJ171" s="124"/>
      <c r="IVL171" s="111"/>
      <c r="IVN171" s="200"/>
      <c r="IVO171" s="201"/>
      <c r="IVP171" s="201"/>
      <c r="IVQ171" s="200"/>
      <c r="IVR171" s="202"/>
      <c r="IVS171" s="203"/>
      <c r="IVT171" s="124"/>
      <c r="IVV171" s="126"/>
      <c r="IVW171" s="124"/>
      <c r="IVY171" s="111"/>
      <c r="IWA171" s="200"/>
      <c r="IWB171" s="201"/>
      <c r="IWC171" s="201"/>
      <c r="IWD171" s="200"/>
      <c r="IWE171" s="202"/>
      <c r="IWF171" s="203"/>
      <c r="IWG171" s="124"/>
      <c r="IWI171" s="126"/>
      <c r="IWJ171" s="124"/>
      <c r="IWL171" s="111"/>
      <c r="IWN171" s="200"/>
      <c r="IWO171" s="201"/>
      <c r="IWP171" s="201"/>
      <c r="IWQ171" s="200"/>
      <c r="IWR171" s="202"/>
      <c r="IWS171" s="203"/>
      <c r="IWT171" s="124"/>
      <c r="IWV171" s="126"/>
      <c r="IWW171" s="124"/>
      <c r="IWY171" s="111"/>
      <c r="IXA171" s="200"/>
      <c r="IXB171" s="201"/>
      <c r="IXC171" s="201"/>
      <c r="IXD171" s="200"/>
      <c r="IXE171" s="202"/>
      <c r="IXF171" s="203"/>
      <c r="IXG171" s="124"/>
      <c r="IXI171" s="126"/>
      <c r="IXJ171" s="124"/>
      <c r="IXL171" s="111"/>
      <c r="IXN171" s="200"/>
      <c r="IXO171" s="201"/>
      <c r="IXP171" s="201"/>
      <c r="IXQ171" s="200"/>
      <c r="IXR171" s="202"/>
      <c r="IXS171" s="203"/>
      <c r="IXT171" s="124"/>
      <c r="IXV171" s="126"/>
      <c r="IXW171" s="124"/>
      <c r="IXY171" s="111"/>
      <c r="IYA171" s="200"/>
      <c r="IYB171" s="201"/>
      <c r="IYC171" s="201"/>
      <c r="IYD171" s="200"/>
      <c r="IYE171" s="202"/>
      <c r="IYF171" s="203"/>
      <c r="IYG171" s="124"/>
      <c r="IYI171" s="126"/>
      <c r="IYJ171" s="124"/>
      <c r="IYL171" s="111"/>
      <c r="IYN171" s="200"/>
      <c r="IYO171" s="201"/>
      <c r="IYP171" s="201"/>
      <c r="IYQ171" s="200"/>
      <c r="IYR171" s="202"/>
      <c r="IYS171" s="203"/>
      <c r="IYT171" s="124"/>
      <c r="IYV171" s="126"/>
      <c r="IYW171" s="124"/>
      <c r="IYY171" s="111"/>
      <c r="IZA171" s="200"/>
      <c r="IZB171" s="201"/>
      <c r="IZC171" s="201"/>
      <c r="IZD171" s="200"/>
      <c r="IZE171" s="202"/>
      <c r="IZF171" s="203"/>
      <c r="IZG171" s="124"/>
      <c r="IZI171" s="126"/>
      <c r="IZJ171" s="124"/>
      <c r="IZL171" s="111"/>
      <c r="IZN171" s="200"/>
      <c r="IZO171" s="201"/>
      <c r="IZP171" s="201"/>
      <c r="IZQ171" s="200"/>
      <c r="IZR171" s="202"/>
      <c r="IZS171" s="203"/>
      <c r="IZT171" s="124"/>
      <c r="IZV171" s="126"/>
      <c r="IZW171" s="124"/>
      <c r="IZY171" s="111"/>
      <c r="JAA171" s="200"/>
      <c r="JAB171" s="201"/>
      <c r="JAC171" s="201"/>
      <c r="JAD171" s="200"/>
      <c r="JAE171" s="202"/>
      <c r="JAF171" s="203"/>
      <c r="JAG171" s="124"/>
      <c r="JAI171" s="126"/>
      <c r="JAJ171" s="124"/>
      <c r="JAL171" s="111"/>
      <c r="JAN171" s="200"/>
      <c r="JAO171" s="201"/>
      <c r="JAP171" s="201"/>
      <c r="JAQ171" s="200"/>
      <c r="JAR171" s="202"/>
      <c r="JAS171" s="203"/>
      <c r="JAT171" s="124"/>
      <c r="JAV171" s="126"/>
      <c r="JAW171" s="124"/>
      <c r="JAY171" s="111"/>
      <c r="JBA171" s="200"/>
      <c r="JBB171" s="201"/>
      <c r="JBC171" s="201"/>
      <c r="JBD171" s="200"/>
      <c r="JBE171" s="202"/>
      <c r="JBF171" s="203"/>
      <c r="JBG171" s="124"/>
      <c r="JBI171" s="126"/>
      <c r="JBJ171" s="124"/>
      <c r="JBL171" s="111"/>
      <c r="JBN171" s="200"/>
      <c r="JBO171" s="201"/>
      <c r="JBP171" s="201"/>
      <c r="JBQ171" s="200"/>
      <c r="JBR171" s="202"/>
      <c r="JBS171" s="203"/>
      <c r="JBT171" s="124"/>
      <c r="JBV171" s="126"/>
      <c r="JBW171" s="124"/>
      <c r="JBY171" s="111"/>
      <c r="JCA171" s="200"/>
      <c r="JCB171" s="201"/>
      <c r="JCC171" s="201"/>
      <c r="JCD171" s="200"/>
      <c r="JCE171" s="202"/>
      <c r="JCF171" s="203"/>
      <c r="JCG171" s="124"/>
      <c r="JCI171" s="126"/>
      <c r="JCJ171" s="124"/>
      <c r="JCL171" s="111"/>
      <c r="JCN171" s="200"/>
      <c r="JCO171" s="201"/>
      <c r="JCP171" s="201"/>
      <c r="JCQ171" s="200"/>
      <c r="JCR171" s="202"/>
      <c r="JCS171" s="203"/>
      <c r="JCT171" s="124"/>
      <c r="JCV171" s="126"/>
      <c r="JCW171" s="124"/>
      <c r="JCY171" s="111"/>
      <c r="JDA171" s="200"/>
      <c r="JDB171" s="201"/>
      <c r="JDC171" s="201"/>
      <c r="JDD171" s="200"/>
      <c r="JDE171" s="202"/>
      <c r="JDF171" s="203"/>
      <c r="JDG171" s="124"/>
      <c r="JDI171" s="126"/>
      <c r="JDJ171" s="124"/>
      <c r="JDL171" s="111"/>
      <c r="JDN171" s="200"/>
      <c r="JDO171" s="201"/>
      <c r="JDP171" s="201"/>
      <c r="JDQ171" s="200"/>
      <c r="JDR171" s="202"/>
      <c r="JDS171" s="203"/>
      <c r="JDT171" s="124"/>
      <c r="JDV171" s="126"/>
      <c r="JDW171" s="124"/>
      <c r="JDY171" s="111"/>
      <c r="JEA171" s="200"/>
      <c r="JEB171" s="201"/>
      <c r="JEC171" s="201"/>
      <c r="JED171" s="200"/>
      <c r="JEE171" s="202"/>
      <c r="JEF171" s="203"/>
      <c r="JEG171" s="124"/>
      <c r="JEI171" s="126"/>
      <c r="JEJ171" s="124"/>
      <c r="JEL171" s="111"/>
      <c r="JEN171" s="200"/>
      <c r="JEO171" s="201"/>
      <c r="JEP171" s="201"/>
      <c r="JEQ171" s="200"/>
      <c r="JER171" s="202"/>
      <c r="JES171" s="203"/>
      <c r="JET171" s="124"/>
      <c r="JEV171" s="126"/>
      <c r="JEW171" s="124"/>
      <c r="JEY171" s="111"/>
      <c r="JFA171" s="200"/>
      <c r="JFB171" s="201"/>
      <c r="JFC171" s="201"/>
      <c r="JFD171" s="200"/>
      <c r="JFE171" s="202"/>
      <c r="JFF171" s="203"/>
      <c r="JFG171" s="124"/>
      <c r="JFI171" s="126"/>
      <c r="JFJ171" s="124"/>
      <c r="JFL171" s="111"/>
      <c r="JFN171" s="200"/>
      <c r="JFO171" s="201"/>
      <c r="JFP171" s="201"/>
      <c r="JFQ171" s="200"/>
      <c r="JFR171" s="202"/>
      <c r="JFS171" s="203"/>
      <c r="JFT171" s="124"/>
      <c r="JFV171" s="126"/>
      <c r="JFW171" s="124"/>
      <c r="JFY171" s="111"/>
      <c r="JGA171" s="200"/>
      <c r="JGB171" s="201"/>
      <c r="JGC171" s="201"/>
      <c r="JGD171" s="200"/>
      <c r="JGE171" s="202"/>
      <c r="JGF171" s="203"/>
      <c r="JGG171" s="124"/>
      <c r="JGI171" s="126"/>
      <c r="JGJ171" s="124"/>
      <c r="JGL171" s="111"/>
      <c r="JGN171" s="200"/>
      <c r="JGO171" s="201"/>
      <c r="JGP171" s="201"/>
      <c r="JGQ171" s="200"/>
      <c r="JGR171" s="202"/>
      <c r="JGS171" s="203"/>
      <c r="JGT171" s="124"/>
      <c r="JGV171" s="126"/>
      <c r="JGW171" s="124"/>
      <c r="JGY171" s="111"/>
      <c r="JHA171" s="200"/>
      <c r="JHB171" s="201"/>
      <c r="JHC171" s="201"/>
      <c r="JHD171" s="200"/>
      <c r="JHE171" s="202"/>
      <c r="JHF171" s="203"/>
      <c r="JHG171" s="124"/>
      <c r="JHI171" s="126"/>
      <c r="JHJ171" s="124"/>
      <c r="JHL171" s="111"/>
      <c r="JHN171" s="200"/>
      <c r="JHO171" s="201"/>
      <c r="JHP171" s="201"/>
      <c r="JHQ171" s="200"/>
      <c r="JHR171" s="202"/>
      <c r="JHS171" s="203"/>
      <c r="JHT171" s="124"/>
      <c r="JHV171" s="126"/>
      <c r="JHW171" s="124"/>
      <c r="JHY171" s="111"/>
      <c r="JIA171" s="200"/>
      <c r="JIB171" s="201"/>
      <c r="JIC171" s="201"/>
      <c r="JID171" s="200"/>
      <c r="JIE171" s="202"/>
      <c r="JIF171" s="203"/>
      <c r="JIG171" s="124"/>
      <c r="JII171" s="126"/>
      <c r="JIJ171" s="124"/>
      <c r="JIL171" s="111"/>
      <c r="JIN171" s="200"/>
      <c r="JIO171" s="201"/>
      <c r="JIP171" s="201"/>
      <c r="JIQ171" s="200"/>
      <c r="JIR171" s="202"/>
      <c r="JIS171" s="203"/>
      <c r="JIT171" s="124"/>
      <c r="JIV171" s="126"/>
      <c r="JIW171" s="124"/>
      <c r="JIY171" s="111"/>
      <c r="JJA171" s="200"/>
      <c r="JJB171" s="201"/>
      <c r="JJC171" s="201"/>
      <c r="JJD171" s="200"/>
      <c r="JJE171" s="202"/>
      <c r="JJF171" s="203"/>
      <c r="JJG171" s="124"/>
      <c r="JJI171" s="126"/>
      <c r="JJJ171" s="124"/>
      <c r="JJL171" s="111"/>
      <c r="JJN171" s="200"/>
      <c r="JJO171" s="201"/>
      <c r="JJP171" s="201"/>
      <c r="JJQ171" s="200"/>
      <c r="JJR171" s="202"/>
      <c r="JJS171" s="203"/>
      <c r="JJT171" s="124"/>
      <c r="JJV171" s="126"/>
      <c r="JJW171" s="124"/>
      <c r="JJY171" s="111"/>
      <c r="JKA171" s="200"/>
      <c r="JKB171" s="201"/>
      <c r="JKC171" s="201"/>
      <c r="JKD171" s="200"/>
      <c r="JKE171" s="202"/>
      <c r="JKF171" s="203"/>
      <c r="JKG171" s="124"/>
      <c r="JKI171" s="126"/>
      <c r="JKJ171" s="124"/>
      <c r="JKL171" s="111"/>
      <c r="JKN171" s="200"/>
      <c r="JKO171" s="201"/>
      <c r="JKP171" s="201"/>
      <c r="JKQ171" s="200"/>
      <c r="JKR171" s="202"/>
      <c r="JKS171" s="203"/>
      <c r="JKT171" s="124"/>
      <c r="JKV171" s="126"/>
      <c r="JKW171" s="124"/>
      <c r="JKY171" s="111"/>
      <c r="JLA171" s="200"/>
      <c r="JLB171" s="201"/>
      <c r="JLC171" s="201"/>
      <c r="JLD171" s="200"/>
      <c r="JLE171" s="202"/>
      <c r="JLF171" s="203"/>
      <c r="JLG171" s="124"/>
      <c r="JLI171" s="126"/>
      <c r="JLJ171" s="124"/>
      <c r="JLL171" s="111"/>
      <c r="JLN171" s="200"/>
      <c r="JLO171" s="201"/>
      <c r="JLP171" s="201"/>
      <c r="JLQ171" s="200"/>
      <c r="JLR171" s="202"/>
      <c r="JLS171" s="203"/>
      <c r="JLT171" s="124"/>
      <c r="JLV171" s="126"/>
      <c r="JLW171" s="124"/>
      <c r="JLY171" s="111"/>
      <c r="JMA171" s="200"/>
      <c r="JMB171" s="201"/>
      <c r="JMC171" s="201"/>
      <c r="JMD171" s="200"/>
      <c r="JME171" s="202"/>
      <c r="JMF171" s="203"/>
      <c r="JMG171" s="124"/>
      <c r="JMI171" s="126"/>
      <c r="JMJ171" s="124"/>
      <c r="JML171" s="111"/>
      <c r="JMN171" s="200"/>
      <c r="JMO171" s="201"/>
      <c r="JMP171" s="201"/>
      <c r="JMQ171" s="200"/>
      <c r="JMR171" s="202"/>
      <c r="JMS171" s="203"/>
      <c r="JMT171" s="124"/>
      <c r="JMV171" s="126"/>
      <c r="JMW171" s="124"/>
      <c r="JMY171" s="111"/>
      <c r="JNA171" s="200"/>
      <c r="JNB171" s="201"/>
      <c r="JNC171" s="201"/>
      <c r="JND171" s="200"/>
      <c r="JNE171" s="202"/>
      <c r="JNF171" s="203"/>
      <c r="JNG171" s="124"/>
      <c r="JNI171" s="126"/>
      <c r="JNJ171" s="124"/>
      <c r="JNL171" s="111"/>
      <c r="JNN171" s="200"/>
      <c r="JNO171" s="201"/>
      <c r="JNP171" s="201"/>
      <c r="JNQ171" s="200"/>
      <c r="JNR171" s="202"/>
      <c r="JNS171" s="203"/>
      <c r="JNT171" s="124"/>
      <c r="JNV171" s="126"/>
      <c r="JNW171" s="124"/>
      <c r="JNY171" s="111"/>
      <c r="JOA171" s="200"/>
      <c r="JOB171" s="201"/>
      <c r="JOC171" s="201"/>
      <c r="JOD171" s="200"/>
      <c r="JOE171" s="202"/>
      <c r="JOF171" s="203"/>
      <c r="JOG171" s="124"/>
      <c r="JOI171" s="126"/>
      <c r="JOJ171" s="124"/>
      <c r="JOL171" s="111"/>
      <c r="JON171" s="200"/>
      <c r="JOO171" s="201"/>
      <c r="JOP171" s="201"/>
      <c r="JOQ171" s="200"/>
      <c r="JOR171" s="202"/>
      <c r="JOS171" s="203"/>
      <c r="JOT171" s="124"/>
      <c r="JOV171" s="126"/>
      <c r="JOW171" s="124"/>
      <c r="JOY171" s="111"/>
      <c r="JPA171" s="200"/>
      <c r="JPB171" s="201"/>
      <c r="JPC171" s="201"/>
      <c r="JPD171" s="200"/>
      <c r="JPE171" s="202"/>
      <c r="JPF171" s="203"/>
      <c r="JPG171" s="124"/>
      <c r="JPI171" s="126"/>
      <c r="JPJ171" s="124"/>
      <c r="JPL171" s="111"/>
      <c r="JPN171" s="200"/>
      <c r="JPO171" s="201"/>
      <c r="JPP171" s="201"/>
      <c r="JPQ171" s="200"/>
      <c r="JPR171" s="202"/>
      <c r="JPS171" s="203"/>
      <c r="JPT171" s="124"/>
      <c r="JPV171" s="126"/>
      <c r="JPW171" s="124"/>
      <c r="JPY171" s="111"/>
      <c r="JQA171" s="200"/>
      <c r="JQB171" s="201"/>
      <c r="JQC171" s="201"/>
      <c r="JQD171" s="200"/>
      <c r="JQE171" s="202"/>
      <c r="JQF171" s="203"/>
      <c r="JQG171" s="124"/>
      <c r="JQI171" s="126"/>
      <c r="JQJ171" s="124"/>
      <c r="JQL171" s="111"/>
      <c r="JQN171" s="200"/>
      <c r="JQO171" s="201"/>
      <c r="JQP171" s="201"/>
      <c r="JQQ171" s="200"/>
      <c r="JQR171" s="202"/>
      <c r="JQS171" s="203"/>
      <c r="JQT171" s="124"/>
      <c r="JQV171" s="126"/>
      <c r="JQW171" s="124"/>
      <c r="JQY171" s="111"/>
      <c r="JRA171" s="200"/>
      <c r="JRB171" s="201"/>
      <c r="JRC171" s="201"/>
      <c r="JRD171" s="200"/>
      <c r="JRE171" s="202"/>
      <c r="JRF171" s="203"/>
      <c r="JRG171" s="124"/>
      <c r="JRI171" s="126"/>
      <c r="JRJ171" s="124"/>
      <c r="JRL171" s="111"/>
      <c r="JRN171" s="200"/>
      <c r="JRO171" s="201"/>
      <c r="JRP171" s="201"/>
      <c r="JRQ171" s="200"/>
      <c r="JRR171" s="202"/>
      <c r="JRS171" s="203"/>
      <c r="JRT171" s="124"/>
      <c r="JRV171" s="126"/>
      <c r="JRW171" s="124"/>
      <c r="JRY171" s="111"/>
      <c r="JSA171" s="200"/>
      <c r="JSB171" s="201"/>
      <c r="JSC171" s="201"/>
      <c r="JSD171" s="200"/>
      <c r="JSE171" s="202"/>
      <c r="JSF171" s="203"/>
      <c r="JSG171" s="124"/>
      <c r="JSI171" s="126"/>
      <c r="JSJ171" s="124"/>
      <c r="JSL171" s="111"/>
      <c r="JSN171" s="200"/>
      <c r="JSO171" s="201"/>
      <c r="JSP171" s="201"/>
      <c r="JSQ171" s="200"/>
      <c r="JSR171" s="202"/>
      <c r="JSS171" s="203"/>
      <c r="JST171" s="124"/>
      <c r="JSV171" s="126"/>
      <c r="JSW171" s="124"/>
      <c r="JSY171" s="111"/>
      <c r="JTA171" s="200"/>
      <c r="JTB171" s="201"/>
      <c r="JTC171" s="201"/>
      <c r="JTD171" s="200"/>
      <c r="JTE171" s="202"/>
      <c r="JTF171" s="203"/>
      <c r="JTG171" s="124"/>
      <c r="JTI171" s="126"/>
      <c r="JTJ171" s="124"/>
      <c r="JTL171" s="111"/>
      <c r="JTN171" s="200"/>
      <c r="JTO171" s="201"/>
      <c r="JTP171" s="201"/>
      <c r="JTQ171" s="200"/>
      <c r="JTR171" s="202"/>
      <c r="JTS171" s="203"/>
      <c r="JTT171" s="124"/>
      <c r="JTV171" s="126"/>
      <c r="JTW171" s="124"/>
      <c r="JTY171" s="111"/>
      <c r="JUA171" s="200"/>
      <c r="JUB171" s="201"/>
      <c r="JUC171" s="201"/>
      <c r="JUD171" s="200"/>
      <c r="JUE171" s="202"/>
      <c r="JUF171" s="203"/>
      <c r="JUG171" s="124"/>
      <c r="JUI171" s="126"/>
      <c r="JUJ171" s="124"/>
      <c r="JUL171" s="111"/>
      <c r="JUN171" s="200"/>
      <c r="JUO171" s="201"/>
      <c r="JUP171" s="201"/>
      <c r="JUQ171" s="200"/>
      <c r="JUR171" s="202"/>
      <c r="JUS171" s="203"/>
      <c r="JUT171" s="124"/>
      <c r="JUV171" s="126"/>
      <c r="JUW171" s="124"/>
      <c r="JUY171" s="111"/>
      <c r="JVA171" s="200"/>
      <c r="JVB171" s="201"/>
      <c r="JVC171" s="201"/>
      <c r="JVD171" s="200"/>
      <c r="JVE171" s="202"/>
      <c r="JVF171" s="203"/>
      <c r="JVG171" s="124"/>
      <c r="JVI171" s="126"/>
      <c r="JVJ171" s="124"/>
      <c r="JVL171" s="111"/>
      <c r="JVN171" s="200"/>
      <c r="JVO171" s="201"/>
      <c r="JVP171" s="201"/>
      <c r="JVQ171" s="200"/>
      <c r="JVR171" s="202"/>
      <c r="JVS171" s="203"/>
      <c r="JVT171" s="124"/>
      <c r="JVV171" s="126"/>
      <c r="JVW171" s="124"/>
      <c r="JVY171" s="111"/>
      <c r="JWA171" s="200"/>
      <c r="JWB171" s="201"/>
      <c r="JWC171" s="201"/>
      <c r="JWD171" s="200"/>
      <c r="JWE171" s="202"/>
      <c r="JWF171" s="203"/>
      <c r="JWG171" s="124"/>
      <c r="JWI171" s="126"/>
      <c r="JWJ171" s="124"/>
      <c r="JWL171" s="111"/>
      <c r="JWN171" s="200"/>
      <c r="JWO171" s="201"/>
      <c r="JWP171" s="201"/>
      <c r="JWQ171" s="200"/>
      <c r="JWR171" s="202"/>
      <c r="JWS171" s="203"/>
      <c r="JWT171" s="124"/>
      <c r="JWV171" s="126"/>
      <c r="JWW171" s="124"/>
      <c r="JWY171" s="111"/>
      <c r="JXA171" s="200"/>
      <c r="JXB171" s="201"/>
      <c r="JXC171" s="201"/>
      <c r="JXD171" s="200"/>
      <c r="JXE171" s="202"/>
      <c r="JXF171" s="203"/>
      <c r="JXG171" s="124"/>
      <c r="JXI171" s="126"/>
      <c r="JXJ171" s="124"/>
      <c r="JXL171" s="111"/>
      <c r="JXN171" s="200"/>
      <c r="JXO171" s="201"/>
      <c r="JXP171" s="201"/>
      <c r="JXQ171" s="200"/>
      <c r="JXR171" s="202"/>
      <c r="JXS171" s="203"/>
      <c r="JXT171" s="124"/>
      <c r="JXV171" s="126"/>
      <c r="JXW171" s="124"/>
      <c r="JXY171" s="111"/>
      <c r="JYA171" s="200"/>
      <c r="JYB171" s="201"/>
      <c r="JYC171" s="201"/>
      <c r="JYD171" s="200"/>
      <c r="JYE171" s="202"/>
      <c r="JYF171" s="203"/>
      <c r="JYG171" s="124"/>
      <c r="JYI171" s="126"/>
      <c r="JYJ171" s="124"/>
      <c r="JYL171" s="111"/>
      <c r="JYN171" s="200"/>
      <c r="JYO171" s="201"/>
      <c r="JYP171" s="201"/>
      <c r="JYQ171" s="200"/>
      <c r="JYR171" s="202"/>
      <c r="JYS171" s="203"/>
      <c r="JYT171" s="124"/>
      <c r="JYV171" s="126"/>
      <c r="JYW171" s="124"/>
      <c r="JYY171" s="111"/>
      <c r="JZA171" s="200"/>
      <c r="JZB171" s="201"/>
      <c r="JZC171" s="201"/>
      <c r="JZD171" s="200"/>
      <c r="JZE171" s="202"/>
      <c r="JZF171" s="203"/>
      <c r="JZG171" s="124"/>
      <c r="JZI171" s="126"/>
      <c r="JZJ171" s="124"/>
      <c r="JZL171" s="111"/>
      <c r="JZN171" s="200"/>
      <c r="JZO171" s="201"/>
      <c r="JZP171" s="201"/>
      <c r="JZQ171" s="200"/>
      <c r="JZR171" s="202"/>
      <c r="JZS171" s="203"/>
      <c r="JZT171" s="124"/>
      <c r="JZV171" s="126"/>
      <c r="JZW171" s="124"/>
      <c r="JZY171" s="111"/>
      <c r="KAA171" s="200"/>
      <c r="KAB171" s="201"/>
      <c r="KAC171" s="201"/>
      <c r="KAD171" s="200"/>
      <c r="KAE171" s="202"/>
      <c r="KAF171" s="203"/>
      <c r="KAG171" s="124"/>
      <c r="KAI171" s="126"/>
      <c r="KAJ171" s="124"/>
      <c r="KAL171" s="111"/>
      <c r="KAN171" s="200"/>
      <c r="KAO171" s="201"/>
      <c r="KAP171" s="201"/>
      <c r="KAQ171" s="200"/>
      <c r="KAR171" s="202"/>
      <c r="KAS171" s="203"/>
      <c r="KAT171" s="124"/>
      <c r="KAV171" s="126"/>
      <c r="KAW171" s="124"/>
      <c r="KAY171" s="111"/>
      <c r="KBA171" s="200"/>
      <c r="KBB171" s="201"/>
      <c r="KBC171" s="201"/>
      <c r="KBD171" s="200"/>
      <c r="KBE171" s="202"/>
      <c r="KBF171" s="203"/>
      <c r="KBG171" s="124"/>
      <c r="KBI171" s="126"/>
      <c r="KBJ171" s="124"/>
      <c r="KBL171" s="111"/>
      <c r="KBN171" s="200"/>
      <c r="KBO171" s="201"/>
      <c r="KBP171" s="201"/>
      <c r="KBQ171" s="200"/>
      <c r="KBR171" s="202"/>
      <c r="KBS171" s="203"/>
      <c r="KBT171" s="124"/>
      <c r="KBV171" s="126"/>
      <c r="KBW171" s="124"/>
      <c r="KBY171" s="111"/>
      <c r="KCA171" s="200"/>
      <c r="KCB171" s="201"/>
      <c r="KCC171" s="201"/>
      <c r="KCD171" s="200"/>
      <c r="KCE171" s="202"/>
      <c r="KCF171" s="203"/>
      <c r="KCG171" s="124"/>
      <c r="KCI171" s="126"/>
      <c r="KCJ171" s="124"/>
      <c r="KCL171" s="111"/>
      <c r="KCN171" s="200"/>
      <c r="KCO171" s="201"/>
      <c r="KCP171" s="201"/>
      <c r="KCQ171" s="200"/>
      <c r="KCR171" s="202"/>
      <c r="KCS171" s="203"/>
      <c r="KCT171" s="124"/>
      <c r="KCV171" s="126"/>
      <c r="KCW171" s="124"/>
      <c r="KCY171" s="111"/>
      <c r="KDA171" s="200"/>
      <c r="KDB171" s="201"/>
      <c r="KDC171" s="201"/>
      <c r="KDD171" s="200"/>
      <c r="KDE171" s="202"/>
      <c r="KDF171" s="203"/>
      <c r="KDG171" s="124"/>
      <c r="KDI171" s="126"/>
      <c r="KDJ171" s="124"/>
      <c r="KDL171" s="111"/>
      <c r="KDN171" s="200"/>
      <c r="KDO171" s="201"/>
      <c r="KDP171" s="201"/>
      <c r="KDQ171" s="200"/>
      <c r="KDR171" s="202"/>
      <c r="KDS171" s="203"/>
      <c r="KDT171" s="124"/>
      <c r="KDV171" s="126"/>
      <c r="KDW171" s="124"/>
      <c r="KDY171" s="111"/>
      <c r="KEA171" s="200"/>
      <c r="KEB171" s="201"/>
      <c r="KEC171" s="201"/>
      <c r="KED171" s="200"/>
      <c r="KEE171" s="202"/>
      <c r="KEF171" s="203"/>
      <c r="KEG171" s="124"/>
      <c r="KEI171" s="126"/>
      <c r="KEJ171" s="124"/>
      <c r="KEL171" s="111"/>
      <c r="KEN171" s="200"/>
      <c r="KEO171" s="201"/>
      <c r="KEP171" s="201"/>
      <c r="KEQ171" s="200"/>
      <c r="KER171" s="202"/>
      <c r="KES171" s="203"/>
      <c r="KET171" s="124"/>
      <c r="KEV171" s="126"/>
      <c r="KEW171" s="124"/>
      <c r="KEY171" s="111"/>
      <c r="KFA171" s="200"/>
      <c r="KFB171" s="201"/>
      <c r="KFC171" s="201"/>
      <c r="KFD171" s="200"/>
      <c r="KFE171" s="202"/>
      <c r="KFF171" s="203"/>
      <c r="KFG171" s="124"/>
      <c r="KFI171" s="126"/>
      <c r="KFJ171" s="124"/>
      <c r="KFL171" s="111"/>
      <c r="KFN171" s="200"/>
      <c r="KFO171" s="201"/>
      <c r="KFP171" s="201"/>
      <c r="KFQ171" s="200"/>
      <c r="KFR171" s="202"/>
      <c r="KFS171" s="203"/>
      <c r="KFT171" s="124"/>
      <c r="KFV171" s="126"/>
      <c r="KFW171" s="124"/>
      <c r="KFY171" s="111"/>
      <c r="KGA171" s="200"/>
      <c r="KGB171" s="201"/>
      <c r="KGC171" s="201"/>
      <c r="KGD171" s="200"/>
      <c r="KGE171" s="202"/>
      <c r="KGF171" s="203"/>
      <c r="KGG171" s="124"/>
      <c r="KGI171" s="126"/>
      <c r="KGJ171" s="124"/>
      <c r="KGL171" s="111"/>
      <c r="KGN171" s="200"/>
      <c r="KGO171" s="201"/>
      <c r="KGP171" s="201"/>
      <c r="KGQ171" s="200"/>
      <c r="KGR171" s="202"/>
      <c r="KGS171" s="203"/>
      <c r="KGT171" s="124"/>
      <c r="KGV171" s="126"/>
      <c r="KGW171" s="124"/>
      <c r="KGY171" s="111"/>
      <c r="KHA171" s="200"/>
      <c r="KHB171" s="201"/>
      <c r="KHC171" s="201"/>
      <c r="KHD171" s="200"/>
      <c r="KHE171" s="202"/>
      <c r="KHF171" s="203"/>
      <c r="KHG171" s="124"/>
      <c r="KHI171" s="126"/>
      <c r="KHJ171" s="124"/>
      <c r="KHL171" s="111"/>
      <c r="KHN171" s="200"/>
      <c r="KHO171" s="201"/>
      <c r="KHP171" s="201"/>
      <c r="KHQ171" s="200"/>
      <c r="KHR171" s="202"/>
      <c r="KHS171" s="203"/>
      <c r="KHT171" s="124"/>
      <c r="KHV171" s="126"/>
      <c r="KHW171" s="124"/>
      <c r="KHY171" s="111"/>
      <c r="KIA171" s="200"/>
      <c r="KIB171" s="201"/>
      <c r="KIC171" s="201"/>
      <c r="KID171" s="200"/>
      <c r="KIE171" s="202"/>
      <c r="KIF171" s="203"/>
      <c r="KIG171" s="124"/>
      <c r="KII171" s="126"/>
      <c r="KIJ171" s="124"/>
      <c r="KIL171" s="111"/>
      <c r="KIN171" s="200"/>
      <c r="KIO171" s="201"/>
      <c r="KIP171" s="201"/>
      <c r="KIQ171" s="200"/>
      <c r="KIR171" s="202"/>
      <c r="KIS171" s="203"/>
      <c r="KIT171" s="124"/>
      <c r="KIV171" s="126"/>
      <c r="KIW171" s="124"/>
      <c r="KIY171" s="111"/>
      <c r="KJA171" s="200"/>
      <c r="KJB171" s="201"/>
      <c r="KJC171" s="201"/>
      <c r="KJD171" s="200"/>
      <c r="KJE171" s="202"/>
      <c r="KJF171" s="203"/>
      <c r="KJG171" s="124"/>
      <c r="KJI171" s="126"/>
      <c r="KJJ171" s="124"/>
      <c r="KJL171" s="111"/>
      <c r="KJN171" s="200"/>
      <c r="KJO171" s="201"/>
      <c r="KJP171" s="201"/>
      <c r="KJQ171" s="200"/>
      <c r="KJR171" s="202"/>
      <c r="KJS171" s="203"/>
      <c r="KJT171" s="124"/>
      <c r="KJV171" s="126"/>
      <c r="KJW171" s="124"/>
      <c r="KJY171" s="111"/>
      <c r="KKA171" s="200"/>
      <c r="KKB171" s="201"/>
      <c r="KKC171" s="201"/>
      <c r="KKD171" s="200"/>
      <c r="KKE171" s="202"/>
      <c r="KKF171" s="203"/>
      <c r="KKG171" s="124"/>
      <c r="KKI171" s="126"/>
      <c r="KKJ171" s="124"/>
      <c r="KKL171" s="111"/>
      <c r="KKN171" s="200"/>
      <c r="KKO171" s="201"/>
      <c r="KKP171" s="201"/>
      <c r="KKQ171" s="200"/>
      <c r="KKR171" s="202"/>
      <c r="KKS171" s="203"/>
      <c r="KKT171" s="124"/>
      <c r="KKV171" s="126"/>
      <c r="KKW171" s="124"/>
      <c r="KKY171" s="111"/>
      <c r="KLA171" s="200"/>
      <c r="KLB171" s="201"/>
      <c r="KLC171" s="201"/>
      <c r="KLD171" s="200"/>
      <c r="KLE171" s="202"/>
      <c r="KLF171" s="203"/>
      <c r="KLG171" s="124"/>
      <c r="KLI171" s="126"/>
      <c r="KLJ171" s="124"/>
      <c r="KLL171" s="111"/>
      <c r="KLN171" s="200"/>
      <c r="KLO171" s="201"/>
      <c r="KLP171" s="201"/>
      <c r="KLQ171" s="200"/>
      <c r="KLR171" s="202"/>
      <c r="KLS171" s="203"/>
      <c r="KLT171" s="124"/>
      <c r="KLV171" s="126"/>
      <c r="KLW171" s="124"/>
      <c r="KLY171" s="111"/>
      <c r="KMA171" s="200"/>
      <c r="KMB171" s="201"/>
      <c r="KMC171" s="201"/>
      <c r="KMD171" s="200"/>
      <c r="KME171" s="202"/>
      <c r="KMF171" s="203"/>
      <c r="KMG171" s="124"/>
      <c r="KMI171" s="126"/>
      <c r="KMJ171" s="124"/>
      <c r="KML171" s="111"/>
      <c r="KMN171" s="200"/>
      <c r="KMO171" s="201"/>
      <c r="KMP171" s="201"/>
      <c r="KMQ171" s="200"/>
      <c r="KMR171" s="202"/>
      <c r="KMS171" s="203"/>
      <c r="KMT171" s="124"/>
      <c r="KMV171" s="126"/>
      <c r="KMW171" s="124"/>
      <c r="KMY171" s="111"/>
      <c r="KNA171" s="200"/>
      <c r="KNB171" s="201"/>
      <c r="KNC171" s="201"/>
      <c r="KND171" s="200"/>
      <c r="KNE171" s="202"/>
      <c r="KNF171" s="203"/>
      <c r="KNG171" s="124"/>
      <c r="KNI171" s="126"/>
      <c r="KNJ171" s="124"/>
      <c r="KNL171" s="111"/>
      <c r="KNN171" s="200"/>
      <c r="KNO171" s="201"/>
      <c r="KNP171" s="201"/>
      <c r="KNQ171" s="200"/>
      <c r="KNR171" s="202"/>
      <c r="KNS171" s="203"/>
      <c r="KNT171" s="124"/>
      <c r="KNV171" s="126"/>
      <c r="KNW171" s="124"/>
      <c r="KNY171" s="111"/>
      <c r="KOA171" s="200"/>
      <c r="KOB171" s="201"/>
      <c r="KOC171" s="201"/>
      <c r="KOD171" s="200"/>
      <c r="KOE171" s="202"/>
      <c r="KOF171" s="203"/>
      <c r="KOG171" s="124"/>
      <c r="KOI171" s="126"/>
      <c r="KOJ171" s="124"/>
      <c r="KOL171" s="111"/>
      <c r="KON171" s="200"/>
      <c r="KOO171" s="201"/>
      <c r="KOP171" s="201"/>
      <c r="KOQ171" s="200"/>
      <c r="KOR171" s="202"/>
      <c r="KOS171" s="203"/>
      <c r="KOT171" s="124"/>
      <c r="KOV171" s="126"/>
      <c r="KOW171" s="124"/>
      <c r="KOY171" s="111"/>
      <c r="KPA171" s="200"/>
      <c r="KPB171" s="201"/>
      <c r="KPC171" s="201"/>
      <c r="KPD171" s="200"/>
      <c r="KPE171" s="202"/>
      <c r="KPF171" s="203"/>
      <c r="KPG171" s="124"/>
      <c r="KPI171" s="126"/>
      <c r="KPJ171" s="124"/>
      <c r="KPL171" s="111"/>
      <c r="KPN171" s="200"/>
      <c r="KPO171" s="201"/>
      <c r="KPP171" s="201"/>
      <c r="KPQ171" s="200"/>
      <c r="KPR171" s="202"/>
      <c r="KPS171" s="203"/>
      <c r="KPT171" s="124"/>
      <c r="KPV171" s="126"/>
      <c r="KPW171" s="124"/>
      <c r="KPY171" s="111"/>
      <c r="KQA171" s="200"/>
      <c r="KQB171" s="201"/>
      <c r="KQC171" s="201"/>
      <c r="KQD171" s="200"/>
      <c r="KQE171" s="202"/>
      <c r="KQF171" s="203"/>
      <c r="KQG171" s="124"/>
      <c r="KQI171" s="126"/>
      <c r="KQJ171" s="124"/>
      <c r="KQL171" s="111"/>
      <c r="KQN171" s="200"/>
      <c r="KQO171" s="201"/>
      <c r="KQP171" s="201"/>
      <c r="KQQ171" s="200"/>
      <c r="KQR171" s="202"/>
      <c r="KQS171" s="203"/>
      <c r="KQT171" s="124"/>
      <c r="KQV171" s="126"/>
      <c r="KQW171" s="124"/>
      <c r="KQY171" s="111"/>
      <c r="KRA171" s="200"/>
      <c r="KRB171" s="201"/>
      <c r="KRC171" s="201"/>
      <c r="KRD171" s="200"/>
      <c r="KRE171" s="202"/>
      <c r="KRF171" s="203"/>
      <c r="KRG171" s="124"/>
      <c r="KRI171" s="126"/>
      <c r="KRJ171" s="124"/>
      <c r="KRL171" s="111"/>
      <c r="KRN171" s="200"/>
      <c r="KRO171" s="201"/>
      <c r="KRP171" s="201"/>
      <c r="KRQ171" s="200"/>
      <c r="KRR171" s="202"/>
      <c r="KRS171" s="203"/>
      <c r="KRT171" s="124"/>
      <c r="KRV171" s="126"/>
      <c r="KRW171" s="124"/>
      <c r="KRY171" s="111"/>
      <c r="KSA171" s="200"/>
      <c r="KSB171" s="201"/>
      <c r="KSC171" s="201"/>
      <c r="KSD171" s="200"/>
      <c r="KSE171" s="202"/>
      <c r="KSF171" s="203"/>
      <c r="KSG171" s="124"/>
      <c r="KSI171" s="126"/>
      <c r="KSJ171" s="124"/>
      <c r="KSL171" s="111"/>
      <c r="KSN171" s="200"/>
      <c r="KSO171" s="201"/>
      <c r="KSP171" s="201"/>
      <c r="KSQ171" s="200"/>
      <c r="KSR171" s="202"/>
      <c r="KSS171" s="203"/>
      <c r="KST171" s="124"/>
      <c r="KSV171" s="126"/>
      <c r="KSW171" s="124"/>
      <c r="KSY171" s="111"/>
      <c r="KTA171" s="200"/>
      <c r="KTB171" s="201"/>
      <c r="KTC171" s="201"/>
      <c r="KTD171" s="200"/>
      <c r="KTE171" s="202"/>
      <c r="KTF171" s="203"/>
      <c r="KTG171" s="124"/>
      <c r="KTI171" s="126"/>
      <c r="KTJ171" s="124"/>
      <c r="KTL171" s="111"/>
      <c r="KTN171" s="200"/>
      <c r="KTO171" s="201"/>
      <c r="KTP171" s="201"/>
      <c r="KTQ171" s="200"/>
      <c r="KTR171" s="202"/>
      <c r="KTS171" s="203"/>
      <c r="KTT171" s="124"/>
      <c r="KTV171" s="126"/>
      <c r="KTW171" s="124"/>
      <c r="KTY171" s="111"/>
      <c r="KUA171" s="200"/>
      <c r="KUB171" s="201"/>
      <c r="KUC171" s="201"/>
      <c r="KUD171" s="200"/>
      <c r="KUE171" s="202"/>
      <c r="KUF171" s="203"/>
      <c r="KUG171" s="124"/>
      <c r="KUI171" s="126"/>
      <c r="KUJ171" s="124"/>
      <c r="KUL171" s="111"/>
      <c r="KUN171" s="200"/>
      <c r="KUO171" s="201"/>
      <c r="KUP171" s="201"/>
      <c r="KUQ171" s="200"/>
      <c r="KUR171" s="202"/>
      <c r="KUS171" s="203"/>
      <c r="KUT171" s="124"/>
      <c r="KUV171" s="126"/>
      <c r="KUW171" s="124"/>
      <c r="KUY171" s="111"/>
      <c r="KVA171" s="200"/>
      <c r="KVB171" s="201"/>
      <c r="KVC171" s="201"/>
      <c r="KVD171" s="200"/>
      <c r="KVE171" s="202"/>
      <c r="KVF171" s="203"/>
      <c r="KVG171" s="124"/>
      <c r="KVI171" s="126"/>
      <c r="KVJ171" s="124"/>
      <c r="KVL171" s="111"/>
      <c r="KVN171" s="200"/>
      <c r="KVO171" s="201"/>
      <c r="KVP171" s="201"/>
      <c r="KVQ171" s="200"/>
      <c r="KVR171" s="202"/>
      <c r="KVS171" s="203"/>
      <c r="KVT171" s="124"/>
      <c r="KVV171" s="126"/>
      <c r="KVW171" s="124"/>
      <c r="KVY171" s="111"/>
      <c r="KWA171" s="200"/>
      <c r="KWB171" s="201"/>
      <c r="KWC171" s="201"/>
      <c r="KWD171" s="200"/>
      <c r="KWE171" s="202"/>
      <c r="KWF171" s="203"/>
      <c r="KWG171" s="124"/>
      <c r="KWI171" s="126"/>
      <c r="KWJ171" s="124"/>
      <c r="KWL171" s="111"/>
      <c r="KWN171" s="200"/>
      <c r="KWO171" s="201"/>
      <c r="KWP171" s="201"/>
      <c r="KWQ171" s="200"/>
      <c r="KWR171" s="202"/>
      <c r="KWS171" s="203"/>
      <c r="KWT171" s="124"/>
      <c r="KWV171" s="126"/>
      <c r="KWW171" s="124"/>
      <c r="KWY171" s="111"/>
      <c r="KXA171" s="200"/>
      <c r="KXB171" s="201"/>
      <c r="KXC171" s="201"/>
      <c r="KXD171" s="200"/>
      <c r="KXE171" s="202"/>
      <c r="KXF171" s="203"/>
      <c r="KXG171" s="124"/>
      <c r="KXI171" s="126"/>
      <c r="KXJ171" s="124"/>
      <c r="KXL171" s="111"/>
      <c r="KXN171" s="200"/>
      <c r="KXO171" s="201"/>
      <c r="KXP171" s="201"/>
      <c r="KXQ171" s="200"/>
      <c r="KXR171" s="202"/>
      <c r="KXS171" s="203"/>
      <c r="KXT171" s="124"/>
      <c r="KXV171" s="126"/>
      <c r="KXW171" s="124"/>
      <c r="KXY171" s="111"/>
      <c r="KYA171" s="200"/>
      <c r="KYB171" s="201"/>
      <c r="KYC171" s="201"/>
      <c r="KYD171" s="200"/>
      <c r="KYE171" s="202"/>
      <c r="KYF171" s="203"/>
      <c r="KYG171" s="124"/>
      <c r="KYI171" s="126"/>
      <c r="KYJ171" s="124"/>
      <c r="KYL171" s="111"/>
      <c r="KYN171" s="200"/>
      <c r="KYO171" s="201"/>
      <c r="KYP171" s="201"/>
      <c r="KYQ171" s="200"/>
      <c r="KYR171" s="202"/>
      <c r="KYS171" s="203"/>
      <c r="KYT171" s="124"/>
      <c r="KYV171" s="126"/>
      <c r="KYW171" s="124"/>
      <c r="KYY171" s="111"/>
      <c r="KZA171" s="200"/>
      <c r="KZB171" s="201"/>
      <c r="KZC171" s="201"/>
      <c r="KZD171" s="200"/>
      <c r="KZE171" s="202"/>
      <c r="KZF171" s="203"/>
      <c r="KZG171" s="124"/>
      <c r="KZI171" s="126"/>
      <c r="KZJ171" s="124"/>
      <c r="KZL171" s="111"/>
      <c r="KZN171" s="200"/>
      <c r="KZO171" s="201"/>
      <c r="KZP171" s="201"/>
      <c r="KZQ171" s="200"/>
      <c r="KZR171" s="202"/>
      <c r="KZS171" s="203"/>
      <c r="KZT171" s="124"/>
      <c r="KZV171" s="126"/>
      <c r="KZW171" s="124"/>
      <c r="KZY171" s="111"/>
      <c r="LAA171" s="200"/>
      <c r="LAB171" s="201"/>
      <c r="LAC171" s="201"/>
      <c r="LAD171" s="200"/>
      <c r="LAE171" s="202"/>
      <c r="LAF171" s="203"/>
      <c r="LAG171" s="124"/>
      <c r="LAI171" s="126"/>
      <c r="LAJ171" s="124"/>
      <c r="LAL171" s="111"/>
      <c r="LAN171" s="200"/>
      <c r="LAO171" s="201"/>
      <c r="LAP171" s="201"/>
      <c r="LAQ171" s="200"/>
      <c r="LAR171" s="202"/>
      <c r="LAS171" s="203"/>
      <c r="LAT171" s="124"/>
      <c r="LAV171" s="126"/>
      <c r="LAW171" s="124"/>
      <c r="LAY171" s="111"/>
      <c r="LBA171" s="200"/>
      <c r="LBB171" s="201"/>
      <c r="LBC171" s="201"/>
      <c r="LBD171" s="200"/>
      <c r="LBE171" s="202"/>
      <c r="LBF171" s="203"/>
      <c r="LBG171" s="124"/>
      <c r="LBI171" s="126"/>
      <c r="LBJ171" s="124"/>
      <c r="LBL171" s="111"/>
      <c r="LBN171" s="200"/>
      <c r="LBO171" s="201"/>
      <c r="LBP171" s="201"/>
      <c r="LBQ171" s="200"/>
      <c r="LBR171" s="202"/>
      <c r="LBS171" s="203"/>
      <c r="LBT171" s="124"/>
      <c r="LBV171" s="126"/>
      <c r="LBW171" s="124"/>
      <c r="LBY171" s="111"/>
      <c r="LCA171" s="200"/>
      <c r="LCB171" s="201"/>
      <c r="LCC171" s="201"/>
      <c r="LCD171" s="200"/>
      <c r="LCE171" s="202"/>
      <c r="LCF171" s="203"/>
      <c r="LCG171" s="124"/>
      <c r="LCI171" s="126"/>
      <c r="LCJ171" s="124"/>
      <c r="LCL171" s="111"/>
      <c r="LCN171" s="200"/>
      <c r="LCO171" s="201"/>
      <c r="LCP171" s="201"/>
      <c r="LCQ171" s="200"/>
      <c r="LCR171" s="202"/>
      <c r="LCS171" s="203"/>
      <c r="LCT171" s="124"/>
      <c r="LCV171" s="126"/>
      <c r="LCW171" s="124"/>
      <c r="LCY171" s="111"/>
      <c r="LDA171" s="200"/>
      <c r="LDB171" s="201"/>
      <c r="LDC171" s="201"/>
      <c r="LDD171" s="200"/>
      <c r="LDE171" s="202"/>
      <c r="LDF171" s="203"/>
      <c r="LDG171" s="124"/>
      <c r="LDI171" s="126"/>
      <c r="LDJ171" s="124"/>
      <c r="LDL171" s="111"/>
      <c r="LDN171" s="200"/>
      <c r="LDO171" s="201"/>
      <c r="LDP171" s="201"/>
      <c r="LDQ171" s="200"/>
      <c r="LDR171" s="202"/>
      <c r="LDS171" s="203"/>
      <c r="LDT171" s="124"/>
      <c r="LDV171" s="126"/>
      <c r="LDW171" s="124"/>
      <c r="LDY171" s="111"/>
      <c r="LEA171" s="200"/>
      <c r="LEB171" s="201"/>
      <c r="LEC171" s="201"/>
      <c r="LED171" s="200"/>
      <c r="LEE171" s="202"/>
      <c r="LEF171" s="203"/>
      <c r="LEG171" s="124"/>
      <c r="LEI171" s="126"/>
      <c r="LEJ171" s="124"/>
      <c r="LEL171" s="111"/>
      <c r="LEN171" s="200"/>
      <c r="LEO171" s="201"/>
      <c r="LEP171" s="201"/>
      <c r="LEQ171" s="200"/>
      <c r="LER171" s="202"/>
      <c r="LES171" s="203"/>
      <c r="LET171" s="124"/>
      <c r="LEV171" s="126"/>
      <c r="LEW171" s="124"/>
      <c r="LEY171" s="111"/>
      <c r="LFA171" s="200"/>
      <c r="LFB171" s="201"/>
      <c r="LFC171" s="201"/>
      <c r="LFD171" s="200"/>
      <c r="LFE171" s="202"/>
      <c r="LFF171" s="203"/>
      <c r="LFG171" s="124"/>
      <c r="LFI171" s="126"/>
      <c r="LFJ171" s="124"/>
      <c r="LFL171" s="111"/>
      <c r="LFN171" s="200"/>
      <c r="LFO171" s="201"/>
      <c r="LFP171" s="201"/>
      <c r="LFQ171" s="200"/>
      <c r="LFR171" s="202"/>
      <c r="LFS171" s="203"/>
      <c r="LFT171" s="124"/>
      <c r="LFV171" s="126"/>
      <c r="LFW171" s="124"/>
      <c r="LFY171" s="111"/>
      <c r="LGA171" s="200"/>
      <c r="LGB171" s="201"/>
      <c r="LGC171" s="201"/>
      <c r="LGD171" s="200"/>
      <c r="LGE171" s="202"/>
      <c r="LGF171" s="203"/>
      <c r="LGG171" s="124"/>
      <c r="LGI171" s="126"/>
      <c r="LGJ171" s="124"/>
      <c r="LGL171" s="111"/>
      <c r="LGN171" s="200"/>
      <c r="LGO171" s="201"/>
      <c r="LGP171" s="201"/>
      <c r="LGQ171" s="200"/>
      <c r="LGR171" s="202"/>
      <c r="LGS171" s="203"/>
      <c r="LGT171" s="124"/>
      <c r="LGV171" s="126"/>
      <c r="LGW171" s="124"/>
      <c r="LGY171" s="111"/>
      <c r="LHA171" s="200"/>
      <c r="LHB171" s="201"/>
      <c r="LHC171" s="201"/>
      <c r="LHD171" s="200"/>
      <c r="LHE171" s="202"/>
      <c r="LHF171" s="203"/>
      <c r="LHG171" s="124"/>
      <c r="LHI171" s="126"/>
      <c r="LHJ171" s="124"/>
      <c r="LHL171" s="111"/>
      <c r="LHN171" s="200"/>
      <c r="LHO171" s="201"/>
      <c r="LHP171" s="201"/>
      <c r="LHQ171" s="200"/>
      <c r="LHR171" s="202"/>
      <c r="LHS171" s="203"/>
      <c r="LHT171" s="124"/>
      <c r="LHV171" s="126"/>
      <c r="LHW171" s="124"/>
      <c r="LHY171" s="111"/>
      <c r="LIA171" s="200"/>
      <c r="LIB171" s="201"/>
      <c r="LIC171" s="201"/>
      <c r="LID171" s="200"/>
      <c r="LIE171" s="202"/>
      <c r="LIF171" s="203"/>
      <c r="LIG171" s="124"/>
      <c r="LII171" s="126"/>
      <c r="LIJ171" s="124"/>
      <c r="LIL171" s="111"/>
      <c r="LIN171" s="200"/>
      <c r="LIO171" s="201"/>
      <c r="LIP171" s="201"/>
      <c r="LIQ171" s="200"/>
      <c r="LIR171" s="202"/>
      <c r="LIS171" s="203"/>
      <c r="LIT171" s="124"/>
      <c r="LIV171" s="126"/>
      <c r="LIW171" s="124"/>
      <c r="LIY171" s="111"/>
      <c r="LJA171" s="200"/>
      <c r="LJB171" s="201"/>
      <c r="LJC171" s="201"/>
      <c r="LJD171" s="200"/>
      <c r="LJE171" s="202"/>
      <c r="LJF171" s="203"/>
      <c r="LJG171" s="124"/>
      <c r="LJI171" s="126"/>
      <c r="LJJ171" s="124"/>
      <c r="LJL171" s="111"/>
      <c r="LJN171" s="200"/>
      <c r="LJO171" s="201"/>
      <c r="LJP171" s="201"/>
      <c r="LJQ171" s="200"/>
      <c r="LJR171" s="202"/>
      <c r="LJS171" s="203"/>
      <c r="LJT171" s="124"/>
      <c r="LJV171" s="126"/>
      <c r="LJW171" s="124"/>
      <c r="LJY171" s="111"/>
      <c r="LKA171" s="200"/>
      <c r="LKB171" s="201"/>
      <c r="LKC171" s="201"/>
      <c r="LKD171" s="200"/>
      <c r="LKE171" s="202"/>
      <c r="LKF171" s="203"/>
      <c r="LKG171" s="124"/>
      <c r="LKI171" s="126"/>
      <c r="LKJ171" s="124"/>
      <c r="LKL171" s="111"/>
      <c r="LKN171" s="200"/>
      <c r="LKO171" s="201"/>
      <c r="LKP171" s="201"/>
      <c r="LKQ171" s="200"/>
      <c r="LKR171" s="202"/>
      <c r="LKS171" s="203"/>
      <c r="LKT171" s="124"/>
      <c r="LKV171" s="126"/>
      <c r="LKW171" s="124"/>
      <c r="LKY171" s="111"/>
      <c r="LLA171" s="200"/>
      <c r="LLB171" s="201"/>
      <c r="LLC171" s="201"/>
      <c r="LLD171" s="200"/>
      <c r="LLE171" s="202"/>
      <c r="LLF171" s="203"/>
      <c r="LLG171" s="124"/>
      <c r="LLI171" s="126"/>
      <c r="LLJ171" s="124"/>
      <c r="LLL171" s="111"/>
      <c r="LLN171" s="200"/>
      <c r="LLO171" s="201"/>
      <c r="LLP171" s="201"/>
      <c r="LLQ171" s="200"/>
      <c r="LLR171" s="202"/>
      <c r="LLS171" s="203"/>
      <c r="LLT171" s="124"/>
      <c r="LLV171" s="126"/>
      <c r="LLW171" s="124"/>
      <c r="LLY171" s="111"/>
      <c r="LMA171" s="200"/>
      <c r="LMB171" s="201"/>
      <c r="LMC171" s="201"/>
      <c r="LMD171" s="200"/>
      <c r="LME171" s="202"/>
      <c r="LMF171" s="203"/>
      <c r="LMG171" s="124"/>
      <c r="LMI171" s="126"/>
      <c r="LMJ171" s="124"/>
      <c r="LML171" s="111"/>
      <c r="LMN171" s="200"/>
      <c r="LMO171" s="201"/>
      <c r="LMP171" s="201"/>
      <c r="LMQ171" s="200"/>
      <c r="LMR171" s="202"/>
      <c r="LMS171" s="203"/>
      <c r="LMT171" s="124"/>
      <c r="LMV171" s="126"/>
      <c r="LMW171" s="124"/>
      <c r="LMY171" s="111"/>
      <c r="LNA171" s="200"/>
      <c r="LNB171" s="201"/>
      <c r="LNC171" s="201"/>
      <c r="LND171" s="200"/>
      <c r="LNE171" s="202"/>
      <c r="LNF171" s="203"/>
      <c r="LNG171" s="124"/>
      <c r="LNI171" s="126"/>
      <c r="LNJ171" s="124"/>
      <c r="LNL171" s="111"/>
      <c r="LNN171" s="200"/>
      <c r="LNO171" s="201"/>
      <c r="LNP171" s="201"/>
      <c r="LNQ171" s="200"/>
      <c r="LNR171" s="202"/>
      <c r="LNS171" s="203"/>
      <c r="LNT171" s="124"/>
      <c r="LNV171" s="126"/>
      <c r="LNW171" s="124"/>
      <c r="LNY171" s="111"/>
      <c r="LOA171" s="200"/>
      <c r="LOB171" s="201"/>
      <c r="LOC171" s="201"/>
      <c r="LOD171" s="200"/>
      <c r="LOE171" s="202"/>
      <c r="LOF171" s="203"/>
      <c r="LOG171" s="124"/>
      <c r="LOI171" s="126"/>
      <c r="LOJ171" s="124"/>
      <c r="LOL171" s="111"/>
      <c r="LON171" s="200"/>
      <c r="LOO171" s="201"/>
      <c r="LOP171" s="201"/>
      <c r="LOQ171" s="200"/>
      <c r="LOR171" s="202"/>
      <c r="LOS171" s="203"/>
      <c r="LOT171" s="124"/>
      <c r="LOV171" s="126"/>
      <c r="LOW171" s="124"/>
      <c r="LOY171" s="111"/>
      <c r="LPA171" s="200"/>
      <c r="LPB171" s="201"/>
      <c r="LPC171" s="201"/>
      <c r="LPD171" s="200"/>
      <c r="LPE171" s="202"/>
      <c r="LPF171" s="203"/>
      <c r="LPG171" s="124"/>
      <c r="LPI171" s="126"/>
      <c r="LPJ171" s="124"/>
      <c r="LPL171" s="111"/>
      <c r="LPN171" s="200"/>
      <c r="LPO171" s="201"/>
      <c r="LPP171" s="201"/>
      <c r="LPQ171" s="200"/>
      <c r="LPR171" s="202"/>
      <c r="LPS171" s="203"/>
      <c r="LPT171" s="124"/>
      <c r="LPV171" s="126"/>
      <c r="LPW171" s="124"/>
      <c r="LPY171" s="111"/>
      <c r="LQA171" s="200"/>
      <c r="LQB171" s="201"/>
      <c r="LQC171" s="201"/>
      <c r="LQD171" s="200"/>
      <c r="LQE171" s="202"/>
      <c r="LQF171" s="203"/>
      <c r="LQG171" s="124"/>
      <c r="LQI171" s="126"/>
      <c r="LQJ171" s="124"/>
      <c r="LQL171" s="111"/>
      <c r="LQN171" s="200"/>
      <c r="LQO171" s="201"/>
      <c r="LQP171" s="201"/>
      <c r="LQQ171" s="200"/>
      <c r="LQR171" s="202"/>
      <c r="LQS171" s="203"/>
      <c r="LQT171" s="124"/>
      <c r="LQV171" s="126"/>
      <c r="LQW171" s="124"/>
      <c r="LQY171" s="111"/>
      <c r="LRA171" s="200"/>
      <c r="LRB171" s="201"/>
      <c r="LRC171" s="201"/>
      <c r="LRD171" s="200"/>
      <c r="LRE171" s="202"/>
      <c r="LRF171" s="203"/>
      <c r="LRG171" s="124"/>
      <c r="LRI171" s="126"/>
      <c r="LRJ171" s="124"/>
      <c r="LRL171" s="111"/>
      <c r="LRN171" s="200"/>
      <c r="LRO171" s="201"/>
      <c r="LRP171" s="201"/>
      <c r="LRQ171" s="200"/>
      <c r="LRR171" s="202"/>
      <c r="LRS171" s="203"/>
      <c r="LRT171" s="124"/>
      <c r="LRV171" s="126"/>
      <c r="LRW171" s="124"/>
      <c r="LRY171" s="111"/>
      <c r="LSA171" s="200"/>
      <c r="LSB171" s="201"/>
      <c r="LSC171" s="201"/>
      <c r="LSD171" s="200"/>
      <c r="LSE171" s="202"/>
      <c r="LSF171" s="203"/>
      <c r="LSG171" s="124"/>
      <c r="LSI171" s="126"/>
      <c r="LSJ171" s="124"/>
      <c r="LSL171" s="111"/>
      <c r="LSN171" s="200"/>
      <c r="LSO171" s="201"/>
      <c r="LSP171" s="201"/>
      <c r="LSQ171" s="200"/>
      <c r="LSR171" s="202"/>
      <c r="LSS171" s="203"/>
      <c r="LST171" s="124"/>
      <c r="LSV171" s="126"/>
      <c r="LSW171" s="124"/>
      <c r="LSY171" s="111"/>
      <c r="LTA171" s="200"/>
      <c r="LTB171" s="201"/>
      <c r="LTC171" s="201"/>
      <c r="LTD171" s="200"/>
      <c r="LTE171" s="202"/>
      <c r="LTF171" s="203"/>
      <c r="LTG171" s="124"/>
      <c r="LTI171" s="126"/>
      <c r="LTJ171" s="124"/>
      <c r="LTL171" s="111"/>
      <c r="LTN171" s="200"/>
      <c r="LTO171" s="201"/>
      <c r="LTP171" s="201"/>
      <c r="LTQ171" s="200"/>
      <c r="LTR171" s="202"/>
      <c r="LTS171" s="203"/>
      <c r="LTT171" s="124"/>
      <c r="LTV171" s="126"/>
      <c r="LTW171" s="124"/>
      <c r="LTY171" s="111"/>
      <c r="LUA171" s="200"/>
      <c r="LUB171" s="201"/>
      <c r="LUC171" s="201"/>
      <c r="LUD171" s="200"/>
      <c r="LUE171" s="202"/>
      <c r="LUF171" s="203"/>
      <c r="LUG171" s="124"/>
      <c r="LUI171" s="126"/>
      <c r="LUJ171" s="124"/>
      <c r="LUL171" s="111"/>
      <c r="LUN171" s="200"/>
      <c r="LUO171" s="201"/>
      <c r="LUP171" s="201"/>
      <c r="LUQ171" s="200"/>
      <c r="LUR171" s="202"/>
      <c r="LUS171" s="203"/>
      <c r="LUT171" s="124"/>
      <c r="LUV171" s="126"/>
      <c r="LUW171" s="124"/>
      <c r="LUY171" s="111"/>
      <c r="LVA171" s="200"/>
      <c r="LVB171" s="201"/>
      <c r="LVC171" s="201"/>
      <c r="LVD171" s="200"/>
      <c r="LVE171" s="202"/>
      <c r="LVF171" s="203"/>
      <c r="LVG171" s="124"/>
      <c r="LVI171" s="126"/>
      <c r="LVJ171" s="124"/>
      <c r="LVL171" s="111"/>
      <c r="LVN171" s="200"/>
      <c r="LVO171" s="201"/>
      <c r="LVP171" s="201"/>
      <c r="LVQ171" s="200"/>
      <c r="LVR171" s="202"/>
      <c r="LVS171" s="203"/>
      <c r="LVT171" s="124"/>
      <c r="LVV171" s="126"/>
      <c r="LVW171" s="124"/>
      <c r="LVY171" s="111"/>
      <c r="LWA171" s="200"/>
      <c r="LWB171" s="201"/>
      <c r="LWC171" s="201"/>
      <c r="LWD171" s="200"/>
      <c r="LWE171" s="202"/>
      <c r="LWF171" s="203"/>
      <c r="LWG171" s="124"/>
      <c r="LWI171" s="126"/>
      <c r="LWJ171" s="124"/>
      <c r="LWL171" s="111"/>
      <c r="LWN171" s="200"/>
      <c r="LWO171" s="201"/>
      <c r="LWP171" s="201"/>
      <c r="LWQ171" s="200"/>
      <c r="LWR171" s="202"/>
      <c r="LWS171" s="203"/>
      <c r="LWT171" s="124"/>
      <c r="LWV171" s="126"/>
      <c r="LWW171" s="124"/>
      <c r="LWY171" s="111"/>
      <c r="LXA171" s="200"/>
      <c r="LXB171" s="201"/>
      <c r="LXC171" s="201"/>
      <c r="LXD171" s="200"/>
      <c r="LXE171" s="202"/>
      <c r="LXF171" s="203"/>
      <c r="LXG171" s="124"/>
      <c r="LXI171" s="126"/>
      <c r="LXJ171" s="124"/>
      <c r="LXL171" s="111"/>
      <c r="LXN171" s="200"/>
      <c r="LXO171" s="201"/>
      <c r="LXP171" s="201"/>
      <c r="LXQ171" s="200"/>
      <c r="LXR171" s="202"/>
      <c r="LXS171" s="203"/>
      <c r="LXT171" s="124"/>
      <c r="LXV171" s="126"/>
      <c r="LXW171" s="124"/>
      <c r="LXY171" s="111"/>
      <c r="LYA171" s="200"/>
      <c r="LYB171" s="201"/>
      <c r="LYC171" s="201"/>
      <c r="LYD171" s="200"/>
      <c r="LYE171" s="202"/>
      <c r="LYF171" s="203"/>
      <c r="LYG171" s="124"/>
      <c r="LYI171" s="126"/>
      <c r="LYJ171" s="124"/>
      <c r="LYL171" s="111"/>
      <c r="LYN171" s="200"/>
      <c r="LYO171" s="201"/>
      <c r="LYP171" s="201"/>
      <c r="LYQ171" s="200"/>
      <c r="LYR171" s="202"/>
      <c r="LYS171" s="203"/>
      <c r="LYT171" s="124"/>
      <c r="LYV171" s="126"/>
      <c r="LYW171" s="124"/>
      <c r="LYY171" s="111"/>
      <c r="LZA171" s="200"/>
      <c r="LZB171" s="201"/>
      <c r="LZC171" s="201"/>
      <c r="LZD171" s="200"/>
      <c r="LZE171" s="202"/>
      <c r="LZF171" s="203"/>
      <c r="LZG171" s="124"/>
      <c r="LZI171" s="126"/>
      <c r="LZJ171" s="124"/>
      <c r="LZL171" s="111"/>
      <c r="LZN171" s="200"/>
      <c r="LZO171" s="201"/>
      <c r="LZP171" s="201"/>
      <c r="LZQ171" s="200"/>
      <c r="LZR171" s="202"/>
      <c r="LZS171" s="203"/>
      <c r="LZT171" s="124"/>
      <c r="LZV171" s="126"/>
      <c r="LZW171" s="124"/>
      <c r="LZY171" s="111"/>
      <c r="MAA171" s="200"/>
      <c r="MAB171" s="201"/>
      <c r="MAC171" s="201"/>
      <c r="MAD171" s="200"/>
      <c r="MAE171" s="202"/>
      <c r="MAF171" s="203"/>
      <c r="MAG171" s="124"/>
      <c r="MAI171" s="126"/>
      <c r="MAJ171" s="124"/>
      <c r="MAL171" s="111"/>
      <c r="MAN171" s="200"/>
      <c r="MAO171" s="201"/>
      <c r="MAP171" s="201"/>
      <c r="MAQ171" s="200"/>
      <c r="MAR171" s="202"/>
      <c r="MAS171" s="203"/>
      <c r="MAT171" s="124"/>
      <c r="MAV171" s="126"/>
      <c r="MAW171" s="124"/>
      <c r="MAY171" s="111"/>
      <c r="MBA171" s="200"/>
      <c r="MBB171" s="201"/>
      <c r="MBC171" s="201"/>
      <c r="MBD171" s="200"/>
      <c r="MBE171" s="202"/>
      <c r="MBF171" s="203"/>
      <c r="MBG171" s="124"/>
      <c r="MBI171" s="126"/>
      <c r="MBJ171" s="124"/>
      <c r="MBL171" s="111"/>
      <c r="MBN171" s="200"/>
      <c r="MBO171" s="201"/>
      <c r="MBP171" s="201"/>
      <c r="MBQ171" s="200"/>
      <c r="MBR171" s="202"/>
      <c r="MBS171" s="203"/>
      <c r="MBT171" s="124"/>
      <c r="MBV171" s="126"/>
      <c r="MBW171" s="124"/>
      <c r="MBY171" s="111"/>
      <c r="MCA171" s="200"/>
      <c r="MCB171" s="201"/>
      <c r="MCC171" s="201"/>
      <c r="MCD171" s="200"/>
      <c r="MCE171" s="202"/>
      <c r="MCF171" s="203"/>
      <c r="MCG171" s="124"/>
      <c r="MCI171" s="126"/>
      <c r="MCJ171" s="124"/>
      <c r="MCL171" s="111"/>
      <c r="MCN171" s="200"/>
      <c r="MCO171" s="201"/>
      <c r="MCP171" s="201"/>
      <c r="MCQ171" s="200"/>
      <c r="MCR171" s="202"/>
      <c r="MCS171" s="203"/>
      <c r="MCT171" s="124"/>
      <c r="MCV171" s="126"/>
      <c r="MCW171" s="124"/>
      <c r="MCY171" s="111"/>
      <c r="MDA171" s="200"/>
      <c r="MDB171" s="201"/>
      <c r="MDC171" s="201"/>
      <c r="MDD171" s="200"/>
      <c r="MDE171" s="202"/>
      <c r="MDF171" s="203"/>
      <c r="MDG171" s="124"/>
      <c r="MDI171" s="126"/>
      <c r="MDJ171" s="124"/>
      <c r="MDL171" s="111"/>
      <c r="MDN171" s="200"/>
      <c r="MDO171" s="201"/>
      <c r="MDP171" s="201"/>
      <c r="MDQ171" s="200"/>
      <c r="MDR171" s="202"/>
      <c r="MDS171" s="203"/>
      <c r="MDT171" s="124"/>
      <c r="MDV171" s="126"/>
      <c r="MDW171" s="124"/>
      <c r="MDY171" s="111"/>
      <c r="MEA171" s="200"/>
      <c r="MEB171" s="201"/>
      <c r="MEC171" s="201"/>
      <c r="MED171" s="200"/>
      <c r="MEE171" s="202"/>
      <c r="MEF171" s="203"/>
      <c r="MEG171" s="124"/>
      <c r="MEI171" s="126"/>
      <c r="MEJ171" s="124"/>
      <c r="MEL171" s="111"/>
      <c r="MEN171" s="200"/>
      <c r="MEO171" s="201"/>
      <c r="MEP171" s="201"/>
      <c r="MEQ171" s="200"/>
      <c r="MER171" s="202"/>
      <c r="MES171" s="203"/>
      <c r="MET171" s="124"/>
      <c r="MEV171" s="126"/>
      <c r="MEW171" s="124"/>
      <c r="MEY171" s="111"/>
      <c r="MFA171" s="200"/>
      <c r="MFB171" s="201"/>
      <c r="MFC171" s="201"/>
      <c r="MFD171" s="200"/>
      <c r="MFE171" s="202"/>
      <c r="MFF171" s="203"/>
      <c r="MFG171" s="124"/>
      <c r="MFI171" s="126"/>
      <c r="MFJ171" s="124"/>
      <c r="MFL171" s="111"/>
      <c r="MFN171" s="200"/>
      <c r="MFO171" s="201"/>
      <c r="MFP171" s="201"/>
      <c r="MFQ171" s="200"/>
      <c r="MFR171" s="202"/>
      <c r="MFS171" s="203"/>
      <c r="MFT171" s="124"/>
      <c r="MFV171" s="126"/>
      <c r="MFW171" s="124"/>
      <c r="MFY171" s="111"/>
      <c r="MGA171" s="200"/>
      <c r="MGB171" s="201"/>
      <c r="MGC171" s="201"/>
      <c r="MGD171" s="200"/>
      <c r="MGE171" s="202"/>
      <c r="MGF171" s="203"/>
      <c r="MGG171" s="124"/>
      <c r="MGI171" s="126"/>
      <c r="MGJ171" s="124"/>
      <c r="MGL171" s="111"/>
      <c r="MGN171" s="200"/>
      <c r="MGO171" s="201"/>
      <c r="MGP171" s="201"/>
      <c r="MGQ171" s="200"/>
      <c r="MGR171" s="202"/>
      <c r="MGS171" s="203"/>
      <c r="MGT171" s="124"/>
      <c r="MGV171" s="126"/>
      <c r="MGW171" s="124"/>
      <c r="MGY171" s="111"/>
      <c r="MHA171" s="200"/>
      <c r="MHB171" s="201"/>
      <c r="MHC171" s="201"/>
      <c r="MHD171" s="200"/>
      <c r="MHE171" s="202"/>
      <c r="MHF171" s="203"/>
      <c r="MHG171" s="124"/>
      <c r="MHI171" s="126"/>
      <c r="MHJ171" s="124"/>
      <c r="MHL171" s="111"/>
      <c r="MHN171" s="200"/>
      <c r="MHO171" s="201"/>
      <c r="MHP171" s="201"/>
      <c r="MHQ171" s="200"/>
      <c r="MHR171" s="202"/>
      <c r="MHS171" s="203"/>
      <c r="MHT171" s="124"/>
      <c r="MHV171" s="126"/>
      <c r="MHW171" s="124"/>
      <c r="MHY171" s="111"/>
      <c r="MIA171" s="200"/>
      <c r="MIB171" s="201"/>
      <c r="MIC171" s="201"/>
      <c r="MID171" s="200"/>
      <c r="MIE171" s="202"/>
      <c r="MIF171" s="203"/>
      <c r="MIG171" s="124"/>
      <c r="MII171" s="126"/>
      <c r="MIJ171" s="124"/>
      <c r="MIL171" s="111"/>
      <c r="MIN171" s="200"/>
      <c r="MIO171" s="201"/>
      <c r="MIP171" s="201"/>
      <c r="MIQ171" s="200"/>
      <c r="MIR171" s="202"/>
      <c r="MIS171" s="203"/>
      <c r="MIT171" s="124"/>
      <c r="MIV171" s="126"/>
      <c r="MIW171" s="124"/>
      <c r="MIY171" s="111"/>
      <c r="MJA171" s="200"/>
      <c r="MJB171" s="201"/>
      <c r="MJC171" s="201"/>
      <c r="MJD171" s="200"/>
      <c r="MJE171" s="202"/>
      <c r="MJF171" s="203"/>
      <c r="MJG171" s="124"/>
      <c r="MJI171" s="126"/>
      <c r="MJJ171" s="124"/>
      <c r="MJL171" s="111"/>
      <c r="MJN171" s="200"/>
      <c r="MJO171" s="201"/>
      <c r="MJP171" s="201"/>
      <c r="MJQ171" s="200"/>
      <c r="MJR171" s="202"/>
      <c r="MJS171" s="203"/>
      <c r="MJT171" s="124"/>
      <c r="MJV171" s="126"/>
      <c r="MJW171" s="124"/>
      <c r="MJY171" s="111"/>
      <c r="MKA171" s="200"/>
      <c r="MKB171" s="201"/>
      <c r="MKC171" s="201"/>
      <c r="MKD171" s="200"/>
      <c r="MKE171" s="202"/>
      <c r="MKF171" s="203"/>
      <c r="MKG171" s="124"/>
      <c r="MKI171" s="126"/>
      <c r="MKJ171" s="124"/>
      <c r="MKL171" s="111"/>
      <c r="MKN171" s="200"/>
      <c r="MKO171" s="201"/>
      <c r="MKP171" s="201"/>
      <c r="MKQ171" s="200"/>
      <c r="MKR171" s="202"/>
      <c r="MKS171" s="203"/>
      <c r="MKT171" s="124"/>
      <c r="MKV171" s="126"/>
      <c r="MKW171" s="124"/>
      <c r="MKY171" s="111"/>
      <c r="MLA171" s="200"/>
      <c r="MLB171" s="201"/>
      <c r="MLC171" s="201"/>
      <c r="MLD171" s="200"/>
      <c r="MLE171" s="202"/>
      <c r="MLF171" s="203"/>
      <c r="MLG171" s="124"/>
      <c r="MLI171" s="126"/>
      <c r="MLJ171" s="124"/>
      <c r="MLL171" s="111"/>
      <c r="MLN171" s="200"/>
      <c r="MLO171" s="201"/>
      <c r="MLP171" s="201"/>
      <c r="MLQ171" s="200"/>
      <c r="MLR171" s="202"/>
      <c r="MLS171" s="203"/>
      <c r="MLT171" s="124"/>
      <c r="MLV171" s="126"/>
      <c r="MLW171" s="124"/>
      <c r="MLY171" s="111"/>
      <c r="MMA171" s="200"/>
      <c r="MMB171" s="201"/>
      <c r="MMC171" s="201"/>
      <c r="MMD171" s="200"/>
      <c r="MME171" s="202"/>
      <c r="MMF171" s="203"/>
      <c r="MMG171" s="124"/>
      <c r="MMI171" s="126"/>
      <c r="MMJ171" s="124"/>
      <c r="MML171" s="111"/>
      <c r="MMN171" s="200"/>
      <c r="MMO171" s="201"/>
      <c r="MMP171" s="201"/>
      <c r="MMQ171" s="200"/>
      <c r="MMR171" s="202"/>
      <c r="MMS171" s="203"/>
      <c r="MMT171" s="124"/>
      <c r="MMV171" s="126"/>
      <c r="MMW171" s="124"/>
      <c r="MMY171" s="111"/>
      <c r="MNA171" s="200"/>
      <c r="MNB171" s="201"/>
      <c r="MNC171" s="201"/>
      <c r="MND171" s="200"/>
      <c r="MNE171" s="202"/>
      <c r="MNF171" s="203"/>
      <c r="MNG171" s="124"/>
      <c r="MNI171" s="126"/>
      <c r="MNJ171" s="124"/>
      <c r="MNL171" s="111"/>
      <c r="MNN171" s="200"/>
      <c r="MNO171" s="201"/>
      <c r="MNP171" s="201"/>
      <c r="MNQ171" s="200"/>
      <c r="MNR171" s="202"/>
      <c r="MNS171" s="203"/>
      <c r="MNT171" s="124"/>
      <c r="MNV171" s="126"/>
      <c r="MNW171" s="124"/>
      <c r="MNY171" s="111"/>
      <c r="MOA171" s="200"/>
      <c r="MOB171" s="201"/>
      <c r="MOC171" s="201"/>
      <c r="MOD171" s="200"/>
      <c r="MOE171" s="202"/>
      <c r="MOF171" s="203"/>
      <c r="MOG171" s="124"/>
      <c r="MOI171" s="126"/>
      <c r="MOJ171" s="124"/>
      <c r="MOL171" s="111"/>
      <c r="MON171" s="200"/>
      <c r="MOO171" s="201"/>
      <c r="MOP171" s="201"/>
      <c r="MOQ171" s="200"/>
      <c r="MOR171" s="202"/>
      <c r="MOS171" s="203"/>
      <c r="MOT171" s="124"/>
      <c r="MOV171" s="126"/>
      <c r="MOW171" s="124"/>
      <c r="MOY171" s="111"/>
      <c r="MPA171" s="200"/>
      <c r="MPB171" s="201"/>
      <c r="MPC171" s="201"/>
      <c r="MPD171" s="200"/>
      <c r="MPE171" s="202"/>
      <c r="MPF171" s="203"/>
      <c r="MPG171" s="124"/>
      <c r="MPI171" s="126"/>
      <c r="MPJ171" s="124"/>
      <c r="MPL171" s="111"/>
      <c r="MPN171" s="200"/>
      <c r="MPO171" s="201"/>
      <c r="MPP171" s="201"/>
      <c r="MPQ171" s="200"/>
      <c r="MPR171" s="202"/>
      <c r="MPS171" s="203"/>
      <c r="MPT171" s="124"/>
      <c r="MPV171" s="126"/>
      <c r="MPW171" s="124"/>
      <c r="MPY171" s="111"/>
      <c r="MQA171" s="200"/>
      <c r="MQB171" s="201"/>
      <c r="MQC171" s="201"/>
      <c r="MQD171" s="200"/>
      <c r="MQE171" s="202"/>
      <c r="MQF171" s="203"/>
      <c r="MQG171" s="124"/>
      <c r="MQI171" s="126"/>
      <c r="MQJ171" s="124"/>
      <c r="MQL171" s="111"/>
      <c r="MQN171" s="200"/>
      <c r="MQO171" s="201"/>
      <c r="MQP171" s="201"/>
      <c r="MQQ171" s="200"/>
      <c r="MQR171" s="202"/>
      <c r="MQS171" s="203"/>
      <c r="MQT171" s="124"/>
      <c r="MQV171" s="126"/>
      <c r="MQW171" s="124"/>
      <c r="MQY171" s="111"/>
      <c r="MRA171" s="200"/>
      <c r="MRB171" s="201"/>
      <c r="MRC171" s="201"/>
      <c r="MRD171" s="200"/>
      <c r="MRE171" s="202"/>
      <c r="MRF171" s="203"/>
      <c r="MRG171" s="124"/>
      <c r="MRI171" s="126"/>
      <c r="MRJ171" s="124"/>
      <c r="MRL171" s="111"/>
      <c r="MRN171" s="200"/>
      <c r="MRO171" s="201"/>
      <c r="MRP171" s="201"/>
      <c r="MRQ171" s="200"/>
      <c r="MRR171" s="202"/>
      <c r="MRS171" s="203"/>
      <c r="MRT171" s="124"/>
      <c r="MRV171" s="126"/>
      <c r="MRW171" s="124"/>
      <c r="MRY171" s="111"/>
      <c r="MSA171" s="200"/>
      <c r="MSB171" s="201"/>
      <c r="MSC171" s="201"/>
      <c r="MSD171" s="200"/>
      <c r="MSE171" s="202"/>
      <c r="MSF171" s="203"/>
      <c r="MSG171" s="124"/>
      <c r="MSI171" s="126"/>
      <c r="MSJ171" s="124"/>
      <c r="MSL171" s="111"/>
      <c r="MSN171" s="200"/>
      <c r="MSO171" s="201"/>
      <c r="MSP171" s="201"/>
      <c r="MSQ171" s="200"/>
      <c r="MSR171" s="202"/>
      <c r="MSS171" s="203"/>
      <c r="MST171" s="124"/>
      <c r="MSV171" s="126"/>
      <c r="MSW171" s="124"/>
      <c r="MSY171" s="111"/>
      <c r="MTA171" s="200"/>
      <c r="MTB171" s="201"/>
      <c r="MTC171" s="201"/>
      <c r="MTD171" s="200"/>
      <c r="MTE171" s="202"/>
      <c r="MTF171" s="203"/>
      <c r="MTG171" s="124"/>
      <c r="MTI171" s="126"/>
      <c r="MTJ171" s="124"/>
      <c r="MTL171" s="111"/>
      <c r="MTN171" s="200"/>
      <c r="MTO171" s="201"/>
      <c r="MTP171" s="201"/>
      <c r="MTQ171" s="200"/>
      <c r="MTR171" s="202"/>
      <c r="MTS171" s="203"/>
      <c r="MTT171" s="124"/>
      <c r="MTV171" s="126"/>
      <c r="MTW171" s="124"/>
      <c r="MTY171" s="111"/>
      <c r="MUA171" s="200"/>
      <c r="MUB171" s="201"/>
      <c r="MUC171" s="201"/>
      <c r="MUD171" s="200"/>
      <c r="MUE171" s="202"/>
      <c r="MUF171" s="203"/>
      <c r="MUG171" s="124"/>
      <c r="MUI171" s="126"/>
      <c r="MUJ171" s="124"/>
      <c r="MUL171" s="111"/>
      <c r="MUN171" s="200"/>
      <c r="MUO171" s="201"/>
      <c r="MUP171" s="201"/>
      <c r="MUQ171" s="200"/>
      <c r="MUR171" s="202"/>
      <c r="MUS171" s="203"/>
      <c r="MUT171" s="124"/>
      <c r="MUV171" s="126"/>
      <c r="MUW171" s="124"/>
      <c r="MUY171" s="111"/>
      <c r="MVA171" s="200"/>
      <c r="MVB171" s="201"/>
      <c r="MVC171" s="201"/>
      <c r="MVD171" s="200"/>
      <c r="MVE171" s="202"/>
      <c r="MVF171" s="203"/>
      <c r="MVG171" s="124"/>
      <c r="MVI171" s="126"/>
      <c r="MVJ171" s="124"/>
      <c r="MVL171" s="111"/>
      <c r="MVN171" s="200"/>
      <c r="MVO171" s="201"/>
      <c r="MVP171" s="201"/>
      <c r="MVQ171" s="200"/>
      <c r="MVR171" s="202"/>
      <c r="MVS171" s="203"/>
      <c r="MVT171" s="124"/>
      <c r="MVV171" s="126"/>
      <c r="MVW171" s="124"/>
      <c r="MVY171" s="111"/>
      <c r="MWA171" s="200"/>
      <c r="MWB171" s="201"/>
      <c r="MWC171" s="201"/>
      <c r="MWD171" s="200"/>
      <c r="MWE171" s="202"/>
      <c r="MWF171" s="203"/>
      <c r="MWG171" s="124"/>
      <c r="MWI171" s="126"/>
      <c r="MWJ171" s="124"/>
      <c r="MWL171" s="111"/>
      <c r="MWN171" s="200"/>
      <c r="MWO171" s="201"/>
      <c r="MWP171" s="201"/>
      <c r="MWQ171" s="200"/>
      <c r="MWR171" s="202"/>
      <c r="MWS171" s="203"/>
      <c r="MWT171" s="124"/>
      <c r="MWV171" s="126"/>
      <c r="MWW171" s="124"/>
      <c r="MWY171" s="111"/>
      <c r="MXA171" s="200"/>
      <c r="MXB171" s="201"/>
      <c r="MXC171" s="201"/>
      <c r="MXD171" s="200"/>
      <c r="MXE171" s="202"/>
      <c r="MXF171" s="203"/>
      <c r="MXG171" s="124"/>
      <c r="MXI171" s="126"/>
      <c r="MXJ171" s="124"/>
      <c r="MXL171" s="111"/>
      <c r="MXN171" s="200"/>
      <c r="MXO171" s="201"/>
      <c r="MXP171" s="201"/>
      <c r="MXQ171" s="200"/>
      <c r="MXR171" s="202"/>
      <c r="MXS171" s="203"/>
      <c r="MXT171" s="124"/>
      <c r="MXV171" s="126"/>
      <c r="MXW171" s="124"/>
      <c r="MXY171" s="111"/>
      <c r="MYA171" s="200"/>
      <c r="MYB171" s="201"/>
      <c r="MYC171" s="201"/>
      <c r="MYD171" s="200"/>
      <c r="MYE171" s="202"/>
      <c r="MYF171" s="203"/>
      <c r="MYG171" s="124"/>
      <c r="MYI171" s="126"/>
      <c r="MYJ171" s="124"/>
      <c r="MYL171" s="111"/>
      <c r="MYN171" s="200"/>
      <c r="MYO171" s="201"/>
      <c r="MYP171" s="201"/>
      <c r="MYQ171" s="200"/>
      <c r="MYR171" s="202"/>
      <c r="MYS171" s="203"/>
      <c r="MYT171" s="124"/>
      <c r="MYV171" s="126"/>
      <c r="MYW171" s="124"/>
      <c r="MYY171" s="111"/>
      <c r="MZA171" s="200"/>
      <c r="MZB171" s="201"/>
      <c r="MZC171" s="201"/>
      <c r="MZD171" s="200"/>
      <c r="MZE171" s="202"/>
      <c r="MZF171" s="203"/>
      <c r="MZG171" s="124"/>
      <c r="MZI171" s="126"/>
      <c r="MZJ171" s="124"/>
      <c r="MZL171" s="111"/>
      <c r="MZN171" s="200"/>
      <c r="MZO171" s="201"/>
      <c r="MZP171" s="201"/>
      <c r="MZQ171" s="200"/>
      <c r="MZR171" s="202"/>
      <c r="MZS171" s="203"/>
      <c r="MZT171" s="124"/>
      <c r="MZV171" s="126"/>
      <c r="MZW171" s="124"/>
      <c r="MZY171" s="111"/>
      <c r="NAA171" s="200"/>
      <c r="NAB171" s="201"/>
      <c r="NAC171" s="201"/>
      <c r="NAD171" s="200"/>
      <c r="NAE171" s="202"/>
      <c r="NAF171" s="203"/>
      <c r="NAG171" s="124"/>
      <c r="NAI171" s="126"/>
      <c r="NAJ171" s="124"/>
      <c r="NAL171" s="111"/>
      <c r="NAN171" s="200"/>
      <c r="NAO171" s="201"/>
      <c r="NAP171" s="201"/>
      <c r="NAQ171" s="200"/>
      <c r="NAR171" s="202"/>
      <c r="NAS171" s="203"/>
      <c r="NAT171" s="124"/>
      <c r="NAV171" s="126"/>
      <c r="NAW171" s="124"/>
      <c r="NAY171" s="111"/>
      <c r="NBA171" s="200"/>
      <c r="NBB171" s="201"/>
      <c r="NBC171" s="201"/>
      <c r="NBD171" s="200"/>
      <c r="NBE171" s="202"/>
      <c r="NBF171" s="203"/>
      <c r="NBG171" s="124"/>
      <c r="NBI171" s="126"/>
      <c r="NBJ171" s="124"/>
      <c r="NBL171" s="111"/>
      <c r="NBN171" s="200"/>
      <c r="NBO171" s="201"/>
      <c r="NBP171" s="201"/>
      <c r="NBQ171" s="200"/>
      <c r="NBR171" s="202"/>
      <c r="NBS171" s="203"/>
      <c r="NBT171" s="124"/>
      <c r="NBV171" s="126"/>
      <c r="NBW171" s="124"/>
      <c r="NBY171" s="111"/>
      <c r="NCA171" s="200"/>
      <c r="NCB171" s="201"/>
      <c r="NCC171" s="201"/>
      <c r="NCD171" s="200"/>
      <c r="NCE171" s="202"/>
      <c r="NCF171" s="203"/>
      <c r="NCG171" s="124"/>
      <c r="NCI171" s="126"/>
      <c r="NCJ171" s="124"/>
      <c r="NCL171" s="111"/>
      <c r="NCN171" s="200"/>
      <c r="NCO171" s="201"/>
      <c r="NCP171" s="201"/>
      <c r="NCQ171" s="200"/>
      <c r="NCR171" s="202"/>
      <c r="NCS171" s="203"/>
      <c r="NCT171" s="124"/>
      <c r="NCV171" s="126"/>
      <c r="NCW171" s="124"/>
      <c r="NCY171" s="111"/>
      <c r="NDA171" s="200"/>
      <c r="NDB171" s="201"/>
      <c r="NDC171" s="201"/>
      <c r="NDD171" s="200"/>
      <c r="NDE171" s="202"/>
      <c r="NDF171" s="203"/>
      <c r="NDG171" s="124"/>
      <c r="NDI171" s="126"/>
      <c r="NDJ171" s="124"/>
      <c r="NDL171" s="111"/>
      <c r="NDN171" s="200"/>
      <c r="NDO171" s="201"/>
      <c r="NDP171" s="201"/>
      <c r="NDQ171" s="200"/>
      <c r="NDR171" s="202"/>
      <c r="NDS171" s="203"/>
      <c r="NDT171" s="124"/>
      <c r="NDV171" s="126"/>
      <c r="NDW171" s="124"/>
      <c r="NDY171" s="111"/>
      <c r="NEA171" s="200"/>
      <c r="NEB171" s="201"/>
      <c r="NEC171" s="201"/>
      <c r="NED171" s="200"/>
      <c r="NEE171" s="202"/>
      <c r="NEF171" s="203"/>
      <c r="NEG171" s="124"/>
      <c r="NEI171" s="126"/>
      <c r="NEJ171" s="124"/>
      <c r="NEL171" s="111"/>
      <c r="NEN171" s="200"/>
      <c r="NEO171" s="201"/>
      <c r="NEP171" s="201"/>
      <c r="NEQ171" s="200"/>
      <c r="NER171" s="202"/>
      <c r="NES171" s="203"/>
      <c r="NET171" s="124"/>
      <c r="NEV171" s="126"/>
      <c r="NEW171" s="124"/>
      <c r="NEY171" s="111"/>
      <c r="NFA171" s="200"/>
      <c r="NFB171" s="201"/>
      <c r="NFC171" s="201"/>
      <c r="NFD171" s="200"/>
      <c r="NFE171" s="202"/>
      <c r="NFF171" s="203"/>
      <c r="NFG171" s="124"/>
      <c r="NFI171" s="126"/>
      <c r="NFJ171" s="124"/>
      <c r="NFL171" s="111"/>
      <c r="NFN171" s="200"/>
      <c r="NFO171" s="201"/>
      <c r="NFP171" s="201"/>
      <c r="NFQ171" s="200"/>
      <c r="NFR171" s="202"/>
      <c r="NFS171" s="203"/>
      <c r="NFT171" s="124"/>
      <c r="NFV171" s="126"/>
      <c r="NFW171" s="124"/>
      <c r="NFY171" s="111"/>
      <c r="NGA171" s="200"/>
      <c r="NGB171" s="201"/>
      <c r="NGC171" s="201"/>
      <c r="NGD171" s="200"/>
      <c r="NGE171" s="202"/>
      <c r="NGF171" s="203"/>
      <c r="NGG171" s="124"/>
      <c r="NGI171" s="126"/>
      <c r="NGJ171" s="124"/>
      <c r="NGL171" s="111"/>
      <c r="NGN171" s="200"/>
      <c r="NGO171" s="201"/>
      <c r="NGP171" s="201"/>
      <c r="NGQ171" s="200"/>
      <c r="NGR171" s="202"/>
      <c r="NGS171" s="203"/>
      <c r="NGT171" s="124"/>
      <c r="NGV171" s="126"/>
      <c r="NGW171" s="124"/>
      <c r="NGY171" s="111"/>
      <c r="NHA171" s="200"/>
      <c r="NHB171" s="201"/>
      <c r="NHC171" s="201"/>
      <c r="NHD171" s="200"/>
      <c r="NHE171" s="202"/>
      <c r="NHF171" s="203"/>
      <c r="NHG171" s="124"/>
      <c r="NHI171" s="126"/>
      <c r="NHJ171" s="124"/>
      <c r="NHL171" s="111"/>
      <c r="NHN171" s="200"/>
      <c r="NHO171" s="201"/>
      <c r="NHP171" s="201"/>
      <c r="NHQ171" s="200"/>
      <c r="NHR171" s="202"/>
      <c r="NHS171" s="203"/>
      <c r="NHT171" s="124"/>
      <c r="NHV171" s="126"/>
      <c r="NHW171" s="124"/>
      <c r="NHY171" s="111"/>
      <c r="NIA171" s="200"/>
      <c r="NIB171" s="201"/>
      <c r="NIC171" s="201"/>
      <c r="NID171" s="200"/>
      <c r="NIE171" s="202"/>
      <c r="NIF171" s="203"/>
      <c r="NIG171" s="124"/>
      <c r="NII171" s="126"/>
      <c r="NIJ171" s="124"/>
      <c r="NIL171" s="111"/>
      <c r="NIN171" s="200"/>
      <c r="NIO171" s="201"/>
      <c r="NIP171" s="201"/>
      <c r="NIQ171" s="200"/>
      <c r="NIR171" s="202"/>
      <c r="NIS171" s="203"/>
      <c r="NIT171" s="124"/>
      <c r="NIV171" s="126"/>
      <c r="NIW171" s="124"/>
      <c r="NIY171" s="111"/>
      <c r="NJA171" s="200"/>
      <c r="NJB171" s="201"/>
      <c r="NJC171" s="201"/>
      <c r="NJD171" s="200"/>
      <c r="NJE171" s="202"/>
      <c r="NJF171" s="203"/>
      <c r="NJG171" s="124"/>
      <c r="NJI171" s="126"/>
      <c r="NJJ171" s="124"/>
      <c r="NJL171" s="111"/>
      <c r="NJN171" s="200"/>
      <c r="NJO171" s="201"/>
      <c r="NJP171" s="201"/>
      <c r="NJQ171" s="200"/>
      <c r="NJR171" s="202"/>
      <c r="NJS171" s="203"/>
      <c r="NJT171" s="124"/>
      <c r="NJV171" s="126"/>
      <c r="NJW171" s="124"/>
      <c r="NJY171" s="111"/>
      <c r="NKA171" s="200"/>
      <c r="NKB171" s="201"/>
      <c r="NKC171" s="201"/>
      <c r="NKD171" s="200"/>
      <c r="NKE171" s="202"/>
      <c r="NKF171" s="203"/>
      <c r="NKG171" s="124"/>
      <c r="NKI171" s="126"/>
      <c r="NKJ171" s="124"/>
      <c r="NKL171" s="111"/>
      <c r="NKN171" s="200"/>
      <c r="NKO171" s="201"/>
      <c r="NKP171" s="201"/>
      <c r="NKQ171" s="200"/>
      <c r="NKR171" s="202"/>
      <c r="NKS171" s="203"/>
      <c r="NKT171" s="124"/>
      <c r="NKV171" s="126"/>
      <c r="NKW171" s="124"/>
      <c r="NKY171" s="111"/>
      <c r="NLA171" s="200"/>
      <c r="NLB171" s="201"/>
      <c r="NLC171" s="201"/>
      <c r="NLD171" s="200"/>
      <c r="NLE171" s="202"/>
      <c r="NLF171" s="203"/>
      <c r="NLG171" s="124"/>
      <c r="NLI171" s="126"/>
      <c r="NLJ171" s="124"/>
      <c r="NLL171" s="111"/>
      <c r="NLN171" s="200"/>
      <c r="NLO171" s="201"/>
      <c r="NLP171" s="201"/>
      <c r="NLQ171" s="200"/>
      <c r="NLR171" s="202"/>
      <c r="NLS171" s="203"/>
      <c r="NLT171" s="124"/>
      <c r="NLV171" s="126"/>
      <c r="NLW171" s="124"/>
      <c r="NLY171" s="111"/>
      <c r="NMA171" s="200"/>
      <c r="NMB171" s="201"/>
      <c r="NMC171" s="201"/>
      <c r="NMD171" s="200"/>
      <c r="NME171" s="202"/>
      <c r="NMF171" s="203"/>
      <c r="NMG171" s="124"/>
      <c r="NMI171" s="126"/>
      <c r="NMJ171" s="124"/>
      <c r="NML171" s="111"/>
      <c r="NMN171" s="200"/>
      <c r="NMO171" s="201"/>
      <c r="NMP171" s="201"/>
      <c r="NMQ171" s="200"/>
      <c r="NMR171" s="202"/>
      <c r="NMS171" s="203"/>
      <c r="NMT171" s="124"/>
      <c r="NMV171" s="126"/>
      <c r="NMW171" s="124"/>
      <c r="NMY171" s="111"/>
      <c r="NNA171" s="200"/>
      <c r="NNB171" s="201"/>
      <c r="NNC171" s="201"/>
      <c r="NND171" s="200"/>
      <c r="NNE171" s="202"/>
      <c r="NNF171" s="203"/>
      <c r="NNG171" s="124"/>
      <c r="NNI171" s="126"/>
      <c r="NNJ171" s="124"/>
      <c r="NNL171" s="111"/>
      <c r="NNN171" s="200"/>
      <c r="NNO171" s="201"/>
      <c r="NNP171" s="201"/>
      <c r="NNQ171" s="200"/>
      <c r="NNR171" s="202"/>
      <c r="NNS171" s="203"/>
      <c r="NNT171" s="124"/>
      <c r="NNV171" s="126"/>
      <c r="NNW171" s="124"/>
      <c r="NNY171" s="111"/>
      <c r="NOA171" s="200"/>
      <c r="NOB171" s="201"/>
      <c r="NOC171" s="201"/>
      <c r="NOD171" s="200"/>
      <c r="NOE171" s="202"/>
      <c r="NOF171" s="203"/>
      <c r="NOG171" s="124"/>
      <c r="NOI171" s="126"/>
      <c r="NOJ171" s="124"/>
      <c r="NOL171" s="111"/>
      <c r="NON171" s="200"/>
      <c r="NOO171" s="201"/>
      <c r="NOP171" s="201"/>
      <c r="NOQ171" s="200"/>
      <c r="NOR171" s="202"/>
      <c r="NOS171" s="203"/>
      <c r="NOT171" s="124"/>
      <c r="NOV171" s="126"/>
      <c r="NOW171" s="124"/>
      <c r="NOY171" s="111"/>
      <c r="NPA171" s="200"/>
      <c r="NPB171" s="201"/>
      <c r="NPC171" s="201"/>
      <c r="NPD171" s="200"/>
      <c r="NPE171" s="202"/>
      <c r="NPF171" s="203"/>
      <c r="NPG171" s="124"/>
      <c r="NPI171" s="126"/>
      <c r="NPJ171" s="124"/>
      <c r="NPL171" s="111"/>
      <c r="NPN171" s="200"/>
      <c r="NPO171" s="201"/>
      <c r="NPP171" s="201"/>
      <c r="NPQ171" s="200"/>
      <c r="NPR171" s="202"/>
      <c r="NPS171" s="203"/>
      <c r="NPT171" s="124"/>
      <c r="NPV171" s="126"/>
      <c r="NPW171" s="124"/>
      <c r="NPY171" s="111"/>
      <c r="NQA171" s="200"/>
      <c r="NQB171" s="201"/>
      <c r="NQC171" s="201"/>
      <c r="NQD171" s="200"/>
      <c r="NQE171" s="202"/>
      <c r="NQF171" s="203"/>
      <c r="NQG171" s="124"/>
      <c r="NQI171" s="126"/>
      <c r="NQJ171" s="124"/>
      <c r="NQL171" s="111"/>
      <c r="NQN171" s="200"/>
      <c r="NQO171" s="201"/>
      <c r="NQP171" s="201"/>
      <c r="NQQ171" s="200"/>
      <c r="NQR171" s="202"/>
      <c r="NQS171" s="203"/>
      <c r="NQT171" s="124"/>
      <c r="NQV171" s="126"/>
      <c r="NQW171" s="124"/>
      <c r="NQY171" s="111"/>
      <c r="NRA171" s="200"/>
      <c r="NRB171" s="201"/>
      <c r="NRC171" s="201"/>
      <c r="NRD171" s="200"/>
      <c r="NRE171" s="202"/>
      <c r="NRF171" s="203"/>
      <c r="NRG171" s="124"/>
      <c r="NRI171" s="126"/>
      <c r="NRJ171" s="124"/>
      <c r="NRL171" s="111"/>
      <c r="NRN171" s="200"/>
      <c r="NRO171" s="201"/>
      <c r="NRP171" s="201"/>
      <c r="NRQ171" s="200"/>
      <c r="NRR171" s="202"/>
      <c r="NRS171" s="203"/>
      <c r="NRT171" s="124"/>
      <c r="NRV171" s="126"/>
      <c r="NRW171" s="124"/>
      <c r="NRY171" s="111"/>
      <c r="NSA171" s="200"/>
      <c r="NSB171" s="201"/>
      <c r="NSC171" s="201"/>
      <c r="NSD171" s="200"/>
      <c r="NSE171" s="202"/>
      <c r="NSF171" s="203"/>
      <c r="NSG171" s="124"/>
      <c r="NSI171" s="126"/>
      <c r="NSJ171" s="124"/>
      <c r="NSL171" s="111"/>
      <c r="NSN171" s="200"/>
      <c r="NSO171" s="201"/>
      <c r="NSP171" s="201"/>
      <c r="NSQ171" s="200"/>
      <c r="NSR171" s="202"/>
      <c r="NSS171" s="203"/>
      <c r="NST171" s="124"/>
      <c r="NSV171" s="126"/>
      <c r="NSW171" s="124"/>
      <c r="NSY171" s="111"/>
      <c r="NTA171" s="200"/>
      <c r="NTB171" s="201"/>
      <c r="NTC171" s="201"/>
      <c r="NTD171" s="200"/>
      <c r="NTE171" s="202"/>
      <c r="NTF171" s="203"/>
      <c r="NTG171" s="124"/>
      <c r="NTI171" s="126"/>
      <c r="NTJ171" s="124"/>
      <c r="NTL171" s="111"/>
      <c r="NTN171" s="200"/>
      <c r="NTO171" s="201"/>
      <c r="NTP171" s="201"/>
      <c r="NTQ171" s="200"/>
      <c r="NTR171" s="202"/>
      <c r="NTS171" s="203"/>
      <c r="NTT171" s="124"/>
      <c r="NTV171" s="126"/>
      <c r="NTW171" s="124"/>
      <c r="NTY171" s="111"/>
      <c r="NUA171" s="200"/>
      <c r="NUB171" s="201"/>
      <c r="NUC171" s="201"/>
      <c r="NUD171" s="200"/>
      <c r="NUE171" s="202"/>
      <c r="NUF171" s="203"/>
      <c r="NUG171" s="124"/>
      <c r="NUI171" s="126"/>
      <c r="NUJ171" s="124"/>
      <c r="NUL171" s="111"/>
      <c r="NUN171" s="200"/>
      <c r="NUO171" s="201"/>
      <c r="NUP171" s="201"/>
      <c r="NUQ171" s="200"/>
      <c r="NUR171" s="202"/>
      <c r="NUS171" s="203"/>
      <c r="NUT171" s="124"/>
      <c r="NUV171" s="126"/>
      <c r="NUW171" s="124"/>
      <c r="NUY171" s="111"/>
      <c r="NVA171" s="200"/>
      <c r="NVB171" s="201"/>
      <c r="NVC171" s="201"/>
      <c r="NVD171" s="200"/>
      <c r="NVE171" s="202"/>
      <c r="NVF171" s="203"/>
      <c r="NVG171" s="124"/>
      <c r="NVI171" s="126"/>
      <c r="NVJ171" s="124"/>
      <c r="NVL171" s="111"/>
      <c r="NVN171" s="200"/>
      <c r="NVO171" s="201"/>
      <c r="NVP171" s="201"/>
      <c r="NVQ171" s="200"/>
      <c r="NVR171" s="202"/>
      <c r="NVS171" s="203"/>
      <c r="NVT171" s="124"/>
      <c r="NVV171" s="126"/>
      <c r="NVW171" s="124"/>
      <c r="NVY171" s="111"/>
      <c r="NWA171" s="200"/>
      <c r="NWB171" s="201"/>
      <c r="NWC171" s="201"/>
      <c r="NWD171" s="200"/>
      <c r="NWE171" s="202"/>
      <c r="NWF171" s="203"/>
      <c r="NWG171" s="124"/>
      <c r="NWI171" s="126"/>
      <c r="NWJ171" s="124"/>
      <c r="NWL171" s="111"/>
      <c r="NWN171" s="200"/>
      <c r="NWO171" s="201"/>
      <c r="NWP171" s="201"/>
      <c r="NWQ171" s="200"/>
      <c r="NWR171" s="202"/>
      <c r="NWS171" s="203"/>
      <c r="NWT171" s="124"/>
      <c r="NWV171" s="126"/>
      <c r="NWW171" s="124"/>
      <c r="NWY171" s="111"/>
      <c r="NXA171" s="200"/>
      <c r="NXB171" s="201"/>
      <c r="NXC171" s="201"/>
      <c r="NXD171" s="200"/>
      <c r="NXE171" s="202"/>
      <c r="NXF171" s="203"/>
      <c r="NXG171" s="124"/>
      <c r="NXI171" s="126"/>
      <c r="NXJ171" s="124"/>
      <c r="NXL171" s="111"/>
      <c r="NXN171" s="200"/>
      <c r="NXO171" s="201"/>
      <c r="NXP171" s="201"/>
      <c r="NXQ171" s="200"/>
      <c r="NXR171" s="202"/>
      <c r="NXS171" s="203"/>
      <c r="NXT171" s="124"/>
      <c r="NXV171" s="126"/>
      <c r="NXW171" s="124"/>
      <c r="NXY171" s="111"/>
      <c r="NYA171" s="200"/>
      <c r="NYB171" s="201"/>
      <c r="NYC171" s="201"/>
      <c r="NYD171" s="200"/>
      <c r="NYE171" s="202"/>
      <c r="NYF171" s="203"/>
      <c r="NYG171" s="124"/>
      <c r="NYI171" s="126"/>
      <c r="NYJ171" s="124"/>
      <c r="NYL171" s="111"/>
      <c r="NYN171" s="200"/>
      <c r="NYO171" s="201"/>
      <c r="NYP171" s="201"/>
      <c r="NYQ171" s="200"/>
      <c r="NYR171" s="202"/>
      <c r="NYS171" s="203"/>
      <c r="NYT171" s="124"/>
      <c r="NYV171" s="126"/>
      <c r="NYW171" s="124"/>
      <c r="NYY171" s="111"/>
      <c r="NZA171" s="200"/>
      <c r="NZB171" s="201"/>
      <c r="NZC171" s="201"/>
      <c r="NZD171" s="200"/>
      <c r="NZE171" s="202"/>
      <c r="NZF171" s="203"/>
      <c r="NZG171" s="124"/>
      <c r="NZI171" s="126"/>
      <c r="NZJ171" s="124"/>
      <c r="NZL171" s="111"/>
      <c r="NZN171" s="200"/>
      <c r="NZO171" s="201"/>
      <c r="NZP171" s="201"/>
      <c r="NZQ171" s="200"/>
      <c r="NZR171" s="202"/>
      <c r="NZS171" s="203"/>
      <c r="NZT171" s="124"/>
      <c r="NZV171" s="126"/>
      <c r="NZW171" s="124"/>
      <c r="NZY171" s="111"/>
      <c r="OAA171" s="200"/>
      <c r="OAB171" s="201"/>
      <c r="OAC171" s="201"/>
      <c r="OAD171" s="200"/>
      <c r="OAE171" s="202"/>
      <c r="OAF171" s="203"/>
      <c r="OAG171" s="124"/>
      <c r="OAI171" s="126"/>
      <c r="OAJ171" s="124"/>
      <c r="OAL171" s="111"/>
      <c r="OAN171" s="200"/>
      <c r="OAO171" s="201"/>
      <c r="OAP171" s="201"/>
      <c r="OAQ171" s="200"/>
      <c r="OAR171" s="202"/>
      <c r="OAS171" s="203"/>
      <c r="OAT171" s="124"/>
      <c r="OAV171" s="126"/>
      <c r="OAW171" s="124"/>
      <c r="OAY171" s="111"/>
      <c r="OBA171" s="200"/>
      <c r="OBB171" s="201"/>
      <c r="OBC171" s="201"/>
      <c r="OBD171" s="200"/>
      <c r="OBE171" s="202"/>
      <c r="OBF171" s="203"/>
      <c r="OBG171" s="124"/>
      <c r="OBI171" s="126"/>
      <c r="OBJ171" s="124"/>
      <c r="OBL171" s="111"/>
      <c r="OBN171" s="200"/>
      <c r="OBO171" s="201"/>
      <c r="OBP171" s="201"/>
      <c r="OBQ171" s="200"/>
      <c r="OBR171" s="202"/>
      <c r="OBS171" s="203"/>
      <c r="OBT171" s="124"/>
      <c r="OBV171" s="126"/>
      <c r="OBW171" s="124"/>
      <c r="OBY171" s="111"/>
      <c r="OCA171" s="200"/>
      <c r="OCB171" s="201"/>
      <c r="OCC171" s="201"/>
      <c r="OCD171" s="200"/>
      <c r="OCE171" s="202"/>
      <c r="OCF171" s="203"/>
      <c r="OCG171" s="124"/>
      <c r="OCI171" s="126"/>
      <c r="OCJ171" s="124"/>
      <c r="OCL171" s="111"/>
      <c r="OCN171" s="200"/>
      <c r="OCO171" s="201"/>
      <c r="OCP171" s="201"/>
      <c r="OCQ171" s="200"/>
      <c r="OCR171" s="202"/>
      <c r="OCS171" s="203"/>
      <c r="OCT171" s="124"/>
      <c r="OCV171" s="126"/>
      <c r="OCW171" s="124"/>
      <c r="OCY171" s="111"/>
      <c r="ODA171" s="200"/>
      <c r="ODB171" s="201"/>
      <c r="ODC171" s="201"/>
      <c r="ODD171" s="200"/>
      <c r="ODE171" s="202"/>
      <c r="ODF171" s="203"/>
      <c r="ODG171" s="124"/>
      <c r="ODI171" s="126"/>
      <c r="ODJ171" s="124"/>
      <c r="ODL171" s="111"/>
      <c r="ODN171" s="200"/>
      <c r="ODO171" s="201"/>
      <c r="ODP171" s="201"/>
      <c r="ODQ171" s="200"/>
      <c r="ODR171" s="202"/>
      <c r="ODS171" s="203"/>
      <c r="ODT171" s="124"/>
      <c r="ODV171" s="126"/>
      <c r="ODW171" s="124"/>
      <c r="ODY171" s="111"/>
      <c r="OEA171" s="200"/>
      <c r="OEB171" s="201"/>
      <c r="OEC171" s="201"/>
      <c r="OED171" s="200"/>
      <c r="OEE171" s="202"/>
      <c r="OEF171" s="203"/>
      <c r="OEG171" s="124"/>
      <c r="OEI171" s="126"/>
      <c r="OEJ171" s="124"/>
      <c r="OEL171" s="111"/>
      <c r="OEN171" s="200"/>
      <c r="OEO171" s="201"/>
      <c r="OEP171" s="201"/>
      <c r="OEQ171" s="200"/>
      <c r="OER171" s="202"/>
      <c r="OES171" s="203"/>
      <c r="OET171" s="124"/>
      <c r="OEV171" s="126"/>
      <c r="OEW171" s="124"/>
      <c r="OEY171" s="111"/>
      <c r="OFA171" s="200"/>
      <c r="OFB171" s="201"/>
      <c r="OFC171" s="201"/>
      <c r="OFD171" s="200"/>
      <c r="OFE171" s="202"/>
      <c r="OFF171" s="203"/>
      <c r="OFG171" s="124"/>
      <c r="OFI171" s="126"/>
      <c r="OFJ171" s="124"/>
      <c r="OFL171" s="111"/>
      <c r="OFN171" s="200"/>
      <c r="OFO171" s="201"/>
      <c r="OFP171" s="201"/>
      <c r="OFQ171" s="200"/>
      <c r="OFR171" s="202"/>
      <c r="OFS171" s="203"/>
      <c r="OFT171" s="124"/>
      <c r="OFV171" s="126"/>
      <c r="OFW171" s="124"/>
      <c r="OFY171" s="111"/>
      <c r="OGA171" s="200"/>
      <c r="OGB171" s="201"/>
      <c r="OGC171" s="201"/>
      <c r="OGD171" s="200"/>
      <c r="OGE171" s="202"/>
      <c r="OGF171" s="203"/>
      <c r="OGG171" s="124"/>
      <c r="OGI171" s="126"/>
      <c r="OGJ171" s="124"/>
      <c r="OGL171" s="111"/>
      <c r="OGN171" s="200"/>
      <c r="OGO171" s="201"/>
      <c r="OGP171" s="201"/>
      <c r="OGQ171" s="200"/>
      <c r="OGR171" s="202"/>
      <c r="OGS171" s="203"/>
      <c r="OGT171" s="124"/>
      <c r="OGV171" s="126"/>
      <c r="OGW171" s="124"/>
      <c r="OGY171" s="111"/>
      <c r="OHA171" s="200"/>
      <c r="OHB171" s="201"/>
      <c r="OHC171" s="201"/>
      <c r="OHD171" s="200"/>
      <c r="OHE171" s="202"/>
      <c r="OHF171" s="203"/>
      <c r="OHG171" s="124"/>
      <c r="OHI171" s="126"/>
      <c r="OHJ171" s="124"/>
      <c r="OHL171" s="111"/>
      <c r="OHN171" s="200"/>
      <c r="OHO171" s="201"/>
      <c r="OHP171" s="201"/>
      <c r="OHQ171" s="200"/>
      <c r="OHR171" s="202"/>
      <c r="OHS171" s="203"/>
      <c r="OHT171" s="124"/>
      <c r="OHV171" s="126"/>
      <c r="OHW171" s="124"/>
      <c r="OHY171" s="111"/>
      <c r="OIA171" s="200"/>
      <c r="OIB171" s="201"/>
      <c r="OIC171" s="201"/>
      <c r="OID171" s="200"/>
      <c r="OIE171" s="202"/>
      <c r="OIF171" s="203"/>
      <c r="OIG171" s="124"/>
      <c r="OII171" s="126"/>
      <c r="OIJ171" s="124"/>
      <c r="OIL171" s="111"/>
      <c r="OIN171" s="200"/>
      <c r="OIO171" s="201"/>
      <c r="OIP171" s="201"/>
      <c r="OIQ171" s="200"/>
      <c r="OIR171" s="202"/>
      <c r="OIS171" s="203"/>
      <c r="OIT171" s="124"/>
      <c r="OIV171" s="126"/>
      <c r="OIW171" s="124"/>
      <c r="OIY171" s="111"/>
      <c r="OJA171" s="200"/>
      <c r="OJB171" s="201"/>
      <c r="OJC171" s="201"/>
      <c r="OJD171" s="200"/>
      <c r="OJE171" s="202"/>
      <c r="OJF171" s="203"/>
      <c r="OJG171" s="124"/>
      <c r="OJI171" s="126"/>
      <c r="OJJ171" s="124"/>
      <c r="OJL171" s="111"/>
      <c r="OJN171" s="200"/>
      <c r="OJO171" s="201"/>
      <c r="OJP171" s="201"/>
      <c r="OJQ171" s="200"/>
      <c r="OJR171" s="202"/>
      <c r="OJS171" s="203"/>
      <c r="OJT171" s="124"/>
      <c r="OJV171" s="126"/>
      <c r="OJW171" s="124"/>
      <c r="OJY171" s="111"/>
      <c r="OKA171" s="200"/>
      <c r="OKB171" s="201"/>
      <c r="OKC171" s="201"/>
      <c r="OKD171" s="200"/>
      <c r="OKE171" s="202"/>
      <c r="OKF171" s="203"/>
      <c r="OKG171" s="124"/>
      <c r="OKI171" s="126"/>
      <c r="OKJ171" s="124"/>
      <c r="OKL171" s="111"/>
      <c r="OKN171" s="200"/>
      <c r="OKO171" s="201"/>
      <c r="OKP171" s="201"/>
      <c r="OKQ171" s="200"/>
      <c r="OKR171" s="202"/>
      <c r="OKS171" s="203"/>
      <c r="OKT171" s="124"/>
      <c r="OKV171" s="126"/>
      <c r="OKW171" s="124"/>
      <c r="OKY171" s="111"/>
      <c r="OLA171" s="200"/>
      <c r="OLB171" s="201"/>
      <c r="OLC171" s="201"/>
      <c r="OLD171" s="200"/>
      <c r="OLE171" s="202"/>
      <c r="OLF171" s="203"/>
      <c r="OLG171" s="124"/>
      <c r="OLI171" s="126"/>
      <c r="OLJ171" s="124"/>
      <c r="OLL171" s="111"/>
      <c r="OLN171" s="200"/>
      <c r="OLO171" s="201"/>
      <c r="OLP171" s="201"/>
      <c r="OLQ171" s="200"/>
      <c r="OLR171" s="202"/>
      <c r="OLS171" s="203"/>
      <c r="OLT171" s="124"/>
      <c r="OLV171" s="126"/>
      <c r="OLW171" s="124"/>
      <c r="OLY171" s="111"/>
      <c r="OMA171" s="200"/>
      <c r="OMB171" s="201"/>
      <c r="OMC171" s="201"/>
      <c r="OMD171" s="200"/>
      <c r="OME171" s="202"/>
      <c r="OMF171" s="203"/>
      <c r="OMG171" s="124"/>
      <c r="OMI171" s="126"/>
      <c r="OMJ171" s="124"/>
      <c r="OML171" s="111"/>
      <c r="OMN171" s="200"/>
      <c r="OMO171" s="201"/>
      <c r="OMP171" s="201"/>
      <c r="OMQ171" s="200"/>
      <c r="OMR171" s="202"/>
      <c r="OMS171" s="203"/>
      <c r="OMT171" s="124"/>
      <c r="OMV171" s="126"/>
      <c r="OMW171" s="124"/>
      <c r="OMY171" s="111"/>
      <c r="ONA171" s="200"/>
      <c r="ONB171" s="201"/>
      <c r="ONC171" s="201"/>
      <c r="OND171" s="200"/>
      <c r="ONE171" s="202"/>
      <c r="ONF171" s="203"/>
      <c r="ONG171" s="124"/>
      <c r="ONI171" s="126"/>
      <c r="ONJ171" s="124"/>
      <c r="ONL171" s="111"/>
      <c r="ONN171" s="200"/>
      <c r="ONO171" s="201"/>
      <c r="ONP171" s="201"/>
      <c r="ONQ171" s="200"/>
      <c r="ONR171" s="202"/>
      <c r="ONS171" s="203"/>
      <c r="ONT171" s="124"/>
      <c r="ONV171" s="126"/>
      <c r="ONW171" s="124"/>
      <c r="ONY171" s="111"/>
      <c r="OOA171" s="200"/>
      <c r="OOB171" s="201"/>
      <c r="OOC171" s="201"/>
      <c r="OOD171" s="200"/>
      <c r="OOE171" s="202"/>
      <c r="OOF171" s="203"/>
      <c r="OOG171" s="124"/>
      <c r="OOI171" s="126"/>
      <c r="OOJ171" s="124"/>
      <c r="OOL171" s="111"/>
      <c r="OON171" s="200"/>
      <c r="OOO171" s="201"/>
      <c r="OOP171" s="201"/>
      <c r="OOQ171" s="200"/>
      <c r="OOR171" s="202"/>
      <c r="OOS171" s="203"/>
      <c r="OOT171" s="124"/>
      <c r="OOV171" s="126"/>
      <c r="OOW171" s="124"/>
      <c r="OOY171" s="111"/>
      <c r="OPA171" s="200"/>
      <c r="OPB171" s="201"/>
      <c r="OPC171" s="201"/>
      <c r="OPD171" s="200"/>
      <c r="OPE171" s="202"/>
      <c r="OPF171" s="203"/>
      <c r="OPG171" s="124"/>
      <c r="OPI171" s="126"/>
      <c r="OPJ171" s="124"/>
      <c r="OPL171" s="111"/>
      <c r="OPN171" s="200"/>
      <c r="OPO171" s="201"/>
      <c r="OPP171" s="201"/>
      <c r="OPQ171" s="200"/>
      <c r="OPR171" s="202"/>
      <c r="OPS171" s="203"/>
      <c r="OPT171" s="124"/>
      <c r="OPV171" s="126"/>
      <c r="OPW171" s="124"/>
      <c r="OPY171" s="111"/>
      <c r="OQA171" s="200"/>
      <c r="OQB171" s="201"/>
      <c r="OQC171" s="201"/>
      <c r="OQD171" s="200"/>
      <c r="OQE171" s="202"/>
      <c r="OQF171" s="203"/>
      <c r="OQG171" s="124"/>
      <c r="OQI171" s="126"/>
      <c r="OQJ171" s="124"/>
      <c r="OQL171" s="111"/>
      <c r="OQN171" s="200"/>
      <c r="OQO171" s="201"/>
      <c r="OQP171" s="201"/>
      <c r="OQQ171" s="200"/>
      <c r="OQR171" s="202"/>
      <c r="OQS171" s="203"/>
      <c r="OQT171" s="124"/>
      <c r="OQV171" s="126"/>
      <c r="OQW171" s="124"/>
      <c r="OQY171" s="111"/>
      <c r="ORA171" s="200"/>
      <c r="ORB171" s="201"/>
      <c r="ORC171" s="201"/>
      <c r="ORD171" s="200"/>
      <c r="ORE171" s="202"/>
      <c r="ORF171" s="203"/>
      <c r="ORG171" s="124"/>
      <c r="ORI171" s="126"/>
      <c r="ORJ171" s="124"/>
      <c r="ORL171" s="111"/>
      <c r="ORN171" s="200"/>
      <c r="ORO171" s="201"/>
      <c r="ORP171" s="201"/>
      <c r="ORQ171" s="200"/>
      <c r="ORR171" s="202"/>
      <c r="ORS171" s="203"/>
      <c r="ORT171" s="124"/>
      <c r="ORV171" s="126"/>
      <c r="ORW171" s="124"/>
      <c r="ORY171" s="111"/>
      <c r="OSA171" s="200"/>
      <c r="OSB171" s="201"/>
      <c r="OSC171" s="201"/>
      <c r="OSD171" s="200"/>
      <c r="OSE171" s="202"/>
      <c r="OSF171" s="203"/>
      <c r="OSG171" s="124"/>
      <c r="OSI171" s="126"/>
      <c r="OSJ171" s="124"/>
      <c r="OSL171" s="111"/>
      <c r="OSN171" s="200"/>
      <c r="OSO171" s="201"/>
      <c r="OSP171" s="201"/>
      <c r="OSQ171" s="200"/>
      <c r="OSR171" s="202"/>
      <c r="OSS171" s="203"/>
      <c r="OST171" s="124"/>
      <c r="OSV171" s="126"/>
      <c r="OSW171" s="124"/>
      <c r="OSY171" s="111"/>
      <c r="OTA171" s="200"/>
      <c r="OTB171" s="201"/>
      <c r="OTC171" s="201"/>
      <c r="OTD171" s="200"/>
      <c r="OTE171" s="202"/>
      <c r="OTF171" s="203"/>
      <c r="OTG171" s="124"/>
      <c r="OTI171" s="126"/>
      <c r="OTJ171" s="124"/>
      <c r="OTL171" s="111"/>
      <c r="OTN171" s="200"/>
      <c r="OTO171" s="201"/>
      <c r="OTP171" s="201"/>
      <c r="OTQ171" s="200"/>
      <c r="OTR171" s="202"/>
      <c r="OTS171" s="203"/>
      <c r="OTT171" s="124"/>
      <c r="OTV171" s="126"/>
      <c r="OTW171" s="124"/>
      <c r="OTY171" s="111"/>
      <c r="OUA171" s="200"/>
      <c r="OUB171" s="201"/>
      <c r="OUC171" s="201"/>
      <c r="OUD171" s="200"/>
      <c r="OUE171" s="202"/>
      <c r="OUF171" s="203"/>
      <c r="OUG171" s="124"/>
      <c r="OUI171" s="126"/>
      <c r="OUJ171" s="124"/>
      <c r="OUL171" s="111"/>
      <c r="OUN171" s="200"/>
      <c r="OUO171" s="201"/>
      <c r="OUP171" s="201"/>
      <c r="OUQ171" s="200"/>
      <c r="OUR171" s="202"/>
      <c r="OUS171" s="203"/>
      <c r="OUT171" s="124"/>
      <c r="OUV171" s="126"/>
      <c r="OUW171" s="124"/>
      <c r="OUY171" s="111"/>
      <c r="OVA171" s="200"/>
      <c r="OVB171" s="201"/>
      <c r="OVC171" s="201"/>
      <c r="OVD171" s="200"/>
      <c r="OVE171" s="202"/>
      <c r="OVF171" s="203"/>
      <c r="OVG171" s="124"/>
      <c r="OVI171" s="126"/>
      <c r="OVJ171" s="124"/>
      <c r="OVL171" s="111"/>
      <c r="OVN171" s="200"/>
      <c r="OVO171" s="201"/>
      <c r="OVP171" s="201"/>
      <c r="OVQ171" s="200"/>
      <c r="OVR171" s="202"/>
      <c r="OVS171" s="203"/>
      <c r="OVT171" s="124"/>
      <c r="OVV171" s="126"/>
      <c r="OVW171" s="124"/>
      <c r="OVY171" s="111"/>
      <c r="OWA171" s="200"/>
      <c r="OWB171" s="201"/>
      <c r="OWC171" s="201"/>
      <c r="OWD171" s="200"/>
      <c r="OWE171" s="202"/>
      <c r="OWF171" s="203"/>
      <c r="OWG171" s="124"/>
      <c r="OWI171" s="126"/>
      <c r="OWJ171" s="124"/>
      <c r="OWL171" s="111"/>
      <c r="OWN171" s="200"/>
      <c r="OWO171" s="201"/>
      <c r="OWP171" s="201"/>
      <c r="OWQ171" s="200"/>
      <c r="OWR171" s="202"/>
      <c r="OWS171" s="203"/>
      <c r="OWT171" s="124"/>
      <c r="OWV171" s="126"/>
      <c r="OWW171" s="124"/>
      <c r="OWY171" s="111"/>
      <c r="OXA171" s="200"/>
      <c r="OXB171" s="201"/>
      <c r="OXC171" s="201"/>
      <c r="OXD171" s="200"/>
      <c r="OXE171" s="202"/>
      <c r="OXF171" s="203"/>
      <c r="OXG171" s="124"/>
      <c r="OXI171" s="126"/>
      <c r="OXJ171" s="124"/>
      <c r="OXL171" s="111"/>
      <c r="OXN171" s="200"/>
      <c r="OXO171" s="201"/>
      <c r="OXP171" s="201"/>
      <c r="OXQ171" s="200"/>
      <c r="OXR171" s="202"/>
      <c r="OXS171" s="203"/>
      <c r="OXT171" s="124"/>
      <c r="OXV171" s="126"/>
      <c r="OXW171" s="124"/>
      <c r="OXY171" s="111"/>
      <c r="OYA171" s="200"/>
      <c r="OYB171" s="201"/>
      <c r="OYC171" s="201"/>
      <c r="OYD171" s="200"/>
      <c r="OYE171" s="202"/>
      <c r="OYF171" s="203"/>
      <c r="OYG171" s="124"/>
      <c r="OYI171" s="126"/>
      <c r="OYJ171" s="124"/>
      <c r="OYL171" s="111"/>
      <c r="OYN171" s="200"/>
      <c r="OYO171" s="201"/>
      <c r="OYP171" s="201"/>
      <c r="OYQ171" s="200"/>
      <c r="OYR171" s="202"/>
      <c r="OYS171" s="203"/>
      <c r="OYT171" s="124"/>
      <c r="OYV171" s="126"/>
      <c r="OYW171" s="124"/>
      <c r="OYY171" s="111"/>
      <c r="OZA171" s="200"/>
      <c r="OZB171" s="201"/>
      <c r="OZC171" s="201"/>
      <c r="OZD171" s="200"/>
      <c r="OZE171" s="202"/>
      <c r="OZF171" s="203"/>
      <c r="OZG171" s="124"/>
      <c r="OZI171" s="126"/>
      <c r="OZJ171" s="124"/>
      <c r="OZL171" s="111"/>
      <c r="OZN171" s="200"/>
      <c r="OZO171" s="201"/>
      <c r="OZP171" s="201"/>
      <c r="OZQ171" s="200"/>
      <c r="OZR171" s="202"/>
      <c r="OZS171" s="203"/>
      <c r="OZT171" s="124"/>
      <c r="OZV171" s="126"/>
      <c r="OZW171" s="124"/>
      <c r="OZY171" s="111"/>
      <c r="PAA171" s="200"/>
      <c r="PAB171" s="201"/>
      <c r="PAC171" s="201"/>
      <c r="PAD171" s="200"/>
      <c r="PAE171" s="202"/>
      <c r="PAF171" s="203"/>
      <c r="PAG171" s="124"/>
      <c r="PAI171" s="126"/>
      <c r="PAJ171" s="124"/>
      <c r="PAL171" s="111"/>
      <c r="PAN171" s="200"/>
      <c r="PAO171" s="201"/>
      <c r="PAP171" s="201"/>
      <c r="PAQ171" s="200"/>
      <c r="PAR171" s="202"/>
      <c r="PAS171" s="203"/>
      <c r="PAT171" s="124"/>
      <c r="PAV171" s="126"/>
      <c r="PAW171" s="124"/>
      <c r="PAY171" s="111"/>
      <c r="PBA171" s="200"/>
      <c r="PBB171" s="201"/>
      <c r="PBC171" s="201"/>
      <c r="PBD171" s="200"/>
      <c r="PBE171" s="202"/>
      <c r="PBF171" s="203"/>
      <c r="PBG171" s="124"/>
      <c r="PBI171" s="126"/>
      <c r="PBJ171" s="124"/>
      <c r="PBL171" s="111"/>
      <c r="PBN171" s="200"/>
      <c r="PBO171" s="201"/>
      <c r="PBP171" s="201"/>
      <c r="PBQ171" s="200"/>
      <c r="PBR171" s="202"/>
      <c r="PBS171" s="203"/>
      <c r="PBT171" s="124"/>
      <c r="PBV171" s="126"/>
      <c r="PBW171" s="124"/>
      <c r="PBY171" s="111"/>
      <c r="PCA171" s="200"/>
      <c r="PCB171" s="201"/>
      <c r="PCC171" s="201"/>
      <c r="PCD171" s="200"/>
      <c r="PCE171" s="202"/>
      <c r="PCF171" s="203"/>
      <c r="PCG171" s="124"/>
      <c r="PCI171" s="126"/>
      <c r="PCJ171" s="124"/>
      <c r="PCL171" s="111"/>
      <c r="PCN171" s="200"/>
      <c r="PCO171" s="201"/>
      <c r="PCP171" s="201"/>
      <c r="PCQ171" s="200"/>
      <c r="PCR171" s="202"/>
      <c r="PCS171" s="203"/>
      <c r="PCT171" s="124"/>
      <c r="PCV171" s="126"/>
      <c r="PCW171" s="124"/>
      <c r="PCY171" s="111"/>
      <c r="PDA171" s="200"/>
      <c r="PDB171" s="201"/>
      <c r="PDC171" s="201"/>
      <c r="PDD171" s="200"/>
      <c r="PDE171" s="202"/>
      <c r="PDF171" s="203"/>
      <c r="PDG171" s="124"/>
      <c r="PDI171" s="126"/>
      <c r="PDJ171" s="124"/>
      <c r="PDL171" s="111"/>
      <c r="PDN171" s="200"/>
      <c r="PDO171" s="201"/>
      <c r="PDP171" s="201"/>
      <c r="PDQ171" s="200"/>
      <c r="PDR171" s="202"/>
      <c r="PDS171" s="203"/>
      <c r="PDT171" s="124"/>
      <c r="PDV171" s="126"/>
      <c r="PDW171" s="124"/>
      <c r="PDY171" s="111"/>
      <c r="PEA171" s="200"/>
      <c r="PEB171" s="201"/>
      <c r="PEC171" s="201"/>
      <c r="PED171" s="200"/>
      <c r="PEE171" s="202"/>
      <c r="PEF171" s="203"/>
      <c r="PEG171" s="124"/>
      <c r="PEI171" s="126"/>
      <c r="PEJ171" s="124"/>
      <c r="PEL171" s="111"/>
      <c r="PEN171" s="200"/>
      <c r="PEO171" s="201"/>
      <c r="PEP171" s="201"/>
      <c r="PEQ171" s="200"/>
      <c r="PER171" s="202"/>
      <c r="PES171" s="203"/>
      <c r="PET171" s="124"/>
      <c r="PEV171" s="126"/>
      <c r="PEW171" s="124"/>
      <c r="PEY171" s="111"/>
      <c r="PFA171" s="200"/>
      <c r="PFB171" s="201"/>
      <c r="PFC171" s="201"/>
      <c r="PFD171" s="200"/>
      <c r="PFE171" s="202"/>
      <c r="PFF171" s="203"/>
      <c r="PFG171" s="124"/>
      <c r="PFI171" s="126"/>
      <c r="PFJ171" s="124"/>
      <c r="PFL171" s="111"/>
      <c r="PFN171" s="200"/>
      <c r="PFO171" s="201"/>
      <c r="PFP171" s="201"/>
      <c r="PFQ171" s="200"/>
      <c r="PFR171" s="202"/>
      <c r="PFS171" s="203"/>
      <c r="PFT171" s="124"/>
      <c r="PFV171" s="126"/>
      <c r="PFW171" s="124"/>
      <c r="PFY171" s="111"/>
      <c r="PGA171" s="200"/>
      <c r="PGB171" s="201"/>
      <c r="PGC171" s="201"/>
      <c r="PGD171" s="200"/>
      <c r="PGE171" s="202"/>
      <c r="PGF171" s="203"/>
      <c r="PGG171" s="124"/>
      <c r="PGI171" s="126"/>
      <c r="PGJ171" s="124"/>
      <c r="PGL171" s="111"/>
      <c r="PGN171" s="200"/>
      <c r="PGO171" s="201"/>
      <c r="PGP171" s="201"/>
      <c r="PGQ171" s="200"/>
      <c r="PGR171" s="202"/>
      <c r="PGS171" s="203"/>
      <c r="PGT171" s="124"/>
      <c r="PGV171" s="126"/>
      <c r="PGW171" s="124"/>
      <c r="PGY171" s="111"/>
      <c r="PHA171" s="200"/>
      <c r="PHB171" s="201"/>
      <c r="PHC171" s="201"/>
      <c r="PHD171" s="200"/>
      <c r="PHE171" s="202"/>
      <c r="PHF171" s="203"/>
      <c r="PHG171" s="124"/>
      <c r="PHI171" s="126"/>
      <c r="PHJ171" s="124"/>
      <c r="PHL171" s="111"/>
      <c r="PHN171" s="200"/>
      <c r="PHO171" s="201"/>
      <c r="PHP171" s="201"/>
      <c r="PHQ171" s="200"/>
      <c r="PHR171" s="202"/>
      <c r="PHS171" s="203"/>
      <c r="PHT171" s="124"/>
      <c r="PHV171" s="126"/>
      <c r="PHW171" s="124"/>
      <c r="PHY171" s="111"/>
      <c r="PIA171" s="200"/>
      <c r="PIB171" s="201"/>
      <c r="PIC171" s="201"/>
      <c r="PID171" s="200"/>
      <c r="PIE171" s="202"/>
      <c r="PIF171" s="203"/>
      <c r="PIG171" s="124"/>
      <c r="PII171" s="126"/>
      <c r="PIJ171" s="124"/>
      <c r="PIL171" s="111"/>
      <c r="PIN171" s="200"/>
      <c r="PIO171" s="201"/>
      <c r="PIP171" s="201"/>
      <c r="PIQ171" s="200"/>
      <c r="PIR171" s="202"/>
      <c r="PIS171" s="203"/>
      <c r="PIT171" s="124"/>
      <c r="PIV171" s="126"/>
      <c r="PIW171" s="124"/>
      <c r="PIY171" s="111"/>
      <c r="PJA171" s="200"/>
      <c r="PJB171" s="201"/>
      <c r="PJC171" s="201"/>
      <c r="PJD171" s="200"/>
      <c r="PJE171" s="202"/>
      <c r="PJF171" s="203"/>
      <c r="PJG171" s="124"/>
      <c r="PJI171" s="126"/>
      <c r="PJJ171" s="124"/>
      <c r="PJL171" s="111"/>
      <c r="PJN171" s="200"/>
      <c r="PJO171" s="201"/>
      <c r="PJP171" s="201"/>
      <c r="PJQ171" s="200"/>
      <c r="PJR171" s="202"/>
      <c r="PJS171" s="203"/>
      <c r="PJT171" s="124"/>
      <c r="PJV171" s="126"/>
      <c r="PJW171" s="124"/>
      <c r="PJY171" s="111"/>
      <c r="PKA171" s="200"/>
      <c r="PKB171" s="201"/>
      <c r="PKC171" s="201"/>
      <c r="PKD171" s="200"/>
      <c r="PKE171" s="202"/>
      <c r="PKF171" s="203"/>
      <c r="PKG171" s="124"/>
      <c r="PKI171" s="126"/>
      <c r="PKJ171" s="124"/>
      <c r="PKL171" s="111"/>
      <c r="PKN171" s="200"/>
      <c r="PKO171" s="201"/>
      <c r="PKP171" s="201"/>
      <c r="PKQ171" s="200"/>
      <c r="PKR171" s="202"/>
      <c r="PKS171" s="203"/>
      <c r="PKT171" s="124"/>
      <c r="PKV171" s="126"/>
      <c r="PKW171" s="124"/>
      <c r="PKY171" s="111"/>
      <c r="PLA171" s="200"/>
      <c r="PLB171" s="201"/>
      <c r="PLC171" s="201"/>
      <c r="PLD171" s="200"/>
      <c r="PLE171" s="202"/>
      <c r="PLF171" s="203"/>
      <c r="PLG171" s="124"/>
      <c r="PLI171" s="126"/>
      <c r="PLJ171" s="124"/>
      <c r="PLL171" s="111"/>
      <c r="PLN171" s="200"/>
      <c r="PLO171" s="201"/>
      <c r="PLP171" s="201"/>
      <c r="PLQ171" s="200"/>
      <c r="PLR171" s="202"/>
      <c r="PLS171" s="203"/>
      <c r="PLT171" s="124"/>
      <c r="PLV171" s="126"/>
      <c r="PLW171" s="124"/>
      <c r="PLY171" s="111"/>
      <c r="PMA171" s="200"/>
      <c r="PMB171" s="201"/>
      <c r="PMC171" s="201"/>
      <c r="PMD171" s="200"/>
      <c r="PME171" s="202"/>
      <c r="PMF171" s="203"/>
      <c r="PMG171" s="124"/>
      <c r="PMI171" s="126"/>
      <c r="PMJ171" s="124"/>
      <c r="PML171" s="111"/>
      <c r="PMN171" s="200"/>
      <c r="PMO171" s="201"/>
      <c r="PMP171" s="201"/>
      <c r="PMQ171" s="200"/>
      <c r="PMR171" s="202"/>
      <c r="PMS171" s="203"/>
      <c r="PMT171" s="124"/>
      <c r="PMV171" s="126"/>
      <c r="PMW171" s="124"/>
      <c r="PMY171" s="111"/>
      <c r="PNA171" s="200"/>
      <c r="PNB171" s="201"/>
      <c r="PNC171" s="201"/>
      <c r="PND171" s="200"/>
      <c r="PNE171" s="202"/>
      <c r="PNF171" s="203"/>
      <c r="PNG171" s="124"/>
      <c r="PNI171" s="126"/>
      <c r="PNJ171" s="124"/>
      <c r="PNL171" s="111"/>
      <c r="PNN171" s="200"/>
      <c r="PNO171" s="201"/>
      <c r="PNP171" s="201"/>
      <c r="PNQ171" s="200"/>
      <c r="PNR171" s="202"/>
      <c r="PNS171" s="203"/>
      <c r="PNT171" s="124"/>
      <c r="PNV171" s="126"/>
      <c r="PNW171" s="124"/>
      <c r="PNY171" s="111"/>
      <c r="POA171" s="200"/>
      <c r="POB171" s="201"/>
      <c r="POC171" s="201"/>
      <c r="POD171" s="200"/>
      <c r="POE171" s="202"/>
      <c r="POF171" s="203"/>
      <c r="POG171" s="124"/>
      <c r="POI171" s="126"/>
      <c r="POJ171" s="124"/>
      <c r="POL171" s="111"/>
      <c r="PON171" s="200"/>
      <c r="POO171" s="201"/>
      <c r="POP171" s="201"/>
      <c r="POQ171" s="200"/>
      <c r="POR171" s="202"/>
      <c r="POS171" s="203"/>
      <c r="POT171" s="124"/>
      <c r="POV171" s="126"/>
      <c r="POW171" s="124"/>
      <c r="POY171" s="111"/>
      <c r="PPA171" s="200"/>
      <c r="PPB171" s="201"/>
      <c r="PPC171" s="201"/>
      <c r="PPD171" s="200"/>
      <c r="PPE171" s="202"/>
      <c r="PPF171" s="203"/>
      <c r="PPG171" s="124"/>
      <c r="PPI171" s="126"/>
      <c r="PPJ171" s="124"/>
      <c r="PPL171" s="111"/>
      <c r="PPN171" s="200"/>
      <c r="PPO171" s="201"/>
      <c r="PPP171" s="201"/>
      <c r="PPQ171" s="200"/>
      <c r="PPR171" s="202"/>
      <c r="PPS171" s="203"/>
      <c r="PPT171" s="124"/>
      <c r="PPV171" s="126"/>
      <c r="PPW171" s="124"/>
      <c r="PPY171" s="111"/>
      <c r="PQA171" s="200"/>
      <c r="PQB171" s="201"/>
      <c r="PQC171" s="201"/>
      <c r="PQD171" s="200"/>
      <c r="PQE171" s="202"/>
      <c r="PQF171" s="203"/>
      <c r="PQG171" s="124"/>
      <c r="PQI171" s="126"/>
      <c r="PQJ171" s="124"/>
      <c r="PQL171" s="111"/>
      <c r="PQN171" s="200"/>
      <c r="PQO171" s="201"/>
      <c r="PQP171" s="201"/>
      <c r="PQQ171" s="200"/>
      <c r="PQR171" s="202"/>
      <c r="PQS171" s="203"/>
      <c r="PQT171" s="124"/>
      <c r="PQV171" s="126"/>
      <c r="PQW171" s="124"/>
      <c r="PQY171" s="111"/>
      <c r="PRA171" s="200"/>
      <c r="PRB171" s="201"/>
      <c r="PRC171" s="201"/>
      <c r="PRD171" s="200"/>
      <c r="PRE171" s="202"/>
      <c r="PRF171" s="203"/>
      <c r="PRG171" s="124"/>
      <c r="PRI171" s="126"/>
      <c r="PRJ171" s="124"/>
      <c r="PRL171" s="111"/>
      <c r="PRN171" s="200"/>
      <c r="PRO171" s="201"/>
      <c r="PRP171" s="201"/>
      <c r="PRQ171" s="200"/>
      <c r="PRR171" s="202"/>
      <c r="PRS171" s="203"/>
      <c r="PRT171" s="124"/>
      <c r="PRV171" s="126"/>
      <c r="PRW171" s="124"/>
      <c r="PRY171" s="111"/>
      <c r="PSA171" s="200"/>
      <c r="PSB171" s="201"/>
      <c r="PSC171" s="201"/>
      <c r="PSD171" s="200"/>
      <c r="PSE171" s="202"/>
      <c r="PSF171" s="203"/>
      <c r="PSG171" s="124"/>
      <c r="PSI171" s="126"/>
      <c r="PSJ171" s="124"/>
      <c r="PSL171" s="111"/>
      <c r="PSN171" s="200"/>
      <c r="PSO171" s="201"/>
      <c r="PSP171" s="201"/>
      <c r="PSQ171" s="200"/>
      <c r="PSR171" s="202"/>
      <c r="PSS171" s="203"/>
      <c r="PST171" s="124"/>
      <c r="PSV171" s="126"/>
      <c r="PSW171" s="124"/>
      <c r="PSY171" s="111"/>
      <c r="PTA171" s="200"/>
      <c r="PTB171" s="201"/>
      <c r="PTC171" s="201"/>
      <c r="PTD171" s="200"/>
      <c r="PTE171" s="202"/>
      <c r="PTF171" s="203"/>
      <c r="PTG171" s="124"/>
      <c r="PTI171" s="126"/>
      <c r="PTJ171" s="124"/>
      <c r="PTL171" s="111"/>
      <c r="PTN171" s="200"/>
      <c r="PTO171" s="201"/>
      <c r="PTP171" s="201"/>
      <c r="PTQ171" s="200"/>
      <c r="PTR171" s="202"/>
      <c r="PTS171" s="203"/>
      <c r="PTT171" s="124"/>
      <c r="PTV171" s="126"/>
      <c r="PTW171" s="124"/>
      <c r="PTY171" s="111"/>
      <c r="PUA171" s="200"/>
      <c r="PUB171" s="201"/>
      <c r="PUC171" s="201"/>
      <c r="PUD171" s="200"/>
      <c r="PUE171" s="202"/>
      <c r="PUF171" s="203"/>
      <c r="PUG171" s="124"/>
      <c r="PUI171" s="126"/>
      <c r="PUJ171" s="124"/>
      <c r="PUL171" s="111"/>
      <c r="PUN171" s="200"/>
      <c r="PUO171" s="201"/>
      <c r="PUP171" s="201"/>
      <c r="PUQ171" s="200"/>
      <c r="PUR171" s="202"/>
      <c r="PUS171" s="203"/>
      <c r="PUT171" s="124"/>
      <c r="PUV171" s="126"/>
      <c r="PUW171" s="124"/>
      <c r="PUY171" s="111"/>
      <c r="PVA171" s="200"/>
      <c r="PVB171" s="201"/>
      <c r="PVC171" s="201"/>
      <c r="PVD171" s="200"/>
      <c r="PVE171" s="202"/>
      <c r="PVF171" s="203"/>
      <c r="PVG171" s="124"/>
      <c r="PVI171" s="126"/>
      <c r="PVJ171" s="124"/>
      <c r="PVL171" s="111"/>
      <c r="PVN171" s="200"/>
      <c r="PVO171" s="201"/>
      <c r="PVP171" s="201"/>
      <c r="PVQ171" s="200"/>
      <c r="PVR171" s="202"/>
      <c r="PVS171" s="203"/>
      <c r="PVT171" s="124"/>
      <c r="PVV171" s="126"/>
      <c r="PVW171" s="124"/>
      <c r="PVY171" s="111"/>
      <c r="PWA171" s="200"/>
      <c r="PWB171" s="201"/>
      <c r="PWC171" s="201"/>
      <c r="PWD171" s="200"/>
      <c r="PWE171" s="202"/>
      <c r="PWF171" s="203"/>
      <c r="PWG171" s="124"/>
      <c r="PWI171" s="126"/>
      <c r="PWJ171" s="124"/>
      <c r="PWL171" s="111"/>
      <c r="PWN171" s="200"/>
      <c r="PWO171" s="201"/>
      <c r="PWP171" s="201"/>
      <c r="PWQ171" s="200"/>
      <c r="PWR171" s="202"/>
      <c r="PWS171" s="203"/>
      <c r="PWT171" s="124"/>
      <c r="PWV171" s="126"/>
      <c r="PWW171" s="124"/>
      <c r="PWY171" s="111"/>
      <c r="PXA171" s="200"/>
      <c r="PXB171" s="201"/>
      <c r="PXC171" s="201"/>
      <c r="PXD171" s="200"/>
      <c r="PXE171" s="202"/>
      <c r="PXF171" s="203"/>
      <c r="PXG171" s="124"/>
      <c r="PXI171" s="126"/>
      <c r="PXJ171" s="124"/>
      <c r="PXL171" s="111"/>
      <c r="PXN171" s="200"/>
      <c r="PXO171" s="201"/>
      <c r="PXP171" s="201"/>
      <c r="PXQ171" s="200"/>
      <c r="PXR171" s="202"/>
      <c r="PXS171" s="203"/>
      <c r="PXT171" s="124"/>
      <c r="PXV171" s="126"/>
      <c r="PXW171" s="124"/>
      <c r="PXY171" s="111"/>
      <c r="PYA171" s="200"/>
      <c r="PYB171" s="201"/>
      <c r="PYC171" s="201"/>
      <c r="PYD171" s="200"/>
      <c r="PYE171" s="202"/>
      <c r="PYF171" s="203"/>
      <c r="PYG171" s="124"/>
      <c r="PYI171" s="126"/>
      <c r="PYJ171" s="124"/>
      <c r="PYL171" s="111"/>
      <c r="PYN171" s="200"/>
      <c r="PYO171" s="201"/>
      <c r="PYP171" s="201"/>
      <c r="PYQ171" s="200"/>
      <c r="PYR171" s="202"/>
      <c r="PYS171" s="203"/>
      <c r="PYT171" s="124"/>
      <c r="PYV171" s="126"/>
      <c r="PYW171" s="124"/>
      <c r="PYY171" s="111"/>
      <c r="PZA171" s="200"/>
      <c r="PZB171" s="201"/>
      <c r="PZC171" s="201"/>
      <c r="PZD171" s="200"/>
      <c r="PZE171" s="202"/>
      <c r="PZF171" s="203"/>
      <c r="PZG171" s="124"/>
      <c r="PZI171" s="126"/>
      <c r="PZJ171" s="124"/>
      <c r="PZL171" s="111"/>
      <c r="PZN171" s="200"/>
      <c r="PZO171" s="201"/>
      <c r="PZP171" s="201"/>
      <c r="PZQ171" s="200"/>
      <c r="PZR171" s="202"/>
      <c r="PZS171" s="203"/>
      <c r="PZT171" s="124"/>
      <c r="PZV171" s="126"/>
      <c r="PZW171" s="124"/>
      <c r="PZY171" s="111"/>
      <c r="QAA171" s="200"/>
      <c r="QAB171" s="201"/>
      <c r="QAC171" s="201"/>
      <c r="QAD171" s="200"/>
      <c r="QAE171" s="202"/>
      <c r="QAF171" s="203"/>
      <c r="QAG171" s="124"/>
      <c r="QAI171" s="126"/>
      <c r="QAJ171" s="124"/>
      <c r="QAL171" s="111"/>
      <c r="QAN171" s="200"/>
      <c r="QAO171" s="201"/>
      <c r="QAP171" s="201"/>
      <c r="QAQ171" s="200"/>
      <c r="QAR171" s="202"/>
      <c r="QAS171" s="203"/>
      <c r="QAT171" s="124"/>
      <c r="QAV171" s="126"/>
      <c r="QAW171" s="124"/>
      <c r="QAY171" s="111"/>
      <c r="QBA171" s="200"/>
      <c r="QBB171" s="201"/>
      <c r="QBC171" s="201"/>
      <c r="QBD171" s="200"/>
      <c r="QBE171" s="202"/>
      <c r="QBF171" s="203"/>
      <c r="QBG171" s="124"/>
      <c r="QBI171" s="126"/>
      <c r="QBJ171" s="124"/>
      <c r="QBL171" s="111"/>
      <c r="QBN171" s="200"/>
      <c r="QBO171" s="201"/>
      <c r="QBP171" s="201"/>
      <c r="QBQ171" s="200"/>
      <c r="QBR171" s="202"/>
      <c r="QBS171" s="203"/>
      <c r="QBT171" s="124"/>
      <c r="QBV171" s="126"/>
      <c r="QBW171" s="124"/>
      <c r="QBY171" s="111"/>
      <c r="QCA171" s="200"/>
      <c r="QCB171" s="201"/>
      <c r="QCC171" s="201"/>
      <c r="QCD171" s="200"/>
      <c r="QCE171" s="202"/>
      <c r="QCF171" s="203"/>
      <c r="QCG171" s="124"/>
      <c r="QCI171" s="126"/>
      <c r="QCJ171" s="124"/>
      <c r="QCL171" s="111"/>
      <c r="QCN171" s="200"/>
      <c r="QCO171" s="201"/>
      <c r="QCP171" s="201"/>
      <c r="QCQ171" s="200"/>
      <c r="QCR171" s="202"/>
      <c r="QCS171" s="203"/>
      <c r="QCT171" s="124"/>
      <c r="QCV171" s="126"/>
      <c r="QCW171" s="124"/>
      <c r="QCY171" s="111"/>
      <c r="QDA171" s="200"/>
      <c r="QDB171" s="201"/>
      <c r="QDC171" s="201"/>
      <c r="QDD171" s="200"/>
      <c r="QDE171" s="202"/>
      <c r="QDF171" s="203"/>
      <c r="QDG171" s="124"/>
      <c r="QDI171" s="126"/>
      <c r="QDJ171" s="124"/>
      <c r="QDL171" s="111"/>
      <c r="QDN171" s="200"/>
      <c r="QDO171" s="201"/>
      <c r="QDP171" s="201"/>
      <c r="QDQ171" s="200"/>
      <c r="QDR171" s="202"/>
      <c r="QDS171" s="203"/>
      <c r="QDT171" s="124"/>
      <c r="QDV171" s="126"/>
      <c r="QDW171" s="124"/>
      <c r="QDY171" s="111"/>
      <c r="QEA171" s="200"/>
      <c r="QEB171" s="201"/>
      <c r="QEC171" s="201"/>
      <c r="QED171" s="200"/>
      <c r="QEE171" s="202"/>
      <c r="QEF171" s="203"/>
      <c r="QEG171" s="124"/>
      <c r="QEI171" s="126"/>
      <c r="QEJ171" s="124"/>
      <c r="QEL171" s="111"/>
      <c r="QEN171" s="200"/>
      <c r="QEO171" s="201"/>
      <c r="QEP171" s="201"/>
      <c r="QEQ171" s="200"/>
      <c r="QER171" s="202"/>
      <c r="QES171" s="203"/>
      <c r="QET171" s="124"/>
      <c r="QEV171" s="126"/>
      <c r="QEW171" s="124"/>
      <c r="QEY171" s="111"/>
      <c r="QFA171" s="200"/>
      <c r="QFB171" s="201"/>
      <c r="QFC171" s="201"/>
      <c r="QFD171" s="200"/>
      <c r="QFE171" s="202"/>
      <c r="QFF171" s="203"/>
      <c r="QFG171" s="124"/>
      <c r="QFI171" s="126"/>
      <c r="QFJ171" s="124"/>
      <c r="QFL171" s="111"/>
      <c r="QFN171" s="200"/>
      <c r="QFO171" s="201"/>
      <c r="QFP171" s="201"/>
      <c r="QFQ171" s="200"/>
      <c r="QFR171" s="202"/>
      <c r="QFS171" s="203"/>
      <c r="QFT171" s="124"/>
      <c r="QFV171" s="126"/>
      <c r="QFW171" s="124"/>
      <c r="QFY171" s="111"/>
      <c r="QGA171" s="200"/>
      <c r="QGB171" s="201"/>
      <c r="QGC171" s="201"/>
      <c r="QGD171" s="200"/>
      <c r="QGE171" s="202"/>
      <c r="QGF171" s="203"/>
      <c r="QGG171" s="124"/>
      <c r="QGI171" s="126"/>
      <c r="QGJ171" s="124"/>
      <c r="QGL171" s="111"/>
      <c r="QGN171" s="200"/>
      <c r="QGO171" s="201"/>
      <c r="QGP171" s="201"/>
      <c r="QGQ171" s="200"/>
      <c r="QGR171" s="202"/>
      <c r="QGS171" s="203"/>
      <c r="QGT171" s="124"/>
      <c r="QGV171" s="126"/>
      <c r="QGW171" s="124"/>
      <c r="QGY171" s="111"/>
      <c r="QHA171" s="200"/>
      <c r="QHB171" s="201"/>
      <c r="QHC171" s="201"/>
      <c r="QHD171" s="200"/>
      <c r="QHE171" s="202"/>
      <c r="QHF171" s="203"/>
      <c r="QHG171" s="124"/>
      <c r="QHI171" s="126"/>
      <c r="QHJ171" s="124"/>
      <c r="QHL171" s="111"/>
      <c r="QHN171" s="200"/>
      <c r="QHO171" s="201"/>
      <c r="QHP171" s="201"/>
      <c r="QHQ171" s="200"/>
      <c r="QHR171" s="202"/>
      <c r="QHS171" s="203"/>
      <c r="QHT171" s="124"/>
      <c r="QHV171" s="126"/>
      <c r="QHW171" s="124"/>
      <c r="QHY171" s="111"/>
      <c r="QIA171" s="200"/>
      <c r="QIB171" s="201"/>
      <c r="QIC171" s="201"/>
      <c r="QID171" s="200"/>
      <c r="QIE171" s="202"/>
      <c r="QIF171" s="203"/>
      <c r="QIG171" s="124"/>
      <c r="QII171" s="126"/>
      <c r="QIJ171" s="124"/>
      <c r="QIL171" s="111"/>
      <c r="QIN171" s="200"/>
      <c r="QIO171" s="201"/>
      <c r="QIP171" s="201"/>
      <c r="QIQ171" s="200"/>
      <c r="QIR171" s="202"/>
      <c r="QIS171" s="203"/>
      <c r="QIT171" s="124"/>
      <c r="QIV171" s="126"/>
      <c r="QIW171" s="124"/>
      <c r="QIY171" s="111"/>
      <c r="QJA171" s="200"/>
      <c r="QJB171" s="201"/>
      <c r="QJC171" s="201"/>
      <c r="QJD171" s="200"/>
      <c r="QJE171" s="202"/>
      <c r="QJF171" s="203"/>
      <c r="QJG171" s="124"/>
      <c r="QJI171" s="126"/>
      <c r="QJJ171" s="124"/>
      <c r="QJL171" s="111"/>
      <c r="QJN171" s="200"/>
      <c r="QJO171" s="201"/>
      <c r="QJP171" s="201"/>
      <c r="QJQ171" s="200"/>
      <c r="QJR171" s="202"/>
      <c r="QJS171" s="203"/>
      <c r="QJT171" s="124"/>
      <c r="QJV171" s="126"/>
      <c r="QJW171" s="124"/>
      <c r="QJY171" s="111"/>
      <c r="QKA171" s="200"/>
      <c r="QKB171" s="201"/>
      <c r="QKC171" s="201"/>
      <c r="QKD171" s="200"/>
      <c r="QKE171" s="202"/>
      <c r="QKF171" s="203"/>
      <c r="QKG171" s="124"/>
      <c r="QKI171" s="126"/>
      <c r="QKJ171" s="124"/>
      <c r="QKL171" s="111"/>
      <c r="QKN171" s="200"/>
      <c r="QKO171" s="201"/>
      <c r="QKP171" s="201"/>
      <c r="QKQ171" s="200"/>
      <c r="QKR171" s="202"/>
      <c r="QKS171" s="203"/>
      <c r="QKT171" s="124"/>
      <c r="QKV171" s="126"/>
      <c r="QKW171" s="124"/>
      <c r="QKY171" s="111"/>
      <c r="QLA171" s="200"/>
      <c r="QLB171" s="201"/>
      <c r="QLC171" s="201"/>
      <c r="QLD171" s="200"/>
      <c r="QLE171" s="202"/>
      <c r="QLF171" s="203"/>
      <c r="QLG171" s="124"/>
      <c r="QLI171" s="126"/>
      <c r="QLJ171" s="124"/>
      <c r="QLL171" s="111"/>
      <c r="QLN171" s="200"/>
      <c r="QLO171" s="201"/>
      <c r="QLP171" s="201"/>
      <c r="QLQ171" s="200"/>
      <c r="QLR171" s="202"/>
      <c r="QLS171" s="203"/>
      <c r="QLT171" s="124"/>
      <c r="QLV171" s="126"/>
      <c r="QLW171" s="124"/>
      <c r="QLY171" s="111"/>
      <c r="QMA171" s="200"/>
      <c r="QMB171" s="201"/>
      <c r="QMC171" s="201"/>
      <c r="QMD171" s="200"/>
      <c r="QME171" s="202"/>
      <c r="QMF171" s="203"/>
      <c r="QMG171" s="124"/>
      <c r="QMI171" s="126"/>
      <c r="QMJ171" s="124"/>
      <c r="QML171" s="111"/>
      <c r="QMN171" s="200"/>
      <c r="QMO171" s="201"/>
      <c r="QMP171" s="201"/>
      <c r="QMQ171" s="200"/>
      <c r="QMR171" s="202"/>
      <c r="QMS171" s="203"/>
      <c r="QMT171" s="124"/>
      <c r="QMV171" s="126"/>
      <c r="QMW171" s="124"/>
      <c r="QMY171" s="111"/>
      <c r="QNA171" s="200"/>
      <c r="QNB171" s="201"/>
      <c r="QNC171" s="201"/>
      <c r="QND171" s="200"/>
      <c r="QNE171" s="202"/>
      <c r="QNF171" s="203"/>
      <c r="QNG171" s="124"/>
      <c r="QNI171" s="126"/>
      <c r="QNJ171" s="124"/>
      <c r="QNL171" s="111"/>
      <c r="QNN171" s="200"/>
      <c r="QNO171" s="201"/>
      <c r="QNP171" s="201"/>
      <c r="QNQ171" s="200"/>
      <c r="QNR171" s="202"/>
      <c r="QNS171" s="203"/>
      <c r="QNT171" s="124"/>
      <c r="QNV171" s="126"/>
      <c r="QNW171" s="124"/>
      <c r="QNY171" s="111"/>
      <c r="QOA171" s="200"/>
      <c r="QOB171" s="201"/>
      <c r="QOC171" s="201"/>
      <c r="QOD171" s="200"/>
      <c r="QOE171" s="202"/>
      <c r="QOF171" s="203"/>
      <c r="QOG171" s="124"/>
      <c r="QOI171" s="126"/>
      <c r="QOJ171" s="124"/>
      <c r="QOL171" s="111"/>
      <c r="QON171" s="200"/>
      <c r="QOO171" s="201"/>
      <c r="QOP171" s="201"/>
      <c r="QOQ171" s="200"/>
      <c r="QOR171" s="202"/>
      <c r="QOS171" s="203"/>
      <c r="QOT171" s="124"/>
      <c r="QOV171" s="126"/>
      <c r="QOW171" s="124"/>
      <c r="QOY171" s="111"/>
      <c r="QPA171" s="200"/>
      <c r="QPB171" s="201"/>
      <c r="QPC171" s="201"/>
      <c r="QPD171" s="200"/>
      <c r="QPE171" s="202"/>
      <c r="QPF171" s="203"/>
      <c r="QPG171" s="124"/>
      <c r="QPI171" s="126"/>
      <c r="QPJ171" s="124"/>
      <c r="QPL171" s="111"/>
      <c r="QPN171" s="200"/>
      <c r="QPO171" s="201"/>
      <c r="QPP171" s="201"/>
      <c r="QPQ171" s="200"/>
      <c r="QPR171" s="202"/>
      <c r="QPS171" s="203"/>
      <c r="QPT171" s="124"/>
      <c r="QPV171" s="126"/>
      <c r="QPW171" s="124"/>
      <c r="QPY171" s="111"/>
      <c r="QQA171" s="200"/>
      <c r="QQB171" s="201"/>
      <c r="QQC171" s="201"/>
      <c r="QQD171" s="200"/>
      <c r="QQE171" s="202"/>
      <c r="QQF171" s="203"/>
      <c r="QQG171" s="124"/>
      <c r="QQI171" s="126"/>
      <c r="QQJ171" s="124"/>
      <c r="QQL171" s="111"/>
      <c r="QQN171" s="200"/>
      <c r="QQO171" s="201"/>
      <c r="QQP171" s="201"/>
      <c r="QQQ171" s="200"/>
      <c r="QQR171" s="202"/>
      <c r="QQS171" s="203"/>
      <c r="QQT171" s="124"/>
      <c r="QQV171" s="126"/>
      <c r="QQW171" s="124"/>
      <c r="QQY171" s="111"/>
      <c r="QRA171" s="200"/>
      <c r="QRB171" s="201"/>
      <c r="QRC171" s="201"/>
      <c r="QRD171" s="200"/>
      <c r="QRE171" s="202"/>
      <c r="QRF171" s="203"/>
      <c r="QRG171" s="124"/>
      <c r="QRI171" s="126"/>
      <c r="QRJ171" s="124"/>
      <c r="QRL171" s="111"/>
      <c r="QRN171" s="200"/>
      <c r="QRO171" s="201"/>
      <c r="QRP171" s="201"/>
      <c r="QRQ171" s="200"/>
      <c r="QRR171" s="202"/>
      <c r="QRS171" s="203"/>
      <c r="QRT171" s="124"/>
      <c r="QRV171" s="126"/>
      <c r="QRW171" s="124"/>
      <c r="QRY171" s="111"/>
      <c r="QSA171" s="200"/>
      <c r="QSB171" s="201"/>
      <c r="QSC171" s="201"/>
      <c r="QSD171" s="200"/>
      <c r="QSE171" s="202"/>
      <c r="QSF171" s="203"/>
      <c r="QSG171" s="124"/>
      <c r="QSI171" s="126"/>
      <c r="QSJ171" s="124"/>
      <c r="QSL171" s="111"/>
      <c r="QSN171" s="200"/>
      <c r="QSO171" s="201"/>
      <c r="QSP171" s="201"/>
      <c r="QSQ171" s="200"/>
      <c r="QSR171" s="202"/>
      <c r="QSS171" s="203"/>
      <c r="QST171" s="124"/>
      <c r="QSV171" s="126"/>
      <c r="QSW171" s="124"/>
      <c r="QSY171" s="111"/>
      <c r="QTA171" s="200"/>
      <c r="QTB171" s="201"/>
      <c r="QTC171" s="201"/>
      <c r="QTD171" s="200"/>
      <c r="QTE171" s="202"/>
      <c r="QTF171" s="203"/>
      <c r="QTG171" s="124"/>
      <c r="QTI171" s="126"/>
      <c r="QTJ171" s="124"/>
      <c r="QTL171" s="111"/>
      <c r="QTN171" s="200"/>
      <c r="QTO171" s="201"/>
      <c r="QTP171" s="201"/>
      <c r="QTQ171" s="200"/>
      <c r="QTR171" s="202"/>
      <c r="QTS171" s="203"/>
      <c r="QTT171" s="124"/>
      <c r="QTV171" s="126"/>
      <c r="QTW171" s="124"/>
      <c r="QTY171" s="111"/>
      <c r="QUA171" s="200"/>
      <c r="QUB171" s="201"/>
      <c r="QUC171" s="201"/>
      <c r="QUD171" s="200"/>
      <c r="QUE171" s="202"/>
      <c r="QUF171" s="203"/>
      <c r="QUG171" s="124"/>
      <c r="QUI171" s="126"/>
      <c r="QUJ171" s="124"/>
      <c r="QUL171" s="111"/>
      <c r="QUN171" s="200"/>
      <c r="QUO171" s="201"/>
      <c r="QUP171" s="201"/>
      <c r="QUQ171" s="200"/>
      <c r="QUR171" s="202"/>
      <c r="QUS171" s="203"/>
      <c r="QUT171" s="124"/>
      <c r="QUV171" s="126"/>
      <c r="QUW171" s="124"/>
      <c r="QUY171" s="111"/>
      <c r="QVA171" s="200"/>
      <c r="QVB171" s="201"/>
      <c r="QVC171" s="201"/>
      <c r="QVD171" s="200"/>
      <c r="QVE171" s="202"/>
      <c r="QVF171" s="203"/>
      <c r="QVG171" s="124"/>
      <c r="QVI171" s="126"/>
      <c r="QVJ171" s="124"/>
      <c r="QVL171" s="111"/>
      <c r="QVN171" s="200"/>
      <c r="QVO171" s="201"/>
      <c r="QVP171" s="201"/>
      <c r="QVQ171" s="200"/>
      <c r="QVR171" s="202"/>
      <c r="QVS171" s="203"/>
      <c r="QVT171" s="124"/>
      <c r="QVV171" s="126"/>
      <c r="QVW171" s="124"/>
      <c r="QVY171" s="111"/>
      <c r="QWA171" s="200"/>
      <c r="QWB171" s="201"/>
      <c r="QWC171" s="201"/>
      <c r="QWD171" s="200"/>
      <c r="QWE171" s="202"/>
      <c r="QWF171" s="203"/>
      <c r="QWG171" s="124"/>
      <c r="QWI171" s="126"/>
      <c r="QWJ171" s="124"/>
      <c r="QWL171" s="111"/>
      <c r="QWN171" s="200"/>
      <c r="QWO171" s="201"/>
      <c r="QWP171" s="201"/>
      <c r="QWQ171" s="200"/>
      <c r="QWR171" s="202"/>
      <c r="QWS171" s="203"/>
      <c r="QWT171" s="124"/>
      <c r="QWV171" s="126"/>
      <c r="QWW171" s="124"/>
      <c r="QWY171" s="111"/>
      <c r="QXA171" s="200"/>
      <c r="QXB171" s="201"/>
      <c r="QXC171" s="201"/>
      <c r="QXD171" s="200"/>
      <c r="QXE171" s="202"/>
      <c r="QXF171" s="203"/>
      <c r="QXG171" s="124"/>
      <c r="QXI171" s="126"/>
      <c r="QXJ171" s="124"/>
      <c r="QXL171" s="111"/>
      <c r="QXN171" s="200"/>
      <c r="QXO171" s="201"/>
      <c r="QXP171" s="201"/>
      <c r="QXQ171" s="200"/>
      <c r="QXR171" s="202"/>
      <c r="QXS171" s="203"/>
      <c r="QXT171" s="124"/>
      <c r="QXV171" s="126"/>
      <c r="QXW171" s="124"/>
      <c r="QXY171" s="111"/>
      <c r="QYA171" s="200"/>
      <c r="QYB171" s="201"/>
      <c r="QYC171" s="201"/>
      <c r="QYD171" s="200"/>
      <c r="QYE171" s="202"/>
      <c r="QYF171" s="203"/>
      <c r="QYG171" s="124"/>
      <c r="QYI171" s="126"/>
      <c r="QYJ171" s="124"/>
      <c r="QYL171" s="111"/>
      <c r="QYN171" s="200"/>
      <c r="QYO171" s="201"/>
      <c r="QYP171" s="201"/>
      <c r="QYQ171" s="200"/>
      <c r="QYR171" s="202"/>
      <c r="QYS171" s="203"/>
      <c r="QYT171" s="124"/>
      <c r="QYV171" s="126"/>
      <c r="QYW171" s="124"/>
      <c r="QYY171" s="111"/>
      <c r="QZA171" s="200"/>
      <c r="QZB171" s="201"/>
      <c r="QZC171" s="201"/>
      <c r="QZD171" s="200"/>
      <c r="QZE171" s="202"/>
      <c r="QZF171" s="203"/>
      <c r="QZG171" s="124"/>
      <c r="QZI171" s="126"/>
      <c r="QZJ171" s="124"/>
      <c r="QZL171" s="111"/>
      <c r="QZN171" s="200"/>
      <c r="QZO171" s="201"/>
      <c r="QZP171" s="201"/>
      <c r="QZQ171" s="200"/>
      <c r="QZR171" s="202"/>
      <c r="QZS171" s="203"/>
      <c r="QZT171" s="124"/>
      <c r="QZV171" s="126"/>
      <c r="QZW171" s="124"/>
      <c r="QZY171" s="111"/>
      <c r="RAA171" s="200"/>
      <c r="RAB171" s="201"/>
      <c r="RAC171" s="201"/>
      <c r="RAD171" s="200"/>
      <c r="RAE171" s="202"/>
      <c r="RAF171" s="203"/>
      <c r="RAG171" s="124"/>
      <c r="RAI171" s="126"/>
      <c r="RAJ171" s="124"/>
      <c r="RAL171" s="111"/>
      <c r="RAN171" s="200"/>
      <c r="RAO171" s="201"/>
      <c r="RAP171" s="201"/>
      <c r="RAQ171" s="200"/>
      <c r="RAR171" s="202"/>
      <c r="RAS171" s="203"/>
      <c r="RAT171" s="124"/>
      <c r="RAV171" s="126"/>
      <c r="RAW171" s="124"/>
      <c r="RAY171" s="111"/>
      <c r="RBA171" s="200"/>
      <c r="RBB171" s="201"/>
      <c r="RBC171" s="201"/>
      <c r="RBD171" s="200"/>
      <c r="RBE171" s="202"/>
      <c r="RBF171" s="203"/>
      <c r="RBG171" s="124"/>
      <c r="RBI171" s="126"/>
      <c r="RBJ171" s="124"/>
      <c r="RBL171" s="111"/>
      <c r="RBN171" s="200"/>
      <c r="RBO171" s="201"/>
      <c r="RBP171" s="201"/>
      <c r="RBQ171" s="200"/>
      <c r="RBR171" s="202"/>
      <c r="RBS171" s="203"/>
      <c r="RBT171" s="124"/>
      <c r="RBV171" s="126"/>
      <c r="RBW171" s="124"/>
      <c r="RBY171" s="111"/>
      <c r="RCA171" s="200"/>
      <c r="RCB171" s="201"/>
      <c r="RCC171" s="201"/>
      <c r="RCD171" s="200"/>
      <c r="RCE171" s="202"/>
      <c r="RCF171" s="203"/>
      <c r="RCG171" s="124"/>
      <c r="RCI171" s="126"/>
      <c r="RCJ171" s="124"/>
      <c r="RCL171" s="111"/>
      <c r="RCN171" s="200"/>
      <c r="RCO171" s="201"/>
      <c r="RCP171" s="201"/>
      <c r="RCQ171" s="200"/>
      <c r="RCR171" s="202"/>
      <c r="RCS171" s="203"/>
      <c r="RCT171" s="124"/>
      <c r="RCV171" s="126"/>
      <c r="RCW171" s="124"/>
      <c r="RCY171" s="111"/>
      <c r="RDA171" s="200"/>
      <c r="RDB171" s="201"/>
      <c r="RDC171" s="201"/>
      <c r="RDD171" s="200"/>
      <c r="RDE171" s="202"/>
      <c r="RDF171" s="203"/>
      <c r="RDG171" s="124"/>
      <c r="RDI171" s="126"/>
      <c r="RDJ171" s="124"/>
      <c r="RDL171" s="111"/>
      <c r="RDN171" s="200"/>
      <c r="RDO171" s="201"/>
      <c r="RDP171" s="201"/>
      <c r="RDQ171" s="200"/>
      <c r="RDR171" s="202"/>
      <c r="RDS171" s="203"/>
      <c r="RDT171" s="124"/>
      <c r="RDV171" s="126"/>
      <c r="RDW171" s="124"/>
      <c r="RDY171" s="111"/>
      <c r="REA171" s="200"/>
      <c r="REB171" s="201"/>
      <c r="REC171" s="201"/>
      <c r="RED171" s="200"/>
      <c r="REE171" s="202"/>
      <c r="REF171" s="203"/>
      <c r="REG171" s="124"/>
      <c r="REI171" s="126"/>
      <c r="REJ171" s="124"/>
      <c r="REL171" s="111"/>
      <c r="REN171" s="200"/>
      <c r="REO171" s="201"/>
      <c r="REP171" s="201"/>
      <c r="REQ171" s="200"/>
      <c r="RER171" s="202"/>
      <c r="RES171" s="203"/>
      <c r="RET171" s="124"/>
      <c r="REV171" s="126"/>
      <c r="REW171" s="124"/>
      <c r="REY171" s="111"/>
      <c r="RFA171" s="200"/>
      <c r="RFB171" s="201"/>
      <c r="RFC171" s="201"/>
      <c r="RFD171" s="200"/>
      <c r="RFE171" s="202"/>
      <c r="RFF171" s="203"/>
      <c r="RFG171" s="124"/>
      <c r="RFI171" s="126"/>
      <c r="RFJ171" s="124"/>
      <c r="RFL171" s="111"/>
      <c r="RFN171" s="200"/>
      <c r="RFO171" s="201"/>
      <c r="RFP171" s="201"/>
      <c r="RFQ171" s="200"/>
      <c r="RFR171" s="202"/>
      <c r="RFS171" s="203"/>
      <c r="RFT171" s="124"/>
      <c r="RFV171" s="126"/>
      <c r="RFW171" s="124"/>
      <c r="RFY171" s="111"/>
      <c r="RGA171" s="200"/>
      <c r="RGB171" s="201"/>
      <c r="RGC171" s="201"/>
      <c r="RGD171" s="200"/>
      <c r="RGE171" s="202"/>
      <c r="RGF171" s="203"/>
      <c r="RGG171" s="124"/>
      <c r="RGI171" s="126"/>
      <c r="RGJ171" s="124"/>
      <c r="RGL171" s="111"/>
      <c r="RGN171" s="200"/>
      <c r="RGO171" s="201"/>
      <c r="RGP171" s="201"/>
      <c r="RGQ171" s="200"/>
      <c r="RGR171" s="202"/>
      <c r="RGS171" s="203"/>
      <c r="RGT171" s="124"/>
      <c r="RGV171" s="126"/>
      <c r="RGW171" s="124"/>
      <c r="RGY171" s="111"/>
      <c r="RHA171" s="200"/>
      <c r="RHB171" s="201"/>
      <c r="RHC171" s="201"/>
      <c r="RHD171" s="200"/>
      <c r="RHE171" s="202"/>
      <c r="RHF171" s="203"/>
      <c r="RHG171" s="124"/>
      <c r="RHI171" s="126"/>
      <c r="RHJ171" s="124"/>
      <c r="RHL171" s="111"/>
      <c r="RHN171" s="200"/>
      <c r="RHO171" s="201"/>
      <c r="RHP171" s="201"/>
      <c r="RHQ171" s="200"/>
      <c r="RHR171" s="202"/>
      <c r="RHS171" s="203"/>
      <c r="RHT171" s="124"/>
      <c r="RHV171" s="126"/>
      <c r="RHW171" s="124"/>
      <c r="RHY171" s="111"/>
      <c r="RIA171" s="200"/>
      <c r="RIB171" s="201"/>
      <c r="RIC171" s="201"/>
      <c r="RID171" s="200"/>
      <c r="RIE171" s="202"/>
      <c r="RIF171" s="203"/>
      <c r="RIG171" s="124"/>
      <c r="RII171" s="126"/>
      <c r="RIJ171" s="124"/>
      <c r="RIL171" s="111"/>
      <c r="RIN171" s="200"/>
      <c r="RIO171" s="201"/>
      <c r="RIP171" s="201"/>
      <c r="RIQ171" s="200"/>
      <c r="RIR171" s="202"/>
      <c r="RIS171" s="203"/>
      <c r="RIT171" s="124"/>
      <c r="RIV171" s="126"/>
      <c r="RIW171" s="124"/>
      <c r="RIY171" s="111"/>
      <c r="RJA171" s="200"/>
      <c r="RJB171" s="201"/>
      <c r="RJC171" s="201"/>
      <c r="RJD171" s="200"/>
      <c r="RJE171" s="202"/>
      <c r="RJF171" s="203"/>
      <c r="RJG171" s="124"/>
      <c r="RJI171" s="126"/>
      <c r="RJJ171" s="124"/>
      <c r="RJL171" s="111"/>
      <c r="RJN171" s="200"/>
      <c r="RJO171" s="201"/>
      <c r="RJP171" s="201"/>
      <c r="RJQ171" s="200"/>
      <c r="RJR171" s="202"/>
      <c r="RJS171" s="203"/>
      <c r="RJT171" s="124"/>
      <c r="RJV171" s="126"/>
      <c r="RJW171" s="124"/>
      <c r="RJY171" s="111"/>
      <c r="RKA171" s="200"/>
      <c r="RKB171" s="201"/>
      <c r="RKC171" s="201"/>
      <c r="RKD171" s="200"/>
      <c r="RKE171" s="202"/>
      <c r="RKF171" s="203"/>
      <c r="RKG171" s="124"/>
      <c r="RKI171" s="126"/>
      <c r="RKJ171" s="124"/>
      <c r="RKL171" s="111"/>
      <c r="RKN171" s="200"/>
      <c r="RKO171" s="201"/>
      <c r="RKP171" s="201"/>
      <c r="RKQ171" s="200"/>
      <c r="RKR171" s="202"/>
      <c r="RKS171" s="203"/>
      <c r="RKT171" s="124"/>
      <c r="RKV171" s="126"/>
      <c r="RKW171" s="124"/>
      <c r="RKY171" s="111"/>
      <c r="RLA171" s="200"/>
      <c r="RLB171" s="201"/>
      <c r="RLC171" s="201"/>
      <c r="RLD171" s="200"/>
      <c r="RLE171" s="202"/>
      <c r="RLF171" s="203"/>
      <c r="RLG171" s="124"/>
      <c r="RLI171" s="126"/>
      <c r="RLJ171" s="124"/>
      <c r="RLL171" s="111"/>
      <c r="RLN171" s="200"/>
      <c r="RLO171" s="201"/>
      <c r="RLP171" s="201"/>
      <c r="RLQ171" s="200"/>
      <c r="RLR171" s="202"/>
      <c r="RLS171" s="203"/>
      <c r="RLT171" s="124"/>
      <c r="RLV171" s="126"/>
      <c r="RLW171" s="124"/>
      <c r="RLY171" s="111"/>
      <c r="RMA171" s="200"/>
      <c r="RMB171" s="201"/>
      <c r="RMC171" s="201"/>
      <c r="RMD171" s="200"/>
      <c r="RME171" s="202"/>
      <c r="RMF171" s="203"/>
      <c r="RMG171" s="124"/>
      <c r="RMI171" s="126"/>
      <c r="RMJ171" s="124"/>
      <c r="RML171" s="111"/>
      <c r="RMN171" s="200"/>
      <c r="RMO171" s="201"/>
      <c r="RMP171" s="201"/>
      <c r="RMQ171" s="200"/>
      <c r="RMR171" s="202"/>
      <c r="RMS171" s="203"/>
      <c r="RMT171" s="124"/>
      <c r="RMV171" s="126"/>
      <c r="RMW171" s="124"/>
      <c r="RMY171" s="111"/>
      <c r="RNA171" s="200"/>
      <c r="RNB171" s="201"/>
      <c r="RNC171" s="201"/>
      <c r="RND171" s="200"/>
      <c r="RNE171" s="202"/>
      <c r="RNF171" s="203"/>
      <c r="RNG171" s="124"/>
      <c r="RNI171" s="126"/>
      <c r="RNJ171" s="124"/>
      <c r="RNL171" s="111"/>
      <c r="RNN171" s="200"/>
      <c r="RNO171" s="201"/>
      <c r="RNP171" s="201"/>
      <c r="RNQ171" s="200"/>
      <c r="RNR171" s="202"/>
      <c r="RNS171" s="203"/>
      <c r="RNT171" s="124"/>
      <c r="RNV171" s="126"/>
      <c r="RNW171" s="124"/>
      <c r="RNY171" s="111"/>
      <c r="ROA171" s="200"/>
      <c r="ROB171" s="201"/>
      <c r="ROC171" s="201"/>
      <c r="ROD171" s="200"/>
      <c r="ROE171" s="202"/>
      <c r="ROF171" s="203"/>
      <c r="ROG171" s="124"/>
      <c r="ROI171" s="126"/>
      <c r="ROJ171" s="124"/>
      <c r="ROL171" s="111"/>
      <c r="RON171" s="200"/>
      <c r="ROO171" s="201"/>
      <c r="ROP171" s="201"/>
      <c r="ROQ171" s="200"/>
      <c r="ROR171" s="202"/>
      <c r="ROS171" s="203"/>
      <c r="ROT171" s="124"/>
      <c r="ROV171" s="126"/>
      <c r="ROW171" s="124"/>
      <c r="ROY171" s="111"/>
      <c r="RPA171" s="200"/>
      <c r="RPB171" s="201"/>
      <c r="RPC171" s="201"/>
      <c r="RPD171" s="200"/>
      <c r="RPE171" s="202"/>
      <c r="RPF171" s="203"/>
      <c r="RPG171" s="124"/>
      <c r="RPI171" s="126"/>
      <c r="RPJ171" s="124"/>
      <c r="RPL171" s="111"/>
      <c r="RPN171" s="200"/>
      <c r="RPO171" s="201"/>
      <c r="RPP171" s="201"/>
      <c r="RPQ171" s="200"/>
      <c r="RPR171" s="202"/>
      <c r="RPS171" s="203"/>
      <c r="RPT171" s="124"/>
      <c r="RPV171" s="126"/>
      <c r="RPW171" s="124"/>
      <c r="RPY171" s="111"/>
      <c r="RQA171" s="200"/>
      <c r="RQB171" s="201"/>
      <c r="RQC171" s="201"/>
      <c r="RQD171" s="200"/>
      <c r="RQE171" s="202"/>
      <c r="RQF171" s="203"/>
      <c r="RQG171" s="124"/>
      <c r="RQI171" s="126"/>
      <c r="RQJ171" s="124"/>
      <c r="RQL171" s="111"/>
      <c r="RQN171" s="200"/>
      <c r="RQO171" s="201"/>
      <c r="RQP171" s="201"/>
      <c r="RQQ171" s="200"/>
      <c r="RQR171" s="202"/>
      <c r="RQS171" s="203"/>
      <c r="RQT171" s="124"/>
      <c r="RQV171" s="126"/>
      <c r="RQW171" s="124"/>
      <c r="RQY171" s="111"/>
      <c r="RRA171" s="200"/>
      <c r="RRB171" s="201"/>
      <c r="RRC171" s="201"/>
      <c r="RRD171" s="200"/>
      <c r="RRE171" s="202"/>
      <c r="RRF171" s="203"/>
      <c r="RRG171" s="124"/>
      <c r="RRI171" s="126"/>
      <c r="RRJ171" s="124"/>
      <c r="RRL171" s="111"/>
      <c r="RRN171" s="200"/>
      <c r="RRO171" s="201"/>
      <c r="RRP171" s="201"/>
      <c r="RRQ171" s="200"/>
      <c r="RRR171" s="202"/>
      <c r="RRS171" s="203"/>
      <c r="RRT171" s="124"/>
      <c r="RRV171" s="126"/>
      <c r="RRW171" s="124"/>
      <c r="RRY171" s="111"/>
      <c r="RSA171" s="200"/>
      <c r="RSB171" s="201"/>
      <c r="RSC171" s="201"/>
      <c r="RSD171" s="200"/>
      <c r="RSE171" s="202"/>
      <c r="RSF171" s="203"/>
      <c r="RSG171" s="124"/>
      <c r="RSI171" s="126"/>
      <c r="RSJ171" s="124"/>
      <c r="RSL171" s="111"/>
      <c r="RSN171" s="200"/>
      <c r="RSO171" s="201"/>
      <c r="RSP171" s="201"/>
      <c r="RSQ171" s="200"/>
      <c r="RSR171" s="202"/>
      <c r="RSS171" s="203"/>
      <c r="RST171" s="124"/>
      <c r="RSV171" s="126"/>
      <c r="RSW171" s="124"/>
      <c r="RSY171" s="111"/>
      <c r="RTA171" s="200"/>
      <c r="RTB171" s="201"/>
      <c r="RTC171" s="201"/>
      <c r="RTD171" s="200"/>
      <c r="RTE171" s="202"/>
      <c r="RTF171" s="203"/>
      <c r="RTG171" s="124"/>
      <c r="RTI171" s="126"/>
      <c r="RTJ171" s="124"/>
      <c r="RTL171" s="111"/>
      <c r="RTN171" s="200"/>
      <c r="RTO171" s="201"/>
      <c r="RTP171" s="201"/>
      <c r="RTQ171" s="200"/>
      <c r="RTR171" s="202"/>
      <c r="RTS171" s="203"/>
      <c r="RTT171" s="124"/>
      <c r="RTV171" s="126"/>
      <c r="RTW171" s="124"/>
      <c r="RTY171" s="111"/>
      <c r="RUA171" s="200"/>
      <c r="RUB171" s="201"/>
      <c r="RUC171" s="201"/>
      <c r="RUD171" s="200"/>
      <c r="RUE171" s="202"/>
      <c r="RUF171" s="203"/>
      <c r="RUG171" s="124"/>
      <c r="RUI171" s="126"/>
      <c r="RUJ171" s="124"/>
      <c r="RUL171" s="111"/>
      <c r="RUN171" s="200"/>
      <c r="RUO171" s="201"/>
      <c r="RUP171" s="201"/>
      <c r="RUQ171" s="200"/>
      <c r="RUR171" s="202"/>
      <c r="RUS171" s="203"/>
      <c r="RUT171" s="124"/>
      <c r="RUV171" s="126"/>
      <c r="RUW171" s="124"/>
      <c r="RUY171" s="111"/>
      <c r="RVA171" s="200"/>
      <c r="RVB171" s="201"/>
      <c r="RVC171" s="201"/>
      <c r="RVD171" s="200"/>
      <c r="RVE171" s="202"/>
      <c r="RVF171" s="203"/>
      <c r="RVG171" s="124"/>
      <c r="RVI171" s="126"/>
      <c r="RVJ171" s="124"/>
      <c r="RVL171" s="111"/>
      <c r="RVN171" s="200"/>
      <c r="RVO171" s="201"/>
      <c r="RVP171" s="201"/>
      <c r="RVQ171" s="200"/>
      <c r="RVR171" s="202"/>
      <c r="RVS171" s="203"/>
      <c r="RVT171" s="124"/>
      <c r="RVV171" s="126"/>
      <c r="RVW171" s="124"/>
      <c r="RVY171" s="111"/>
      <c r="RWA171" s="200"/>
      <c r="RWB171" s="201"/>
      <c r="RWC171" s="201"/>
      <c r="RWD171" s="200"/>
      <c r="RWE171" s="202"/>
      <c r="RWF171" s="203"/>
      <c r="RWG171" s="124"/>
      <c r="RWI171" s="126"/>
      <c r="RWJ171" s="124"/>
      <c r="RWL171" s="111"/>
      <c r="RWN171" s="200"/>
      <c r="RWO171" s="201"/>
      <c r="RWP171" s="201"/>
      <c r="RWQ171" s="200"/>
      <c r="RWR171" s="202"/>
      <c r="RWS171" s="203"/>
      <c r="RWT171" s="124"/>
      <c r="RWV171" s="126"/>
      <c r="RWW171" s="124"/>
      <c r="RWY171" s="111"/>
      <c r="RXA171" s="200"/>
      <c r="RXB171" s="201"/>
      <c r="RXC171" s="201"/>
      <c r="RXD171" s="200"/>
      <c r="RXE171" s="202"/>
      <c r="RXF171" s="203"/>
      <c r="RXG171" s="124"/>
      <c r="RXI171" s="126"/>
      <c r="RXJ171" s="124"/>
      <c r="RXL171" s="111"/>
      <c r="RXN171" s="200"/>
      <c r="RXO171" s="201"/>
      <c r="RXP171" s="201"/>
      <c r="RXQ171" s="200"/>
      <c r="RXR171" s="202"/>
      <c r="RXS171" s="203"/>
      <c r="RXT171" s="124"/>
      <c r="RXV171" s="126"/>
      <c r="RXW171" s="124"/>
      <c r="RXY171" s="111"/>
      <c r="RYA171" s="200"/>
      <c r="RYB171" s="201"/>
      <c r="RYC171" s="201"/>
      <c r="RYD171" s="200"/>
      <c r="RYE171" s="202"/>
      <c r="RYF171" s="203"/>
      <c r="RYG171" s="124"/>
      <c r="RYI171" s="126"/>
      <c r="RYJ171" s="124"/>
      <c r="RYL171" s="111"/>
      <c r="RYN171" s="200"/>
      <c r="RYO171" s="201"/>
      <c r="RYP171" s="201"/>
      <c r="RYQ171" s="200"/>
      <c r="RYR171" s="202"/>
      <c r="RYS171" s="203"/>
      <c r="RYT171" s="124"/>
      <c r="RYV171" s="126"/>
      <c r="RYW171" s="124"/>
      <c r="RYY171" s="111"/>
      <c r="RZA171" s="200"/>
      <c r="RZB171" s="201"/>
      <c r="RZC171" s="201"/>
      <c r="RZD171" s="200"/>
      <c r="RZE171" s="202"/>
      <c r="RZF171" s="203"/>
      <c r="RZG171" s="124"/>
      <c r="RZI171" s="126"/>
      <c r="RZJ171" s="124"/>
      <c r="RZL171" s="111"/>
      <c r="RZN171" s="200"/>
      <c r="RZO171" s="201"/>
      <c r="RZP171" s="201"/>
      <c r="RZQ171" s="200"/>
      <c r="RZR171" s="202"/>
      <c r="RZS171" s="203"/>
      <c r="RZT171" s="124"/>
      <c r="RZV171" s="126"/>
      <c r="RZW171" s="124"/>
      <c r="RZY171" s="111"/>
      <c r="SAA171" s="200"/>
      <c r="SAB171" s="201"/>
      <c r="SAC171" s="201"/>
      <c r="SAD171" s="200"/>
      <c r="SAE171" s="202"/>
      <c r="SAF171" s="203"/>
      <c r="SAG171" s="124"/>
      <c r="SAI171" s="126"/>
      <c r="SAJ171" s="124"/>
      <c r="SAL171" s="111"/>
      <c r="SAN171" s="200"/>
      <c r="SAO171" s="201"/>
      <c r="SAP171" s="201"/>
      <c r="SAQ171" s="200"/>
      <c r="SAR171" s="202"/>
      <c r="SAS171" s="203"/>
      <c r="SAT171" s="124"/>
      <c r="SAV171" s="126"/>
      <c r="SAW171" s="124"/>
      <c r="SAY171" s="111"/>
      <c r="SBA171" s="200"/>
      <c r="SBB171" s="201"/>
      <c r="SBC171" s="201"/>
      <c r="SBD171" s="200"/>
      <c r="SBE171" s="202"/>
      <c r="SBF171" s="203"/>
      <c r="SBG171" s="124"/>
      <c r="SBI171" s="126"/>
      <c r="SBJ171" s="124"/>
      <c r="SBL171" s="111"/>
      <c r="SBN171" s="200"/>
      <c r="SBO171" s="201"/>
      <c r="SBP171" s="201"/>
      <c r="SBQ171" s="200"/>
      <c r="SBR171" s="202"/>
      <c r="SBS171" s="203"/>
      <c r="SBT171" s="124"/>
      <c r="SBV171" s="126"/>
      <c r="SBW171" s="124"/>
      <c r="SBY171" s="111"/>
      <c r="SCA171" s="200"/>
      <c r="SCB171" s="201"/>
      <c r="SCC171" s="201"/>
      <c r="SCD171" s="200"/>
      <c r="SCE171" s="202"/>
      <c r="SCF171" s="203"/>
      <c r="SCG171" s="124"/>
      <c r="SCI171" s="126"/>
      <c r="SCJ171" s="124"/>
      <c r="SCL171" s="111"/>
      <c r="SCN171" s="200"/>
      <c r="SCO171" s="201"/>
      <c r="SCP171" s="201"/>
      <c r="SCQ171" s="200"/>
      <c r="SCR171" s="202"/>
      <c r="SCS171" s="203"/>
      <c r="SCT171" s="124"/>
      <c r="SCV171" s="126"/>
      <c r="SCW171" s="124"/>
      <c r="SCY171" s="111"/>
      <c r="SDA171" s="200"/>
      <c r="SDB171" s="201"/>
      <c r="SDC171" s="201"/>
      <c r="SDD171" s="200"/>
      <c r="SDE171" s="202"/>
      <c r="SDF171" s="203"/>
      <c r="SDG171" s="124"/>
      <c r="SDI171" s="126"/>
      <c r="SDJ171" s="124"/>
      <c r="SDL171" s="111"/>
      <c r="SDN171" s="200"/>
      <c r="SDO171" s="201"/>
      <c r="SDP171" s="201"/>
      <c r="SDQ171" s="200"/>
      <c r="SDR171" s="202"/>
      <c r="SDS171" s="203"/>
      <c r="SDT171" s="124"/>
      <c r="SDV171" s="126"/>
      <c r="SDW171" s="124"/>
      <c r="SDY171" s="111"/>
      <c r="SEA171" s="200"/>
      <c r="SEB171" s="201"/>
      <c r="SEC171" s="201"/>
      <c r="SED171" s="200"/>
      <c r="SEE171" s="202"/>
      <c r="SEF171" s="203"/>
      <c r="SEG171" s="124"/>
      <c r="SEI171" s="126"/>
      <c r="SEJ171" s="124"/>
      <c r="SEL171" s="111"/>
      <c r="SEN171" s="200"/>
      <c r="SEO171" s="201"/>
      <c r="SEP171" s="201"/>
      <c r="SEQ171" s="200"/>
      <c r="SER171" s="202"/>
      <c r="SES171" s="203"/>
      <c r="SET171" s="124"/>
      <c r="SEV171" s="126"/>
      <c r="SEW171" s="124"/>
      <c r="SEY171" s="111"/>
      <c r="SFA171" s="200"/>
      <c r="SFB171" s="201"/>
      <c r="SFC171" s="201"/>
      <c r="SFD171" s="200"/>
      <c r="SFE171" s="202"/>
      <c r="SFF171" s="203"/>
      <c r="SFG171" s="124"/>
      <c r="SFI171" s="126"/>
      <c r="SFJ171" s="124"/>
      <c r="SFL171" s="111"/>
      <c r="SFN171" s="200"/>
      <c r="SFO171" s="201"/>
      <c r="SFP171" s="201"/>
      <c r="SFQ171" s="200"/>
      <c r="SFR171" s="202"/>
      <c r="SFS171" s="203"/>
      <c r="SFT171" s="124"/>
      <c r="SFV171" s="126"/>
      <c r="SFW171" s="124"/>
      <c r="SFY171" s="111"/>
      <c r="SGA171" s="200"/>
      <c r="SGB171" s="201"/>
      <c r="SGC171" s="201"/>
      <c r="SGD171" s="200"/>
      <c r="SGE171" s="202"/>
      <c r="SGF171" s="203"/>
      <c r="SGG171" s="124"/>
      <c r="SGI171" s="126"/>
      <c r="SGJ171" s="124"/>
      <c r="SGL171" s="111"/>
      <c r="SGN171" s="200"/>
      <c r="SGO171" s="201"/>
      <c r="SGP171" s="201"/>
      <c r="SGQ171" s="200"/>
      <c r="SGR171" s="202"/>
      <c r="SGS171" s="203"/>
      <c r="SGT171" s="124"/>
      <c r="SGV171" s="126"/>
      <c r="SGW171" s="124"/>
      <c r="SGY171" s="111"/>
      <c r="SHA171" s="200"/>
      <c r="SHB171" s="201"/>
      <c r="SHC171" s="201"/>
      <c r="SHD171" s="200"/>
      <c r="SHE171" s="202"/>
      <c r="SHF171" s="203"/>
      <c r="SHG171" s="124"/>
      <c r="SHI171" s="126"/>
      <c r="SHJ171" s="124"/>
      <c r="SHL171" s="111"/>
      <c r="SHN171" s="200"/>
      <c r="SHO171" s="201"/>
      <c r="SHP171" s="201"/>
      <c r="SHQ171" s="200"/>
      <c r="SHR171" s="202"/>
      <c r="SHS171" s="203"/>
      <c r="SHT171" s="124"/>
      <c r="SHV171" s="126"/>
      <c r="SHW171" s="124"/>
      <c r="SHY171" s="111"/>
      <c r="SIA171" s="200"/>
      <c r="SIB171" s="201"/>
      <c r="SIC171" s="201"/>
      <c r="SID171" s="200"/>
      <c r="SIE171" s="202"/>
      <c r="SIF171" s="203"/>
      <c r="SIG171" s="124"/>
      <c r="SII171" s="126"/>
      <c r="SIJ171" s="124"/>
      <c r="SIL171" s="111"/>
      <c r="SIN171" s="200"/>
      <c r="SIO171" s="201"/>
      <c r="SIP171" s="201"/>
      <c r="SIQ171" s="200"/>
      <c r="SIR171" s="202"/>
      <c r="SIS171" s="203"/>
      <c r="SIT171" s="124"/>
      <c r="SIV171" s="126"/>
      <c r="SIW171" s="124"/>
      <c r="SIY171" s="111"/>
      <c r="SJA171" s="200"/>
      <c r="SJB171" s="201"/>
      <c r="SJC171" s="201"/>
      <c r="SJD171" s="200"/>
      <c r="SJE171" s="202"/>
      <c r="SJF171" s="203"/>
      <c r="SJG171" s="124"/>
      <c r="SJI171" s="126"/>
      <c r="SJJ171" s="124"/>
      <c r="SJL171" s="111"/>
      <c r="SJN171" s="200"/>
      <c r="SJO171" s="201"/>
      <c r="SJP171" s="201"/>
      <c r="SJQ171" s="200"/>
      <c r="SJR171" s="202"/>
      <c r="SJS171" s="203"/>
      <c r="SJT171" s="124"/>
      <c r="SJV171" s="126"/>
      <c r="SJW171" s="124"/>
      <c r="SJY171" s="111"/>
      <c r="SKA171" s="200"/>
      <c r="SKB171" s="201"/>
      <c r="SKC171" s="201"/>
      <c r="SKD171" s="200"/>
      <c r="SKE171" s="202"/>
      <c r="SKF171" s="203"/>
      <c r="SKG171" s="124"/>
      <c r="SKI171" s="126"/>
      <c r="SKJ171" s="124"/>
      <c r="SKL171" s="111"/>
      <c r="SKN171" s="200"/>
      <c r="SKO171" s="201"/>
      <c r="SKP171" s="201"/>
      <c r="SKQ171" s="200"/>
      <c r="SKR171" s="202"/>
      <c r="SKS171" s="203"/>
      <c r="SKT171" s="124"/>
      <c r="SKV171" s="126"/>
      <c r="SKW171" s="124"/>
      <c r="SKY171" s="111"/>
      <c r="SLA171" s="200"/>
      <c r="SLB171" s="201"/>
      <c r="SLC171" s="201"/>
      <c r="SLD171" s="200"/>
      <c r="SLE171" s="202"/>
      <c r="SLF171" s="203"/>
      <c r="SLG171" s="124"/>
      <c r="SLI171" s="126"/>
      <c r="SLJ171" s="124"/>
      <c r="SLL171" s="111"/>
      <c r="SLN171" s="200"/>
      <c r="SLO171" s="201"/>
      <c r="SLP171" s="201"/>
      <c r="SLQ171" s="200"/>
      <c r="SLR171" s="202"/>
      <c r="SLS171" s="203"/>
      <c r="SLT171" s="124"/>
      <c r="SLV171" s="126"/>
      <c r="SLW171" s="124"/>
      <c r="SLY171" s="111"/>
      <c r="SMA171" s="200"/>
      <c r="SMB171" s="201"/>
      <c r="SMC171" s="201"/>
      <c r="SMD171" s="200"/>
      <c r="SME171" s="202"/>
      <c r="SMF171" s="203"/>
      <c r="SMG171" s="124"/>
      <c r="SMI171" s="126"/>
      <c r="SMJ171" s="124"/>
      <c r="SML171" s="111"/>
      <c r="SMN171" s="200"/>
      <c r="SMO171" s="201"/>
      <c r="SMP171" s="201"/>
      <c r="SMQ171" s="200"/>
      <c r="SMR171" s="202"/>
      <c r="SMS171" s="203"/>
      <c r="SMT171" s="124"/>
      <c r="SMV171" s="126"/>
      <c r="SMW171" s="124"/>
      <c r="SMY171" s="111"/>
      <c r="SNA171" s="200"/>
      <c r="SNB171" s="201"/>
      <c r="SNC171" s="201"/>
      <c r="SND171" s="200"/>
      <c r="SNE171" s="202"/>
      <c r="SNF171" s="203"/>
      <c r="SNG171" s="124"/>
      <c r="SNI171" s="126"/>
      <c r="SNJ171" s="124"/>
      <c r="SNL171" s="111"/>
      <c r="SNN171" s="200"/>
      <c r="SNO171" s="201"/>
      <c r="SNP171" s="201"/>
      <c r="SNQ171" s="200"/>
      <c r="SNR171" s="202"/>
      <c r="SNS171" s="203"/>
      <c r="SNT171" s="124"/>
      <c r="SNV171" s="126"/>
      <c r="SNW171" s="124"/>
      <c r="SNY171" s="111"/>
      <c r="SOA171" s="200"/>
      <c r="SOB171" s="201"/>
      <c r="SOC171" s="201"/>
      <c r="SOD171" s="200"/>
      <c r="SOE171" s="202"/>
      <c r="SOF171" s="203"/>
      <c r="SOG171" s="124"/>
      <c r="SOI171" s="126"/>
      <c r="SOJ171" s="124"/>
      <c r="SOL171" s="111"/>
      <c r="SON171" s="200"/>
      <c r="SOO171" s="201"/>
      <c r="SOP171" s="201"/>
      <c r="SOQ171" s="200"/>
      <c r="SOR171" s="202"/>
      <c r="SOS171" s="203"/>
      <c r="SOT171" s="124"/>
      <c r="SOV171" s="126"/>
      <c r="SOW171" s="124"/>
      <c r="SOY171" s="111"/>
      <c r="SPA171" s="200"/>
      <c r="SPB171" s="201"/>
      <c r="SPC171" s="201"/>
      <c r="SPD171" s="200"/>
      <c r="SPE171" s="202"/>
      <c r="SPF171" s="203"/>
      <c r="SPG171" s="124"/>
      <c r="SPI171" s="126"/>
      <c r="SPJ171" s="124"/>
      <c r="SPL171" s="111"/>
      <c r="SPN171" s="200"/>
      <c r="SPO171" s="201"/>
      <c r="SPP171" s="201"/>
      <c r="SPQ171" s="200"/>
      <c r="SPR171" s="202"/>
      <c r="SPS171" s="203"/>
      <c r="SPT171" s="124"/>
      <c r="SPV171" s="126"/>
      <c r="SPW171" s="124"/>
      <c r="SPY171" s="111"/>
      <c r="SQA171" s="200"/>
      <c r="SQB171" s="201"/>
      <c r="SQC171" s="201"/>
      <c r="SQD171" s="200"/>
      <c r="SQE171" s="202"/>
      <c r="SQF171" s="203"/>
      <c r="SQG171" s="124"/>
      <c r="SQI171" s="126"/>
      <c r="SQJ171" s="124"/>
      <c r="SQL171" s="111"/>
      <c r="SQN171" s="200"/>
      <c r="SQO171" s="201"/>
      <c r="SQP171" s="201"/>
      <c r="SQQ171" s="200"/>
      <c r="SQR171" s="202"/>
      <c r="SQS171" s="203"/>
      <c r="SQT171" s="124"/>
      <c r="SQV171" s="126"/>
      <c r="SQW171" s="124"/>
      <c r="SQY171" s="111"/>
      <c r="SRA171" s="200"/>
      <c r="SRB171" s="201"/>
      <c r="SRC171" s="201"/>
      <c r="SRD171" s="200"/>
      <c r="SRE171" s="202"/>
      <c r="SRF171" s="203"/>
      <c r="SRG171" s="124"/>
      <c r="SRI171" s="126"/>
      <c r="SRJ171" s="124"/>
      <c r="SRL171" s="111"/>
      <c r="SRN171" s="200"/>
      <c r="SRO171" s="201"/>
      <c r="SRP171" s="201"/>
      <c r="SRQ171" s="200"/>
      <c r="SRR171" s="202"/>
      <c r="SRS171" s="203"/>
      <c r="SRT171" s="124"/>
      <c r="SRV171" s="126"/>
      <c r="SRW171" s="124"/>
      <c r="SRY171" s="111"/>
      <c r="SSA171" s="200"/>
      <c r="SSB171" s="201"/>
      <c r="SSC171" s="201"/>
      <c r="SSD171" s="200"/>
      <c r="SSE171" s="202"/>
      <c r="SSF171" s="203"/>
      <c r="SSG171" s="124"/>
      <c r="SSI171" s="126"/>
      <c r="SSJ171" s="124"/>
      <c r="SSL171" s="111"/>
      <c r="SSN171" s="200"/>
      <c r="SSO171" s="201"/>
      <c r="SSP171" s="201"/>
      <c r="SSQ171" s="200"/>
      <c r="SSR171" s="202"/>
      <c r="SSS171" s="203"/>
      <c r="SST171" s="124"/>
      <c r="SSV171" s="126"/>
      <c r="SSW171" s="124"/>
      <c r="SSY171" s="111"/>
      <c r="STA171" s="200"/>
      <c r="STB171" s="201"/>
      <c r="STC171" s="201"/>
      <c r="STD171" s="200"/>
      <c r="STE171" s="202"/>
      <c r="STF171" s="203"/>
      <c r="STG171" s="124"/>
      <c r="STI171" s="126"/>
      <c r="STJ171" s="124"/>
      <c r="STL171" s="111"/>
      <c r="STN171" s="200"/>
      <c r="STO171" s="201"/>
      <c r="STP171" s="201"/>
      <c r="STQ171" s="200"/>
      <c r="STR171" s="202"/>
      <c r="STS171" s="203"/>
      <c r="STT171" s="124"/>
      <c r="STV171" s="126"/>
      <c r="STW171" s="124"/>
      <c r="STY171" s="111"/>
      <c r="SUA171" s="200"/>
      <c r="SUB171" s="201"/>
      <c r="SUC171" s="201"/>
      <c r="SUD171" s="200"/>
      <c r="SUE171" s="202"/>
      <c r="SUF171" s="203"/>
      <c r="SUG171" s="124"/>
      <c r="SUI171" s="126"/>
      <c r="SUJ171" s="124"/>
      <c r="SUL171" s="111"/>
      <c r="SUN171" s="200"/>
      <c r="SUO171" s="201"/>
      <c r="SUP171" s="201"/>
      <c r="SUQ171" s="200"/>
      <c r="SUR171" s="202"/>
      <c r="SUS171" s="203"/>
      <c r="SUT171" s="124"/>
      <c r="SUV171" s="126"/>
      <c r="SUW171" s="124"/>
      <c r="SUY171" s="111"/>
      <c r="SVA171" s="200"/>
      <c r="SVB171" s="201"/>
      <c r="SVC171" s="201"/>
      <c r="SVD171" s="200"/>
      <c r="SVE171" s="202"/>
      <c r="SVF171" s="203"/>
      <c r="SVG171" s="124"/>
      <c r="SVI171" s="126"/>
      <c r="SVJ171" s="124"/>
      <c r="SVL171" s="111"/>
      <c r="SVN171" s="200"/>
      <c r="SVO171" s="201"/>
      <c r="SVP171" s="201"/>
      <c r="SVQ171" s="200"/>
      <c r="SVR171" s="202"/>
      <c r="SVS171" s="203"/>
      <c r="SVT171" s="124"/>
      <c r="SVV171" s="126"/>
      <c r="SVW171" s="124"/>
      <c r="SVY171" s="111"/>
      <c r="SWA171" s="200"/>
      <c r="SWB171" s="201"/>
      <c r="SWC171" s="201"/>
      <c r="SWD171" s="200"/>
      <c r="SWE171" s="202"/>
      <c r="SWF171" s="203"/>
      <c r="SWG171" s="124"/>
      <c r="SWI171" s="126"/>
      <c r="SWJ171" s="124"/>
      <c r="SWL171" s="111"/>
      <c r="SWN171" s="200"/>
      <c r="SWO171" s="201"/>
      <c r="SWP171" s="201"/>
      <c r="SWQ171" s="200"/>
      <c r="SWR171" s="202"/>
      <c r="SWS171" s="203"/>
      <c r="SWT171" s="124"/>
      <c r="SWV171" s="126"/>
      <c r="SWW171" s="124"/>
      <c r="SWY171" s="111"/>
      <c r="SXA171" s="200"/>
      <c r="SXB171" s="201"/>
      <c r="SXC171" s="201"/>
      <c r="SXD171" s="200"/>
      <c r="SXE171" s="202"/>
      <c r="SXF171" s="203"/>
      <c r="SXG171" s="124"/>
      <c r="SXI171" s="126"/>
      <c r="SXJ171" s="124"/>
      <c r="SXL171" s="111"/>
      <c r="SXN171" s="200"/>
      <c r="SXO171" s="201"/>
      <c r="SXP171" s="201"/>
      <c r="SXQ171" s="200"/>
      <c r="SXR171" s="202"/>
      <c r="SXS171" s="203"/>
      <c r="SXT171" s="124"/>
      <c r="SXV171" s="126"/>
      <c r="SXW171" s="124"/>
      <c r="SXY171" s="111"/>
      <c r="SYA171" s="200"/>
      <c r="SYB171" s="201"/>
      <c r="SYC171" s="201"/>
      <c r="SYD171" s="200"/>
      <c r="SYE171" s="202"/>
      <c r="SYF171" s="203"/>
      <c r="SYG171" s="124"/>
      <c r="SYI171" s="126"/>
      <c r="SYJ171" s="124"/>
      <c r="SYL171" s="111"/>
      <c r="SYN171" s="200"/>
      <c r="SYO171" s="201"/>
      <c r="SYP171" s="201"/>
      <c r="SYQ171" s="200"/>
      <c r="SYR171" s="202"/>
      <c r="SYS171" s="203"/>
      <c r="SYT171" s="124"/>
      <c r="SYV171" s="126"/>
      <c r="SYW171" s="124"/>
      <c r="SYY171" s="111"/>
      <c r="SZA171" s="200"/>
      <c r="SZB171" s="201"/>
      <c r="SZC171" s="201"/>
      <c r="SZD171" s="200"/>
      <c r="SZE171" s="202"/>
      <c r="SZF171" s="203"/>
      <c r="SZG171" s="124"/>
      <c r="SZI171" s="126"/>
      <c r="SZJ171" s="124"/>
      <c r="SZL171" s="111"/>
      <c r="SZN171" s="200"/>
      <c r="SZO171" s="201"/>
      <c r="SZP171" s="201"/>
      <c r="SZQ171" s="200"/>
      <c r="SZR171" s="202"/>
      <c r="SZS171" s="203"/>
      <c r="SZT171" s="124"/>
      <c r="SZV171" s="126"/>
      <c r="SZW171" s="124"/>
      <c r="SZY171" s="111"/>
      <c r="TAA171" s="200"/>
      <c r="TAB171" s="201"/>
      <c r="TAC171" s="201"/>
      <c r="TAD171" s="200"/>
      <c r="TAE171" s="202"/>
      <c r="TAF171" s="203"/>
      <c r="TAG171" s="124"/>
      <c r="TAI171" s="126"/>
      <c r="TAJ171" s="124"/>
      <c r="TAL171" s="111"/>
      <c r="TAN171" s="200"/>
      <c r="TAO171" s="201"/>
      <c r="TAP171" s="201"/>
      <c r="TAQ171" s="200"/>
      <c r="TAR171" s="202"/>
      <c r="TAS171" s="203"/>
      <c r="TAT171" s="124"/>
      <c r="TAV171" s="126"/>
      <c r="TAW171" s="124"/>
      <c r="TAY171" s="111"/>
      <c r="TBA171" s="200"/>
      <c r="TBB171" s="201"/>
      <c r="TBC171" s="201"/>
      <c r="TBD171" s="200"/>
      <c r="TBE171" s="202"/>
      <c r="TBF171" s="203"/>
      <c r="TBG171" s="124"/>
      <c r="TBI171" s="126"/>
      <c r="TBJ171" s="124"/>
      <c r="TBL171" s="111"/>
      <c r="TBN171" s="200"/>
      <c r="TBO171" s="201"/>
      <c r="TBP171" s="201"/>
      <c r="TBQ171" s="200"/>
      <c r="TBR171" s="202"/>
      <c r="TBS171" s="203"/>
      <c r="TBT171" s="124"/>
      <c r="TBV171" s="126"/>
      <c r="TBW171" s="124"/>
      <c r="TBY171" s="111"/>
      <c r="TCA171" s="200"/>
      <c r="TCB171" s="201"/>
      <c r="TCC171" s="201"/>
      <c r="TCD171" s="200"/>
      <c r="TCE171" s="202"/>
      <c r="TCF171" s="203"/>
      <c r="TCG171" s="124"/>
      <c r="TCI171" s="126"/>
      <c r="TCJ171" s="124"/>
      <c r="TCL171" s="111"/>
      <c r="TCN171" s="200"/>
      <c r="TCO171" s="201"/>
      <c r="TCP171" s="201"/>
      <c r="TCQ171" s="200"/>
      <c r="TCR171" s="202"/>
      <c r="TCS171" s="203"/>
      <c r="TCT171" s="124"/>
      <c r="TCV171" s="126"/>
      <c r="TCW171" s="124"/>
      <c r="TCY171" s="111"/>
      <c r="TDA171" s="200"/>
      <c r="TDB171" s="201"/>
      <c r="TDC171" s="201"/>
      <c r="TDD171" s="200"/>
      <c r="TDE171" s="202"/>
      <c r="TDF171" s="203"/>
      <c r="TDG171" s="124"/>
      <c r="TDI171" s="126"/>
      <c r="TDJ171" s="124"/>
      <c r="TDL171" s="111"/>
      <c r="TDN171" s="200"/>
      <c r="TDO171" s="201"/>
      <c r="TDP171" s="201"/>
      <c r="TDQ171" s="200"/>
      <c r="TDR171" s="202"/>
      <c r="TDS171" s="203"/>
      <c r="TDT171" s="124"/>
      <c r="TDV171" s="126"/>
      <c r="TDW171" s="124"/>
      <c r="TDY171" s="111"/>
      <c r="TEA171" s="200"/>
      <c r="TEB171" s="201"/>
      <c r="TEC171" s="201"/>
      <c r="TED171" s="200"/>
      <c r="TEE171" s="202"/>
      <c r="TEF171" s="203"/>
      <c r="TEG171" s="124"/>
      <c r="TEI171" s="126"/>
      <c r="TEJ171" s="124"/>
      <c r="TEL171" s="111"/>
      <c r="TEN171" s="200"/>
      <c r="TEO171" s="201"/>
      <c r="TEP171" s="201"/>
      <c r="TEQ171" s="200"/>
      <c r="TER171" s="202"/>
      <c r="TES171" s="203"/>
      <c r="TET171" s="124"/>
      <c r="TEV171" s="126"/>
      <c r="TEW171" s="124"/>
      <c r="TEY171" s="111"/>
      <c r="TFA171" s="200"/>
      <c r="TFB171" s="201"/>
      <c r="TFC171" s="201"/>
      <c r="TFD171" s="200"/>
      <c r="TFE171" s="202"/>
      <c r="TFF171" s="203"/>
      <c r="TFG171" s="124"/>
      <c r="TFI171" s="126"/>
      <c r="TFJ171" s="124"/>
      <c r="TFL171" s="111"/>
      <c r="TFN171" s="200"/>
      <c r="TFO171" s="201"/>
      <c r="TFP171" s="201"/>
      <c r="TFQ171" s="200"/>
      <c r="TFR171" s="202"/>
      <c r="TFS171" s="203"/>
      <c r="TFT171" s="124"/>
      <c r="TFV171" s="126"/>
      <c r="TFW171" s="124"/>
      <c r="TFY171" s="111"/>
      <c r="TGA171" s="200"/>
      <c r="TGB171" s="201"/>
      <c r="TGC171" s="201"/>
      <c r="TGD171" s="200"/>
      <c r="TGE171" s="202"/>
      <c r="TGF171" s="203"/>
      <c r="TGG171" s="124"/>
      <c r="TGI171" s="126"/>
      <c r="TGJ171" s="124"/>
      <c r="TGL171" s="111"/>
      <c r="TGN171" s="200"/>
      <c r="TGO171" s="201"/>
      <c r="TGP171" s="201"/>
      <c r="TGQ171" s="200"/>
      <c r="TGR171" s="202"/>
      <c r="TGS171" s="203"/>
      <c r="TGT171" s="124"/>
      <c r="TGV171" s="126"/>
      <c r="TGW171" s="124"/>
      <c r="TGY171" s="111"/>
      <c r="THA171" s="200"/>
      <c r="THB171" s="201"/>
      <c r="THC171" s="201"/>
      <c r="THD171" s="200"/>
      <c r="THE171" s="202"/>
      <c r="THF171" s="203"/>
      <c r="THG171" s="124"/>
      <c r="THI171" s="126"/>
      <c r="THJ171" s="124"/>
      <c r="THL171" s="111"/>
      <c r="THN171" s="200"/>
      <c r="THO171" s="201"/>
      <c r="THP171" s="201"/>
      <c r="THQ171" s="200"/>
      <c r="THR171" s="202"/>
      <c r="THS171" s="203"/>
      <c r="THT171" s="124"/>
      <c r="THV171" s="126"/>
      <c r="THW171" s="124"/>
      <c r="THY171" s="111"/>
      <c r="TIA171" s="200"/>
      <c r="TIB171" s="201"/>
      <c r="TIC171" s="201"/>
      <c r="TID171" s="200"/>
      <c r="TIE171" s="202"/>
      <c r="TIF171" s="203"/>
      <c r="TIG171" s="124"/>
      <c r="TII171" s="126"/>
      <c r="TIJ171" s="124"/>
      <c r="TIL171" s="111"/>
      <c r="TIN171" s="200"/>
      <c r="TIO171" s="201"/>
      <c r="TIP171" s="201"/>
      <c r="TIQ171" s="200"/>
      <c r="TIR171" s="202"/>
      <c r="TIS171" s="203"/>
      <c r="TIT171" s="124"/>
      <c r="TIV171" s="126"/>
      <c r="TIW171" s="124"/>
      <c r="TIY171" s="111"/>
      <c r="TJA171" s="200"/>
      <c r="TJB171" s="201"/>
      <c r="TJC171" s="201"/>
      <c r="TJD171" s="200"/>
      <c r="TJE171" s="202"/>
      <c r="TJF171" s="203"/>
      <c r="TJG171" s="124"/>
      <c r="TJI171" s="126"/>
      <c r="TJJ171" s="124"/>
      <c r="TJL171" s="111"/>
      <c r="TJN171" s="200"/>
      <c r="TJO171" s="201"/>
      <c r="TJP171" s="201"/>
      <c r="TJQ171" s="200"/>
      <c r="TJR171" s="202"/>
      <c r="TJS171" s="203"/>
      <c r="TJT171" s="124"/>
      <c r="TJV171" s="126"/>
      <c r="TJW171" s="124"/>
      <c r="TJY171" s="111"/>
      <c r="TKA171" s="200"/>
      <c r="TKB171" s="201"/>
      <c r="TKC171" s="201"/>
      <c r="TKD171" s="200"/>
      <c r="TKE171" s="202"/>
      <c r="TKF171" s="203"/>
      <c r="TKG171" s="124"/>
      <c r="TKI171" s="126"/>
      <c r="TKJ171" s="124"/>
      <c r="TKL171" s="111"/>
      <c r="TKN171" s="200"/>
      <c r="TKO171" s="201"/>
      <c r="TKP171" s="201"/>
      <c r="TKQ171" s="200"/>
      <c r="TKR171" s="202"/>
      <c r="TKS171" s="203"/>
      <c r="TKT171" s="124"/>
      <c r="TKV171" s="126"/>
      <c r="TKW171" s="124"/>
      <c r="TKY171" s="111"/>
      <c r="TLA171" s="200"/>
      <c r="TLB171" s="201"/>
      <c r="TLC171" s="201"/>
      <c r="TLD171" s="200"/>
      <c r="TLE171" s="202"/>
      <c r="TLF171" s="203"/>
      <c r="TLG171" s="124"/>
      <c r="TLI171" s="126"/>
      <c r="TLJ171" s="124"/>
      <c r="TLL171" s="111"/>
      <c r="TLN171" s="200"/>
      <c r="TLO171" s="201"/>
      <c r="TLP171" s="201"/>
      <c r="TLQ171" s="200"/>
      <c r="TLR171" s="202"/>
      <c r="TLS171" s="203"/>
      <c r="TLT171" s="124"/>
      <c r="TLV171" s="126"/>
      <c r="TLW171" s="124"/>
      <c r="TLY171" s="111"/>
      <c r="TMA171" s="200"/>
      <c r="TMB171" s="201"/>
      <c r="TMC171" s="201"/>
      <c r="TMD171" s="200"/>
      <c r="TME171" s="202"/>
      <c r="TMF171" s="203"/>
      <c r="TMG171" s="124"/>
      <c r="TMI171" s="126"/>
      <c r="TMJ171" s="124"/>
      <c r="TML171" s="111"/>
      <c r="TMN171" s="200"/>
      <c r="TMO171" s="201"/>
      <c r="TMP171" s="201"/>
      <c r="TMQ171" s="200"/>
      <c r="TMR171" s="202"/>
      <c r="TMS171" s="203"/>
      <c r="TMT171" s="124"/>
      <c r="TMV171" s="126"/>
      <c r="TMW171" s="124"/>
      <c r="TMY171" s="111"/>
      <c r="TNA171" s="200"/>
      <c r="TNB171" s="201"/>
      <c r="TNC171" s="201"/>
      <c r="TND171" s="200"/>
      <c r="TNE171" s="202"/>
      <c r="TNF171" s="203"/>
      <c r="TNG171" s="124"/>
      <c r="TNI171" s="126"/>
      <c r="TNJ171" s="124"/>
      <c r="TNL171" s="111"/>
      <c r="TNN171" s="200"/>
      <c r="TNO171" s="201"/>
      <c r="TNP171" s="201"/>
      <c r="TNQ171" s="200"/>
      <c r="TNR171" s="202"/>
      <c r="TNS171" s="203"/>
      <c r="TNT171" s="124"/>
      <c r="TNV171" s="126"/>
      <c r="TNW171" s="124"/>
      <c r="TNY171" s="111"/>
      <c r="TOA171" s="200"/>
      <c r="TOB171" s="201"/>
      <c r="TOC171" s="201"/>
      <c r="TOD171" s="200"/>
      <c r="TOE171" s="202"/>
      <c r="TOF171" s="203"/>
      <c r="TOG171" s="124"/>
      <c r="TOI171" s="126"/>
      <c r="TOJ171" s="124"/>
      <c r="TOL171" s="111"/>
      <c r="TON171" s="200"/>
      <c r="TOO171" s="201"/>
      <c r="TOP171" s="201"/>
      <c r="TOQ171" s="200"/>
      <c r="TOR171" s="202"/>
      <c r="TOS171" s="203"/>
      <c r="TOT171" s="124"/>
      <c r="TOV171" s="126"/>
      <c r="TOW171" s="124"/>
      <c r="TOY171" s="111"/>
      <c r="TPA171" s="200"/>
      <c r="TPB171" s="201"/>
      <c r="TPC171" s="201"/>
      <c r="TPD171" s="200"/>
      <c r="TPE171" s="202"/>
      <c r="TPF171" s="203"/>
      <c r="TPG171" s="124"/>
      <c r="TPI171" s="126"/>
      <c r="TPJ171" s="124"/>
      <c r="TPL171" s="111"/>
      <c r="TPN171" s="200"/>
      <c r="TPO171" s="201"/>
      <c r="TPP171" s="201"/>
      <c r="TPQ171" s="200"/>
      <c r="TPR171" s="202"/>
      <c r="TPS171" s="203"/>
      <c r="TPT171" s="124"/>
      <c r="TPV171" s="126"/>
      <c r="TPW171" s="124"/>
      <c r="TPY171" s="111"/>
      <c r="TQA171" s="200"/>
      <c r="TQB171" s="201"/>
      <c r="TQC171" s="201"/>
      <c r="TQD171" s="200"/>
      <c r="TQE171" s="202"/>
      <c r="TQF171" s="203"/>
      <c r="TQG171" s="124"/>
      <c r="TQI171" s="126"/>
      <c r="TQJ171" s="124"/>
      <c r="TQL171" s="111"/>
      <c r="TQN171" s="200"/>
      <c r="TQO171" s="201"/>
      <c r="TQP171" s="201"/>
      <c r="TQQ171" s="200"/>
      <c r="TQR171" s="202"/>
      <c r="TQS171" s="203"/>
      <c r="TQT171" s="124"/>
      <c r="TQV171" s="126"/>
      <c r="TQW171" s="124"/>
      <c r="TQY171" s="111"/>
      <c r="TRA171" s="200"/>
      <c r="TRB171" s="201"/>
      <c r="TRC171" s="201"/>
      <c r="TRD171" s="200"/>
      <c r="TRE171" s="202"/>
      <c r="TRF171" s="203"/>
      <c r="TRG171" s="124"/>
      <c r="TRI171" s="126"/>
      <c r="TRJ171" s="124"/>
      <c r="TRL171" s="111"/>
      <c r="TRN171" s="200"/>
      <c r="TRO171" s="201"/>
      <c r="TRP171" s="201"/>
      <c r="TRQ171" s="200"/>
      <c r="TRR171" s="202"/>
      <c r="TRS171" s="203"/>
      <c r="TRT171" s="124"/>
      <c r="TRV171" s="126"/>
      <c r="TRW171" s="124"/>
      <c r="TRY171" s="111"/>
      <c r="TSA171" s="200"/>
      <c r="TSB171" s="201"/>
      <c r="TSC171" s="201"/>
      <c r="TSD171" s="200"/>
      <c r="TSE171" s="202"/>
      <c r="TSF171" s="203"/>
      <c r="TSG171" s="124"/>
      <c r="TSI171" s="126"/>
      <c r="TSJ171" s="124"/>
      <c r="TSL171" s="111"/>
      <c r="TSN171" s="200"/>
      <c r="TSO171" s="201"/>
      <c r="TSP171" s="201"/>
      <c r="TSQ171" s="200"/>
      <c r="TSR171" s="202"/>
      <c r="TSS171" s="203"/>
      <c r="TST171" s="124"/>
      <c r="TSV171" s="126"/>
      <c r="TSW171" s="124"/>
      <c r="TSY171" s="111"/>
      <c r="TTA171" s="200"/>
      <c r="TTB171" s="201"/>
      <c r="TTC171" s="201"/>
      <c r="TTD171" s="200"/>
      <c r="TTE171" s="202"/>
      <c r="TTF171" s="203"/>
      <c r="TTG171" s="124"/>
      <c r="TTI171" s="126"/>
      <c r="TTJ171" s="124"/>
      <c r="TTL171" s="111"/>
      <c r="TTN171" s="200"/>
      <c r="TTO171" s="201"/>
      <c r="TTP171" s="201"/>
      <c r="TTQ171" s="200"/>
      <c r="TTR171" s="202"/>
      <c r="TTS171" s="203"/>
      <c r="TTT171" s="124"/>
      <c r="TTV171" s="126"/>
      <c r="TTW171" s="124"/>
      <c r="TTY171" s="111"/>
      <c r="TUA171" s="200"/>
      <c r="TUB171" s="201"/>
      <c r="TUC171" s="201"/>
      <c r="TUD171" s="200"/>
      <c r="TUE171" s="202"/>
      <c r="TUF171" s="203"/>
      <c r="TUG171" s="124"/>
      <c r="TUI171" s="126"/>
      <c r="TUJ171" s="124"/>
      <c r="TUL171" s="111"/>
      <c r="TUN171" s="200"/>
      <c r="TUO171" s="201"/>
      <c r="TUP171" s="201"/>
      <c r="TUQ171" s="200"/>
      <c r="TUR171" s="202"/>
      <c r="TUS171" s="203"/>
      <c r="TUT171" s="124"/>
      <c r="TUV171" s="126"/>
      <c r="TUW171" s="124"/>
      <c r="TUY171" s="111"/>
      <c r="TVA171" s="200"/>
      <c r="TVB171" s="201"/>
      <c r="TVC171" s="201"/>
      <c r="TVD171" s="200"/>
      <c r="TVE171" s="202"/>
      <c r="TVF171" s="203"/>
      <c r="TVG171" s="124"/>
      <c r="TVI171" s="126"/>
      <c r="TVJ171" s="124"/>
      <c r="TVL171" s="111"/>
      <c r="TVN171" s="200"/>
      <c r="TVO171" s="201"/>
      <c r="TVP171" s="201"/>
      <c r="TVQ171" s="200"/>
      <c r="TVR171" s="202"/>
      <c r="TVS171" s="203"/>
      <c r="TVT171" s="124"/>
      <c r="TVV171" s="126"/>
      <c r="TVW171" s="124"/>
      <c r="TVY171" s="111"/>
      <c r="TWA171" s="200"/>
      <c r="TWB171" s="201"/>
      <c r="TWC171" s="201"/>
      <c r="TWD171" s="200"/>
      <c r="TWE171" s="202"/>
      <c r="TWF171" s="203"/>
      <c r="TWG171" s="124"/>
      <c r="TWI171" s="126"/>
      <c r="TWJ171" s="124"/>
      <c r="TWL171" s="111"/>
      <c r="TWN171" s="200"/>
      <c r="TWO171" s="201"/>
      <c r="TWP171" s="201"/>
      <c r="TWQ171" s="200"/>
      <c r="TWR171" s="202"/>
      <c r="TWS171" s="203"/>
      <c r="TWT171" s="124"/>
      <c r="TWV171" s="126"/>
      <c r="TWW171" s="124"/>
      <c r="TWY171" s="111"/>
      <c r="TXA171" s="200"/>
      <c r="TXB171" s="201"/>
      <c r="TXC171" s="201"/>
      <c r="TXD171" s="200"/>
      <c r="TXE171" s="202"/>
      <c r="TXF171" s="203"/>
      <c r="TXG171" s="124"/>
      <c r="TXI171" s="126"/>
      <c r="TXJ171" s="124"/>
      <c r="TXL171" s="111"/>
      <c r="TXN171" s="200"/>
      <c r="TXO171" s="201"/>
      <c r="TXP171" s="201"/>
      <c r="TXQ171" s="200"/>
      <c r="TXR171" s="202"/>
      <c r="TXS171" s="203"/>
      <c r="TXT171" s="124"/>
      <c r="TXV171" s="126"/>
      <c r="TXW171" s="124"/>
      <c r="TXY171" s="111"/>
      <c r="TYA171" s="200"/>
      <c r="TYB171" s="201"/>
      <c r="TYC171" s="201"/>
      <c r="TYD171" s="200"/>
      <c r="TYE171" s="202"/>
      <c r="TYF171" s="203"/>
      <c r="TYG171" s="124"/>
      <c r="TYI171" s="126"/>
      <c r="TYJ171" s="124"/>
      <c r="TYL171" s="111"/>
      <c r="TYN171" s="200"/>
      <c r="TYO171" s="201"/>
      <c r="TYP171" s="201"/>
      <c r="TYQ171" s="200"/>
      <c r="TYR171" s="202"/>
      <c r="TYS171" s="203"/>
      <c r="TYT171" s="124"/>
      <c r="TYV171" s="126"/>
      <c r="TYW171" s="124"/>
      <c r="TYY171" s="111"/>
      <c r="TZA171" s="200"/>
      <c r="TZB171" s="201"/>
      <c r="TZC171" s="201"/>
      <c r="TZD171" s="200"/>
      <c r="TZE171" s="202"/>
      <c r="TZF171" s="203"/>
      <c r="TZG171" s="124"/>
      <c r="TZI171" s="126"/>
      <c r="TZJ171" s="124"/>
      <c r="TZL171" s="111"/>
      <c r="TZN171" s="200"/>
      <c r="TZO171" s="201"/>
      <c r="TZP171" s="201"/>
      <c r="TZQ171" s="200"/>
      <c r="TZR171" s="202"/>
      <c r="TZS171" s="203"/>
      <c r="TZT171" s="124"/>
      <c r="TZV171" s="126"/>
      <c r="TZW171" s="124"/>
      <c r="TZY171" s="111"/>
      <c r="UAA171" s="200"/>
      <c r="UAB171" s="201"/>
      <c r="UAC171" s="201"/>
      <c r="UAD171" s="200"/>
      <c r="UAE171" s="202"/>
      <c r="UAF171" s="203"/>
      <c r="UAG171" s="124"/>
      <c r="UAI171" s="126"/>
      <c r="UAJ171" s="124"/>
      <c r="UAL171" s="111"/>
      <c r="UAN171" s="200"/>
      <c r="UAO171" s="201"/>
      <c r="UAP171" s="201"/>
      <c r="UAQ171" s="200"/>
      <c r="UAR171" s="202"/>
      <c r="UAS171" s="203"/>
      <c r="UAT171" s="124"/>
      <c r="UAV171" s="126"/>
      <c r="UAW171" s="124"/>
      <c r="UAY171" s="111"/>
      <c r="UBA171" s="200"/>
      <c r="UBB171" s="201"/>
      <c r="UBC171" s="201"/>
      <c r="UBD171" s="200"/>
      <c r="UBE171" s="202"/>
      <c r="UBF171" s="203"/>
      <c r="UBG171" s="124"/>
      <c r="UBI171" s="126"/>
      <c r="UBJ171" s="124"/>
      <c r="UBL171" s="111"/>
      <c r="UBN171" s="200"/>
      <c r="UBO171" s="201"/>
      <c r="UBP171" s="201"/>
      <c r="UBQ171" s="200"/>
      <c r="UBR171" s="202"/>
      <c r="UBS171" s="203"/>
      <c r="UBT171" s="124"/>
      <c r="UBV171" s="126"/>
      <c r="UBW171" s="124"/>
      <c r="UBY171" s="111"/>
      <c r="UCA171" s="200"/>
      <c r="UCB171" s="201"/>
      <c r="UCC171" s="201"/>
      <c r="UCD171" s="200"/>
      <c r="UCE171" s="202"/>
      <c r="UCF171" s="203"/>
      <c r="UCG171" s="124"/>
      <c r="UCI171" s="126"/>
      <c r="UCJ171" s="124"/>
      <c r="UCL171" s="111"/>
      <c r="UCN171" s="200"/>
      <c r="UCO171" s="201"/>
      <c r="UCP171" s="201"/>
      <c r="UCQ171" s="200"/>
      <c r="UCR171" s="202"/>
      <c r="UCS171" s="203"/>
      <c r="UCT171" s="124"/>
      <c r="UCV171" s="126"/>
      <c r="UCW171" s="124"/>
      <c r="UCY171" s="111"/>
      <c r="UDA171" s="200"/>
      <c r="UDB171" s="201"/>
      <c r="UDC171" s="201"/>
      <c r="UDD171" s="200"/>
      <c r="UDE171" s="202"/>
      <c r="UDF171" s="203"/>
      <c r="UDG171" s="124"/>
      <c r="UDI171" s="126"/>
      <c r="UDJ171" s="124"/>
      <c r="UDL171" s="111"/>
      <c r="UDN171" s="200"/>
      <c r="UDO171" s="201"/>
      <c r="UDP171" s="201"/>
      <c r="UDQ171" s="200"/>
      <c r="UDR171" s="202"/>
      <c r="UDS171" s="203"/>
      <c r="UDT171" s="124"/>
      <c r="UDV171" s="126"/>
      <c r="UDW171" s="124"/>
      <c r="UDY171" s="111"/>
      <c r="UEA171" s="200"/>
      <c r="UEB171" s="201"/>
      <c r="UEC171" s="201"/>
      <c r="UED171" s="200"/>
      <c r="UEE171" s="202"/>
      <c r="UEF171" s="203"/>
      <c r="UEG171" s="124"/>
      <c r="UEI171" s="126"/>
      <c r="UEJ171" s="124"/>
      <c r="UEL171" s="111"/>
      <c r="UEN171" s="200"/>
      <c r="UEO171" s="201"/>
      <c r="UEP171" s="201"/>
      <c r="UEQ171" s="200"/>
      <c r="UER171" s="202"/>
      <c r="UES171" s="203"/>
      <c r="UET171" s="124"/>
      <c r="UEV171" s="126"/>
      <c r="UEW171" s="124"/>
      <c r="UEY171" s="111"/>
      <c r="UFA171" s="200"/>
      <c r="UFB171" s="201"/>
      <c r="UFC171" s="201"/>
      <c r="UFD171" s="200"/>
      <c r="UFE171" s="202"/>
      <c r="UFF171" s="203"/>
      <c r="UFG171" s="124"/>
      <c r="UFI171" s="126"/>
      <c r="UFJ171" s="124"/>
      <c r="UFL171" s="111"/>
      <c r="UFN171" s="200"/>
      <c r="UFO171" s="201"/>
      <c r="UFP171" s="201"/>
      <c r="UFQ171" s="200"/>
      <c r="UFR171" s="202"/>
      <c r="UFS171" s="203"/>
      <c r="UFT171" s="124"/>
      <c r="UFV171" s="126"/>
      <c r="UFW171" s="124"/>
      <c r="UFY171" s="111"/>
      <c r="UGA171" s="200"/>
      <c r="UGB171" s="201"/>
      <c r="UGC171" s="201"/>
      <c r="UGD171" s="200"/>
      <c r="UGE171" s="202"/>
      <c r="UGF171" s="203"/>
      <c r="UGG171" s="124"/>
      <c r="UGI171" s="126"/>
      <c r="UGJ171" s="124"/>
      <c r="UGL171" s="111"/>
      <c r="UGN171" s="200"/>
      <c r="UGO171" s="201"/>
      <c r="UGP171" s="201"/>
      <c r="UGQ171" s="200"/>
      <c r="UGR171" s="202"/>
      <c r="UGS171" s="203"/>
      <c r="UGT171" s="124"/>
      <c r="UGV171" s="126"/>
      <c r="UGW171" s="124"/>
      <c r="UGY171" s="111"/>
      <c r="UHA171" s="200"/>
      <c r="UHB171" s="201"/>
      <c r="UHC171" s="201"/>
      <c r="UHD171" s="200"/>
      <c r="UHE171" s="202"/>
      <c r="UHF171" s="203"/>
      <c r="UHG171" s="124"/>
      <c r="UHI171" s="126"/>
      <c r="UHJ171" s="124"/>
      <c r="UHL171" s="111"/>
      <c r="UHN171" s="200"/>
      <c r="UHO171" s="201"/>
      <c r="UHP171" s="201"/>
      <c r="UHQ171" s="200"/>
      <c r="UHR171" s="202"/>
      <c r="UHS171" s="203"/>
      <c r="UHT171" s="124"/>
      <c r="UHV171" s="126"/>
      <c r="UHW171" s="124"/>
      <c r="UHY171" s="111"/>
      <c r="UIA171" s="200"/>
      <c r="UIB171" s="201"/>
      <c r="UIC171" s="201"/>
      <c r="UID171" s="200"/>
      <c r="UIE171" s="202"/>
      <c r="UIF171" s="203"/>
      <c r="UIG171" s="124"/>
      <c r="UII171" s="126"/>
      <c r="UIJ171" s="124"/>
      <c r="UIL171" s="111"/>
      <c r="UIN171" s="200"/>
      <c r="UIO171" s="201"/>
      <c r="UIP171" s="201"/>
      <c r="UIQ171" s="200"/>
      <c r="UIR171" s="202"/>
      <c r="UIS171" s="203"/>
      <c r="UIT171" s="124"/>
      <c r="UIV171" s="126"/>
      <c r="UIW171" s="124"/>
      <c r="UIY171" s="111"/>
      <c r="UJA171" s="200"/>
      <c r="UJB171" s="201"/>
      <c r="UJC171" s="201"/>
      <c r="UJD171" s="200"/>
      <c r="UJE171" s="202"/>
      <c r="UJF171" s="203"/>
      <c r="UJG171" s="124"/>
      <c r="UJI171" s="126"/>
      <c r="UJJ171" s="124"/>
      <c r="UJL171" s="111"/>
      <c r="UJN171" s="200"/>
      <c r="UJO171" s="201"/>
      <c r="UJP171" s="201"/>
      <c r="UJQ171" s="200"/>
      <c r="UJR171" s="202"/>
      <c r="UJS171" s="203"/>
      <c r="UJT171" s="124"/>
      <c r="UJV171" s="126"/>
      <c r="UJW171" s="124"/>
      <c r="UJY171" s="111"/>
      <c r="UKA171" s="200"/>
      <c r="UKB171" s="201"/>
      <c r="UKC171" s="201"/>
      <c r="UKD171" s="200"/>
      <c r="UKE171" s="202"/>
      <c r="UKF171" s="203"/>
      <c r="UKG171" s="124"/>
      <c r="UKI171" s="126"/>
      <c r="UKJ171" s="124"/>
      <c r="UKL171" s="111"/>
      <c r="UKN171" s="200"/>
      <c r="UKO171" s="201"/>
      <c r="UKP171" s="201"/>
      <c r="UKQ171" s="200"/>
      <c r="UKR171" s="202"/>
      <c r="UKS171" s="203"/>
      <c r="UKT171" s="124"/>
      <c r="UKV171" s="126"/>
      <c r="UKW171" s="124"/>
      <c r="UKY171" s="111"/>
      <c r="ULA171" s="200"/>
      <c r="ULB171" s="201"/>
      <c r="ULC171" s="201"/>
      <c r="ULD171" s="200"/>
      <c r="ULE171" s="202"/>
      <c r="ULF171" s="203"/>
      <c r="ULG171" s="124"/>
      <c r="ULI171" s="126"/>
      <c r="ULJ171" s="124"/>
      <c r="ULL171" s="111"/>
      <c r="ULN171" s="200"/>
      <c r="ULO171" s="201"/>
      <c r="ULP171" s="201"/>
      <c r="ULQ171" s="200"/>
      <c r="ULR171" s="202"/>
      <c r="ULS171" s="203"/>
      <c r="ULT171" s="124"/>
      <c r="ULV171" s="126"/>
      <c r="ULW171" s="124"/>
      <c r="ULY171" s="111"/>
      <c r="UMA171" s="200"/>
      <c r="UMB171" s="201"/>
      <c r="UMC171" s="201"/>
      <c r="UMD171" s="200"/>
      <c r="UME171" s="202"/>
      <c r="UMF171" s="203"/>
      <c r="UMG171" s="124"/>
      <c r="UMI171" s="126"/>
      <c r="UMJ171" s="124"/>
      <c r="UML171" s="111"/>
      <c r="UMN171" s="200"/>
      <c r="UMO171" s="201"/>
      <c r="UMP171" s="201"/>
      <c r="UMQ171" s="200"/>
      <c r="UMR171" s="202"/>
      <c r="UMS171" s="203"/>
      <c r="UMT171" s="124"/>
      <c r="UMV171" s="126"/>
      <c r="UMW171" s="124"/>
      <c r="UMY171" s="111"/>
      <c r="UNA171" s="200"/>
      <c r="UNB171" s="201"/>
      <c r="UNC171" s="201"/>
      <c r="UND171" s="200"/>
      <c r="UNE171" s="202"/>
      <c r="UNF171" s="203"/>
      <c r="UNG171" s="124"/>
      <c r="UNI171" s="126"/>
      <c r="UNJ171" s="124"/>
      <c r="UNL171" s="111"/>
      <c r="UNN171" s="200"/>
      <c r="UNO171" s="201"/>
      <c r="UNP171" s="201"/>
      <c r="UNQ171" s="200"/>
      <c r="UNR171" s="202"/>
      <c r="UNS171" s="203"/>
      <c r="UNT171" s="124"/>
      <c r="UNV171" s="126"/>
      <c r="UNW171" s="124"/>
      <c r="UNY171" s="111"/>
      <c r="UOA171" s="200"/>
      <c r="UOB171" s="201"/>
      <c r="UOC171" s="201"/>
      <c r="UOD171" s="200"/>
      <c r="UOE171" s="202"/>
      <c r="UOF171" s="203"/>
      <c r="UOG171" s="124"/>
      <c r="UOI171" s="126"/>
      <c r="UOJ171" s="124"/>
      <c r="UOL171" s="111"/>
      <c r="UON171" s="200"/>
      <c r="UOO171" s="201"/>
      <c r="UOP171" s="201"/>
      <c r="UOQ171" s="200"/>
      <c r="UOR171" s="202"/>
      <c r="UOS171" s="203"/>
      <c r="UOT171" s="124"/>
      <c r="UOV171" s="126"/>
      <c r="UOW171" s="124"/>
      <c r="UOY171" s="111"/>
      <c r="UPA171" s="200"/>
      <c r="UPB171" s="201"/>
      <c r="UPC171" s="201"/>
      <c r="UPD171" s="200"/>
      <c r="UPE171" s="202"/>
      <c r="UPF171" s="203"/>
      <c r="UPG171" s="124"/>
      <c r="UPI171" s="126"/>
      <c r="UPJ171" s="124"/>
      <c r="UPL171" s="111"/>
      <c r="UPN171" s="200"/>
      <c r="UPO171" s="201"/>
      <c r="UPP171" s="201"/>
      <c r="UPQ171" s="200"/>
      <c r="UPR171" s="202"/>
      <c r="UPS171" s="203"/>
      <c r="UPT171" s="124"/>
      <c r="UPV171" s="126"/>
      <c r="UPW171" s="124"/>
      <c r="UPY171" s="111"/>
      <c r="UQA171" s="200"/>
      <c r="UQB171" s="201"/>
      <c r="UQC171" s="201"/>
      <c r="UQD171" s="200"/>
      <c r="UQE171" s="202"/>
      <c r="UQF171" s="203"/>
      <c r="UQG171" s="124"/>
      <c r="UQI171" s="126"/>
      <c r="UQJ171" s="124"/>
      <c r="UQL171" s="111"/>
      <c r="UQN171" s="200"/>
      <c r="UQO171" s="201"/>
      <c r="UQP171" s="201"/>
      <c r="UQQ171" s="200"/>
      <c r="UQR171" s="202"/>
      <c r="UQS171" s="203"/>
      <c r="UQT171" s="124"/>
      <c r="UQV171" s="126"/>
      <c r="UQW171" s="124"/>
      <c r="UQY171" s="111"/>
      <c r="URA171" s="200"/>
      <c r="URB171" s="201"/>
      <c r="URC171" s="201"/>
      <c r="URD171" s="200"/>
      <c r="URE171" s="202"/>
      <c r="URF171" s="203"/>
      <c r="URG171" s="124"/>
      <c r="URI171" s="126"/>
      <c r="URJ171" s="124"/>
      <c r="URL171" s="111"/>
      <c r="URN171" s="200"/>
      <c r="URO171" s="201"/>
      <c r="URP171" s="201"/>
      <c r="URQ171" s="200"/>
      <c r="URR171" s="202"/>
      <c r="URS171" s="203"/>
      <c r="URT171" s="124"/>
      <c r="URV171" s="126"/>
      <c r="URW171" s="124"/>
      <c r="URY171" s="111"/>
      <c r="USA171" s="200"/>
      <c r="USB171" s="201"/>
      <c r="USC171" s="201"/>
      <c r="USD171" s="200"/>
      <c r="USE171" s="202"/>
      <c r="USF171" s="203"/>
      <c r="USG171" s="124"/>
      <c r="USI171" s="126"/>
      <c r="USJ171" s="124"/>
      <c r="USL171" s="111"/>
      <c r="USN171" s="200"/>
      <c r="USO171" s="201"/>
      <c r="USP171" s="201"/>
      <c r="USQ171" s="200"/>
      <c r="USR171" s="202"/>
      <c r="USS171" s="203"/>
      <c r="UST171" s="124"/>
      <c r="USV171" s="126"/>
      <c r="USW171" s="124"/>
      <c r="USY171" s="111"/>
      <c r="UTA171" s="200"/>
      <c r="UTB171" s="201"/>
      <c r="UTC171" s="201"/>
      <c r="UTD171" s="200"/>
      <c r="UTE171" s="202"/>
      <c r="UTF171" s="203"/>
      <c r="UTG171" s="124"/>
      <c r="UTI171" s="126"/>
      <c r="UTJ171" s="124"/>
      <c r="UTL171" s="111"/>
      <c r="UTN171" s="200"/>
      <c r="UTO171" s="201"/>
      <c r="UTP171" s="201"/>
      <c r="UTQ171" s="200"/>
      <c r="UTR171" s="202"/>
      <c r="UTS171" s="203"/>
      <c r="UTT171" s="124"/>
      <c r="UTV171" s="126"/>
      <c r="UTW171" s="124"/>
      <c r="UTY171" s="111"/>
      <c r="UUA171" s="200"/>
      <c r="UUB171" s="201"/>
      <c r="UUC171" s="201"/>
      <c r="UUD171" s="200"/>
      <c r="UUE171" s="202"/>
      <c r="UUF171" s="203"/>
      <c r="UUG171" s="124"/>
      <c r="UUI171" s="126"/>
      <c r="UUJ171" s="124"/>
      <c r="UUL171" s="111"/>
      <c r="UUN171" s="200"/>
      <c r="UUO171" s="201"/>
      <c r="UUP171" s="201"/>
      <c r="UUQ171" s="200"/>
      <c r="UUR171" s="202"/>
      <c r="UUS171" s="203"/>
      <c r="UUT171" s="124"/>
      <c r="UUV171" s="126"/>
      <c r="UUW171" s="124"/>
      <c r="UUY171" s="111"/>
      <c r="UVA171" s="200"/>
      <c r="UVB171" s="201"/>
      <c r="UVC171" s="201"/>
      <c r="UVD171" s="200"/>
      <c r="UVE171" s="202"/>
      <c r="UVF171" s="203"/>
      <c r="UVG171" s="124"/>
      <c r="UVI171" s="126"/>
      <c r="UVJ171" s="124"/>
      <c r="UVL171" s="111"/>
      <c r="UVN171" s="200"/>
      <c r="UVO171" s="201"/>
      <c r="UVP171" s="201"/>
      <c r="UVQ171" s="200"/>
      <c r="UVR171" s="202"/>
      <c r="UVS171" s="203"/>
      <c r="UVT171" s="124"/>
      <c r="UVV171" s="126"/>
      <c r="UVW171" s="124"/>
      <c r="UVY171" s="111"/>
      <c r="UWA171" s="200"/>
      <c r="UWB171" s="201"/>
      <c r="UWC171" s="201"/>
      <c r="UWD171" s="200"/>
      <c r="UWE171" s="202"/>
      <c r="UWF171" s="203"/>
      <c r="UWG171" s="124"/>
      <c r="UWI171" s="126"/>
      <c r="UWJ171" s="124"/>
      <c r="UWL171" s="111"/>
      <c r="UWN171" s="200"/>
      <c r="UWO171" s="201"/>
      <c r="UWP171" s="201"/>
      <c r="UWQ171" s="200"/>
      <c r="UWR171" s="202"/>
      <c r="UWS171" s="203"/>
      <c r="UWT171" s="124"/>
      <c r="UWV171" s="126"/>
      <c r="UWW171" s="124"/>
      <c r="UWY171" s="111"/>
      <c r="UXA171" s="200"/>
      <c r="UXB171" s="201"/>
      <c r="UXC171" s="201"/>
      <c r="UXD171" s="200"/>
      <c r="UXE171" s="202"/>
      <c r="UXF171" s="203"/>
      <c r="UXG171" s="124"/>
      <c r="UXI171" s="126"/>
      <c r="UXJ171" s="124"/>
      <c r="UXL171" s="111"/>
      <c r="UXN171" s="200"/>
      <c r="UXO171" s="201"/>
      <c r="UXP171" s="201"/>
      <c r="UXQ171" s="200"/>
      <c r="UXR171" s="202"/>
      <c r="UXS171" s="203"/>
      <c r="UXT171" s="124"/>
      <c r="UXV171" s="126"/>
      <c r="UXW171" s="124"/>
      <c r="UXY171" s="111"/>
      <c r="UYA171" s="200"/>
      <c r="UYB171" s="201"/>
      <c r="UYC171" s="201"/>
      <c r="UYD171" s="200"/>
      <c r="UYE171" s="202"/>
      <c r="UYF171" s="203"/>
      <c r="UYG171" s="124"/>
      <c r="UYI171" s="126"/>
      <c r="UYJ171" s="124"/>
      <c r="UYL171" s="111"/>
      <c r="UYN171" s="200"/>
      <c r="UYO171" s="201"/>
      <c r="UYP171" s="201"/>
      <c r="UYQ171" s="200"/>
      <c r="UYR171" s="202"/>
      <c r="UYS171" s="203"/>
      <c r="UYT171" s="124"/>
      <c r="UYV171" s="126"/>
      <c r="UYW171" s="124"/>
      <c r="UYY171" s="111"/>
      <c r="UZA171" s="200"/>
      <c r="UZB171" s="201"/>
      <c r="UZC171" s="201"/>
      <c r="UZD171" s="200"/>
      <c r="UZE171" s="202"/>
      <c r="UZF171" s="203"/>
      <c r="UZG171" s="124"/>
      <c r="UZI171" s="126"/>
      <c r="UZJ171" s="124"/>
      <c r="UZL171" s="111"/>
      <c r="UZN171" s="200"/>
      <c r="UZO171" s="201"/>
      <c r="UZP171" s="201"/>
      <c r="UZQ171" s="200"/>
      <c r="UZR171" s="202"/>
      <c r="UZS171" s="203"/>
      <c r="UZT171" s="124"/>
      <c r="UZV171" s="126"/>
      <c r="UZW171" s="124"/>
      <c r="UZY171" s="111"/>
      <c r="VAA171" s="200"/>
      <c r="VAB171" s="201"/>
      <c r="VAC171" s="201"/>
      <c r="VAD171" s="200"/>
      <c r="VAE171" s="202"/>
      <c r="VAF171" s="203"/>
      <c r="VAG171" s="124"/>
      <c r="VAI171" s="126"/>
      <c r="VAJ171" s="124"/>
      <c r="VAL171" s="111"/>
      <c r="VAN171" s="200"/>
      <c r="VAO171" s="201"/>
      <c r="VAP171" s="201"/>
      <c r="VAQ171" s="200"/>
      <c r="VAR171" s="202"/>
      <c r="VAS171" s="203"/>
      <c r="VAT171" s="124"/>
      <c r="VAV171" s="126"/>
      <c r="VAW171" s="124"/>
      <c r="VAY171" s="111"/>
      <c r="VBA171" s="200"/>
      <c r="VBB171" s="201"/>
      <c r="VBC171" s="201"/>
      <c r="VBD171" s="200"/>
      <c r="VBE171" s="202"/>
      <c r="VBF171" s="203"/>
      <c r="VBG171" s="124"/>
      <c r="VBI171" s="126"/>
      <c r="VBJ171" s="124"/>
      <c r="VBL171" s="111"/>
      <c r="VBN171" s="200"/>
      <c r="VBO171" s="201"/>
      <c r="VBP171" s="201"/>
      <c r="VBQ171" s="200"/>
      <c r="VBR171" s="202"/>
      <c r="VBS171" s="203"/>
      <c r="VBT171" s="124"/>
      <c r="VBV171" s="126"/>
      <c r="VBW171" s="124"/>
      <c r="VBY171" s="111"/>
      <c r="VCA171" s="200"/>
      <c r="VCB171" s="201"/>
      <c r="VCC171" s="201"/>
      <c r="VCD171" s="200"/>
      <c r="VCE171" s="202"/>
      <c r="VCF171" s="203"/>
      <c r="VCG171" s="124"/>
      <c r="VCI171" s="126"/>
      <c r="VCJ171" s="124"/>
      <c r="VCL171" s="111"/>
      <c r="VCN171" s="200"/>
      <c r="VCO171" s="201"/>
      <c r="VCP171" s="201"/>
      <c r="VCQ171" s="200"/>
      <c r="VCR171" s="202"/>
      <c r="VCS171" s="203"/>
      <c r="VCT171" s="124"/>
      <c r="VCV171" s="126"/>
      <c r="VCW171" s="124"/>
      <c r="VCY171" s="111"/>
      <c r="VDA171" s="200"/>
      <c r="VDB171" s="201"/>
      <c r="VDC171" s="201"/>
      <c r="VDD171" s="200"/>
      <c r="VDE171" s="202"/>
      <c r="VDF171" s="203"/>
      <c r="VDG171" s="124"/>
      <c r="VDI171" s="126"/>
      <c r="VDJ171" s="124"/>
      <c r="VDL171" s="111"/>
      <c r="VDN171" s="200"/>
      <c r="VDO171" s="201"/>
      <c r="VDP171" s="201"/>
      <c r="VDQ171" s="200"/>
      <c r="VDR171" s="202"/>
      <c r="VDS171" s="203"/>
      <c r="VDT171" s="124"/>
      <c r="VDV171" s="126"/>
      <c r="VDW171" s="124"/>
      <c r="VDY171" s="111"/>
      <c r="VEA171" s="200"/>
      <c r="VEB171" s="201"/>
      <c r="VEC171" s="201"/>
      <c r="VED171" s="200"/>
      <c r="VEE171" s="202"/>
      <c r="VEF171" s="203"/>
      <c r="VEG171" s="124"/>
      <c r="VEI171" s="126"/>
      <c r="VEJ171" s="124"/>
      <c r="VEL171" s="111"/>
      <c r="VEN171" s="200"/>
      <c r="VEO171" s="201"/>
      <c r="VEP171" s="201"/>
      <c r="VEQ171" s="200"/>
      <c r="VER171" s="202"/>
      <c r="VES171" s="203"/>
      <c r="VET171" s="124"/>
      <c r="VEV171" s="126"/>
      <c r="VEW171" s="124"/>
      <c r="VEY171" s="111"/>
      <c r="VFA171" s="200"/>
      <c r="VFB171" s="201"/>
      <c r="VFC171" s="201"/>
      <c r="VFD171" s="200"/>
      <c r="VFE171" s="202"/>
      <c r="VFF171" s="203"/>
      <c r="VFG171" s="124"/>
      <c r="VFI171" s="126"/>
      <c r="VFJ171" s="124"/>
      <c r="VFL171" s="111"/>
      <c r="VFN171" s="200"/>
      <c r="VFO171" s="201"/>
      <c r="VFP171" s="201"/>
      <c r="VFQ171" s="200"/>
      <c r="VFR171" s="202"/>
      <c r="VFS171" s="203"/>
      <c r="VFT171" s="124"/>
      <c r="VFV171" s="126"/>
      <c r="VFW171" s="124"/>
      <c r="VFY171" s="111"/>
      <c r="VGA171" s="200"/>
      <c r="VGB171" s="201"/>
      <c r="VGC171" s="201"/>
      <c r="VGD171" s="200"/>
      <c r="VGE171" s="202"/>
      <c r="VGF171" s="203"/>
      <c r="VGG171" s="124"/>
      <c r="VGI171" s="126"/>
      <c r="VGJ171" s="124"/>
      <c r="VGL171" s="111"/>
      <c r="VGN171" s="200"/>
      <c r="VGO171" s="201"/>
      <c r="VGP171" s="201"/>
      <c r="VGQ171" s="200"/>
      <c r="VGR171" s="202"/>
      <c r="VGS171" s="203"/>
      <c r="VGT171" s="124"/>
      <c r="VGV171" s="126"/>
      <c r="VGW171" s="124"/>
      <c r="VGY171" s="111"/>
      <c r="VHA171" s="200"/>
      <c r="VHB171" s="201"/>
      <c r="VHC171" s="201"/>
      <c r="VHD171" s="200"/>
      <c r="VHE171" s="202"/>
      <c r="VHF171" s="203"/>
      <c r="VHG171" s="124"/>
      <c r="VHI171" s="126"/>
      <c r="VHJ171" s="124"/>
      <c r="VHL171" s="111"/>
      <c r="VHN171" s="200"/>
      <c r="VHO171" s="201"/>
      <c r="VHP171" s="201"/>
      <c r="VHQ171" s="200"/>
      <c r="VHR171" s="202"/>
      <c r="VHS171" s="203"/>
      <c r="VHT171" s="124"/>
      <c r="VHV171" s="126"/>
      <c r="VHW171" s="124"/>
      <c r="VHY171" s="111"/>
      <c r="VIA171" s="200"/>
      <c r="VIB171" s="201"/>
      <c r="VIC171" s="201"/>
      <c r="VID171" s="200"/>
      <c r="VIE171" s="202"/>
      <c r="VIF171" s="203"/>
      <c r="VIG171" s="124"/>
      <c r="VII171" s="126"/>
      <c r="VIJ171" s="124"/>
      <c r="VIL171" s="111"/>
      <c r="VIN171" s="200"/>
      <c r="VIO171" s="201"/>
      <c r="VIP171" s="201"/>
      <c r="VIQ171" s="200"/>
      <c r="VIR171" s="202"/>
      <c r="VIS171" s="203"/>
      <c r="VIT171" s="124"/>
      <c r="VIV171" s="126"/>
      <c r="VIW171" s="124"/>
      <c r="VIY171" s="111"/>
      <c r="VJA171" s="200"/>
      <c r="VJB171" s="201"/>
      <c r="VJC171" s="201"/>
      <c r="VJD171" s="200"/>
      <c r="VJE171" s="202"/>
      <c r="VJF171" s="203"/>
      <c r="VJG171" s="124"/>
      <c r="VJI171" s="126"/>
      <c r="VJJ171" s="124"/>
      <c r="VJL171" s="111"/>
      <c r="VJN171" s="200"/>
      <c r="VJO171" s="201"/>
      <c r="VJP171" s="201"/>
      <c r="VJQ171" s="200"/>
      <c r="VJR171" s="202"/>
      <c r="VJS171" s="203"/>
      <c r="VJT171" s="124"/>
      <c r="VJV171" s="126"/>
      <c r="VJW171" s="124"/>
      <c r="VJY171" s="111"/>
      <c r="VKA171" s="200"/>
      <c r="VKB171" s="201"/>
      <c r="VKC171" s="201"/>
      <c r="VKD171" s="200"/>
      <c r="VKE171" s="202"/>
      <c r="VKF171" s="203"/>
      <c r="VKG171" s="124"/>
      <c r="VKI171" s="126"/>
      <c r="VKJ171" s="124"/>
      <c r="VKL171" s="111"/>
      <c r="VKN171" s="200"/>
      <c r="VKO171" s="201"/>
      <c r="VKP171" s="201"/>
      <c r="VKQ171" s="200"/>
      <c r="VKR171" s="202"/>
      <c r="VKS171" s="203"/>
      <c r="VKT171" s="124"/>
      <c r="VKV171" s="126"/>
      <c r="VKW171" s="124"/>
      <c r="VKY171" s="111"/>
      <c r="VLA171" s="200"/>
      <c r="VLB171" s="201"/>
      <c r="VLC171" s="201"/>
      <c r="VLD171" s="200"/>
      <c r="VLE171" s="202"/>
      <c r="VLF171" s="203"/>
      <c r="VLG171" s="124"/>
      <c r="VLI171" s="126"/>
      <c r="VLJ171" s="124"/>
      <c r="VLL171" s="111"/>
      <c r="VLN171" s="200"/>
      <c r="VLO171" s="201"/>
      <c r="VLP171" s="201"/>
      <c r="VLQ171" s="200"/>
      <c r="VLR171" s="202"/>
      <c r="VLS171" s="203"/>
      <c r="VLT171" s="124"/>
      <c r="VLV171" s="126"/>
      <c r="VLW171" s="124"/>
      <c r="VLY171" s="111"/>
      <c r="VMA171" s="200"/>
      <c r="VMB171" s="201"/>
      <c r="VMC171" s="201"/>
      <c r="VMD171" s="200"/>
      <c r="VME171" s="202"/>
      <c r="VMF171" s="203"/>
      <c r="VMG171" s="124"/>
      <c r="VMI171" s="126"/>
      <c r="VMJ171" s="124"/>
      <c r="VML171" s="111"/>
      <c r="VMN171" s="200"/>
      <c r="VMO171" s="201"/>
      <c r="VMP171" s="201"/>
      <c r="VMQ171" s="200"/>
      <c r="VMR171" s="202"/>
      <c r="VMS171" s="203"/>
      <c r="VMT171" s="124"/>
      <c r="VMV171" s="126"/>
      <c r="VMW171" s="124"/>
      <c r="VMY171" s="111"/>
      <c r="VNA171" s="200"/>
      <c r="VNB171" s="201"/>
      <c r="VNC171" s="201"/>
      <c r="VND171" s="200"/>
      <c r="VNE171" s="202"/>
      <c r="VNF171" s="203"/>
      <c r="VNG171" s="124"/>
      <c r="VNI171" s="126"/>
      <c r="VNJ171" s="124"/>
      <c r="VNL171" s="111"/>
      <c r="VNN171" s="200"/>
      <c r="VNO171" s="201"/>
      <c r="VNP171" s="201"/>
      <c r="VNQ171" s="200"/>
      <c r="VNR171" s="202"/>
      <c r="VNS171" s="203"/>
      <c r="VNT171" s="124"/>
      <c r="VNV171" s="126"/>
      <c r="VNW171" s="124"/>
      <c r="VNY171" s="111"/>
      <c r="VOA171" s="200"/>
      <c r="VOB171" s="201"/>
      <c r="VOC171" s="201"/>
      <c r="VOD171" s="200"/>
      <c r="VOE171" s="202"/>
      <c r="VOF171" s="203"/>
      <c r="VOG171" s="124"/>
      <c r="VOI171" s="126"/>
      <c r="VOJ171" s="124"/>
      <c r="VOL171" s="111"/>
      <c r="VON171" s="200"/>
      <c r="VOO171" s="201"/>
      <c r="VOP171" s="201"/>
      <c r="VOQ171" s="200"/>
      <c r="VOR171" s="202"/>
      <c r="VOS171" s="203"/>
      <c r="VOT171" s="124"/>
      <c r="VOV171" s="126"/>
      <c r="VOW171" s="124"/>
      <c r="VOY171" s="111"/>
      <c r="VPA171" s="200"/>
      <c r="VPB171" s="201"/>
      <c r="VPC171" s="201"/>
      <c r="VPD171" s="200"/>
      <c r="VPE171" s="202"/>
      <c r="VPF171" s="203"/>
      <c r="VPG171" s="124"/>
      <c r="VPI171" s="126"/>
      <c r="VPJ171" s="124"/>
      <c r="VPL171" s="111"/>
      <c r="VPN171" s="200"/>
      <c r="VPO171" s="201"/>
      <c r="VPP171" s="201"/>
      <c r="VPQ171" s="200"/>
      <c r="VPR171" s="202"/>
      <c r="VPS171" s="203"/>
      <c r="VPT171" s="124"/>
      <c r="VPV171" s="126"/>
      <c r="VPW171" s="124"/>
      <c r="VPY171" s="111"/>
      <c r="VQA171" s="200"/>
      <c r="VQB171" s="201"/>
      <c r="VQC171" s="201"/>
      <c r="VQD171" s="200"/>
      <c r="VQE171" s="202"/>
      <c r="VQF171" s="203"/>
      <c r="VQG171" s="124"/>
      <c r="VQI171" s="126"/>
      <c r="VQJ171" s="124"/>
      <c r="VQL171" s="111"/>
      <c r="VQN171" s="200"/>
      <c r="VQO171" s="201"/>
      <c r="VQP171" s="201"/>
      <c r="VQQ171" s="200"/>
      <c r="VQR171" s="202"/>
      <c r="VQS171" s="203"/>
      <c r="VQT171" s="124"/>
      <c r="VQV171" s="126"/>
      <c r="VQW171" s="124"/>
      <c r="VQY171" s="111"/>
      <c r="VRA171" s="200"/>
      <c r="VRB171" s="201"/>
      <c r="VRC171" s="201"/>
      <c r="VRD171" s="200"/>
      <c r="VRE171" s="202"/>
      <c r="VRF171" s="203"/>
      <c r="VRG171" s="124"/>
      <c r="VRI171" s="126"/>
      <c r="VRJ171" s="124"/>
      <c r="VRL171" s="111"/>
      <c r="VRN171" s="200"/>
      <c r="VRO171" s="201"/>
      <c r="VRP171" s="201"/>
      <c r="VRQ171" s="200"/>
      <c r="VRR171" s="202"/>
      <c r="VRS171" s="203"/>
      <c r="VRT171" s="124"/>
      <c r="VRV171" s="126"/>
      <c r="VRW171" s="124"/>
      <c r="VRY171" s="111"/>
      <c r="VSA171" s="200"/>
      <c r="VSB171" s="201"/>
      <c r="VSC171" s="201"/>
      <c r="VSD171" s="200"/>
      <c r="VSE171" s="202"/>
      <c r="VSF171" s="203"/>
      <c r="VSG171" s="124"/>
      <c r="VSI171" s="126"/>
      <c r="VSJ171" s="124"/>
      <c r="VSL171" s="111"/>
      <c r="VSN171" s="200"/>
      <c r="VSO171" s="201"/>
      <c r="VSP171" s="201"/>
      <c r="VSQ171" s="200"/>
      <c r="VSR171" s="202"/>
      <c r="VSS171" s="203"/>
      <c r="VST171" s="124"/>
      <c r="VSV171" s="126"/>
      <c r="VSW171" s="124"/>
      <c r="VSY171" s="111"/>
      <c r="VTA171" s="200"/>
      <c r="VTB171" s="201"/>
      <c r="VTC171" s="201"/>
      <c r="VTD171" s="200"/>
      <c r="VTE171" s="202"/>
      <c r="VTF171" s="203"/>
      <c r="VTG171" s="124"/>
      <c r="VTI171" s="126"/>
      <c r="VTJ171" s="124"/>
      <c r="VTL171" s="111"/>
      <c r="VTN171" s="200"/>
      <c r="VTO171" s="201"/>
      <c r="VTP171" s="201"/>
      <c r="VTQ171" s="200"/>
      <c r="VTR171" s="202"/>
      <c r="VTS171" s="203"/>
      <c r="VTT171" s="124"/>
      <c r="VTV171" s="126"/>
      <c r="VTW171" s="124"/>
      <c r="VTY171" s="111"/>
      <c r="VUA171" s="200"/>
      <c r="VUB171" s="201"/>
      <c r="VUC171" s="201"/>
      <c r="VUD171" s="200"/>
      <c r="VUE171" s="202"/>
      <c r="VUF171" s="203"/>
      <c r="VUG171" s="124"/>
      <c r="VUI171" s="126"/>
      <c r="VUJ171" s="124"/>
      <c r="VUL171" s="111"/>
      <c r="VUN171" s="200"/>
      <c r="VUO171" s="201"/>
      <c r="VUP171" s="201"/>
      <c r="VUQ171" s="200"/>
      <c r="VUR171" s="202"/>
      <c r="VUS171" s="203"/>
      <c r="VUT171" s="124"/>
      <c r="VUV171" s="126"/>
      <c r="VUW171" s="124"/>
      <c r="VUY171" s="111"/>
      <c r="VVA171" s="200"/>
      <c r="VVB171" s="201"/>
      <c r="VVC171" s="201"/>
      <c r="VVD171" s="200"/>
      <c r="VVE171" s="202"/>
      <c r="VVF171" s="203"/>
      <c r="VVG171" s="124"/>
      <c r="VVI171" s="126"/>
      <c r="VVJ171" s="124"/>
      <c r="VVL171" s="111"/>
      <c r="VVN171" s="200"/>
      <c r="VVO171" s="201"/>
      <c r="VVP171" s="201"/>
      <c r="VVQ171" s="200"/>
      <c r="VVR171" s="202"/>
      <c r="VVS171" s="203"/>
      <c r="VVT171" s="124"/>
      <c r="VVV171" s="126"/>
      <c r="VVW171" s="124"/>
      <c r="VVY171" s="111"/>
      <c r="VWA171" s="200"/>
      <c r="VWB171" s="201"/>
      <c r="VWC171" s="201"/>
      <c r="VWD171" s="200"/>
      <c r="VWE171" s="202"/>
      <c r="VWF171" s="203"/>
      <c r="VWG171" s="124"/>
      <c r="VWI171" s="126"/>
      <c r="VWJ171" s="124"/>
      <c r="VWL171" s="111"/>
      <c r="VWN171" s="200"/>
      <c r="VWO171" s="201"/>
      <c r="VWP171" s="201"/>
      <c r="VWQ171" s="200"/>
      <c r="VWR171" s="202"/>
      <c r="VWS171" s="203"/>
      <c r="VWT171" s="124"/>
      <c r="VWV171" s="126"/>
      <c r="VWW171" s="124"/>
      <c r="VWY171" s="111"/>
      <c r="VXA171" s="200"/>
      <c r="VXB171" s="201"/>
      <c r="VXC171" s="201"/>
      <c r="VXD171" s="200"/>
      <c r="VXE171" s="202"/>
      <c r="VXF171" s="203"/>
      <c r="VXG171" s="124"/>
      <c r="VXI171" s="126"/>
      <c r="VXJ171" s="124"/>
      <c r="VXL171" s="111"/>
      <c r="VXN171" s="200"/>
      <c r="VXO171" s="201"/>
      <c r="VXP171" s="201"/>
      <c r="VXQ171" s="200"/>
      <c r="VXR171" s="202"/>
      <c r="VXS171" s="203"/>
      <c r="VXT171" s="124"/>
      <c r="VXV171" s="126"/>
      <c r="VXW171" s="124"/>
      <c r="VXY171" s="111"/>
      <c r="VYA171" s="200"/>
      <c r="VYB171" s="201"/>
      <c r="VYC171" s="201"/>
      <c r="VYD171" s="200"/>
      <c r="VYE171" s="202"/>
      <c r="VYF171" s="203"/>
      <c r="VYG171" s="124"/>
      <c r="VYI171" s="126"/>
      <c r="VYJ171" s="124"/>
      <c r="VYL171" s="111"/>
      <c r="VYN171" s="200"/>
      <c r="VYO171" s="201"/>
      <c r="VYP171" s="201"/>
      <c r="VYQ171" s="200"/>
      <c r="VYR171" s="202"/>
      <c r="VYS171" s="203"/>
      <c r="VYT171" s="124"/>
      <c r="VYV171" s="126"/>
      <c r="VYW171" s="124"/>
      <c r="VYY171" s="111"/>
      <c r="VZA171" s="200"/>
      <c r="VZB171" s="201"/>
      <c r="VZC171" s="201"/>
      <c r="VZD171" s="200"/>
      <c r="VZE171" s="202"/>
      <c r="VZF171" s="203"/>
      <c r="VZG171" s="124"/>
      <c r="VZI171" s="126"/>
      <c r="VZJ171" s="124"/>
      <c r="VZL171" s="111"/>
      <c r="VZN171" s="200"/>
      <c r="VZO171" s="201"/>
      <c r="VZP171" s="201"/>
      <c r="VZQ171" s="200"/>
      <c r="VZR171" s="202"/>
      <c r="VZS171" s="203"/>
      <c r="VZT171" s="124"/>
      <c r="VZV171" s="126"/>
      <c r="VZW171" s="124"/>
      <c r="VZY171" s="111"/>
      <c r="WAA171" s="200"/>
      <c r="WAB171" s="201"/>
      <c r="WAC171" s="201"/>
      <c r="WAD171" s="200"/>
      <c r="WAE171" s="202"/>
      <c r="WAF171" s="203"/>
      <c r="WAG171" s="124"/>
      <c r="WAI171" s="126"/>
      <c r="WAJ171" s="124"/>
      <c r="WAL171" s="111"/>
      <c r="WAN171" s="200"/>
      <c r="WAO171" s="201"/>
      <c r="WAP171" s="201"/>
      <c r="WAQ171" s="200"/>
      <c r="WAR171" s="202"/>
      <c r="WAS171" s="203"/>
      <c r="WAT171" s="124"/>
      <c r="WAV171" s="126"/>
      <c r="WAW171" s="124"/>
      <c r="WAY171" s="111"/>
      <c r="WBA171" s="200"/>
      <c r="WBB171" s="201"/>
      <c r="WBC171" s="201"/>
      <c r="WBD171" s="200"/>
      <c r="WBE171" s="202"/>
      <c r="WBF171" s="203"/>
      <c r="WBG171" s="124"/>
      <c r="WBI171" s="126"/>
      <c r="WBJ171" s="124"/>
      <c r="WBL171" s="111"/>
      <c r="WBN171" s="200"/>
      <c r="WBO171" s="201"/>
      <c r="WBP171" s="201"/>
      <c r="WBQ171" s="200"/>
      <c r="WBR171" s="202"/>
      <c r="WBS171" s="203"/>
      <c r="WBT171" s="124"/>
      <c r="WBV171" s="126"/>
      <c r="WBW171" s="124"/>
      <c r="WBY171" s="111"/>
      <c r="WCA171" s="200"/>
      <c r="WCB171" s="201"/>
      <c r="WCC171" s="201"/>
      <c r="WCD171" s="200"/>
      <c r="WCE171" s="202"/>
      <c r="WCF171" s="203"/>
      <c r="WCG171" s="124"/>
      <c r="WCI171" s="126"/>
      <c r="WCJ171" s="124"/>
      <c r="WCL171" s="111"/>
      <c r="WCN171" s="200"/>
      <c r="WCO171" s="201"/>
      <c r="WCP171" s="201"/>
      <c r="WCQ171" s="200"/>
      <c r="WCR171" s="202"/>
      <c r="WCS171" s="203"/>
      <c r="WCT171" s="124"/>
      <c r="WCV171" s="126"/>
      <c r="WCW171" s="124"/>
      <c r="WCY171" s="111"/>
      <c r="WDA171" s="200"/>
      <c r="WDB171" s="201"/>
      <c r="WDC171" s="201"/>
      <c r="WDD171" s="200"/>
      <c r="WDE171" s="202"/>
      <c r="WDF171" s="203"/>
      <c r="WDG171" s="124"/>
      <c r="WDI171" s="126"/>
      <c r="WDJ171" s="124"/>
      <c r="WDL171" s="111"/>
      <c r="WDN171" s="200"/>
      <c r="WDO171" s="201"/>
      <c r="WDP171" s="201"/>
      <c r="WDQ171" s="200"/>
      <c r="WDR171" s="202"/>
      <c r="WDS171" s="203"/>
      <c r="WDT171" s="124"/>
      <c r="WDV171" s="126"/>
      <c r="WDW171" s="124"/>
      <c r="WDY171" s="111"/>
      <c r="WEA171" s="200"/>
      <c r="WEB171" s="201"/>
      <c r="WEC171" s="201"/>
      <c r="WED171" s="200"/>
      <c r="WEE171" s="202"/>
      <c r="WEF171" s="203"/>
      <c r="WEG171" s="124"/>
      <c r="WEI171" s="126"/>
      <c r="WEJ171" s="124"/>
      <c r="WEL171" s="111"/>
      <c r="WEN171" s="200"/>
      <c r="WEO171" s="201"/>
      <c r="WEP171" s="201"/>
      <c r="WEQ171" s="200"/>
      <c r="WER171" s="202"/>
      <c r="WES171" s="203"/>
      <c r="WET171" s="124"/>
      <c r="WEV171" s="126"/>
      <c r="WEW171" s="124"/>
      <c r="WEY171" s="111"/>
      <c r="WFA171" s="200"/>
      <c r="WFB171" s="201"/>
      <c r="WFC171" s="201"/>
      <c r="WFD171" s="200"/>
      <c r="WFE171" s="202"/>
      <c r="WFF171" s="203"/>
      <c r="WFG171" s="124"/>
      <c r="WFI171" s="126"/>
      <c r="WFJ171" s="124"/>
      <c r="WFL171" s="111"/>
      <c r="WFN171" s="200"/>
      <c r="WFO171" s="201"/>
      <c r="WFP171" s="201"/>
      <c r="WFQ171" s="200"/>
      <c r="WFR171" s="202"/>
      <c r="WFS171" s="203"/>
      <c r="WFT171" s="124"/>
      <c r="WFV171" s="126"/>
      <c r="WFW171" s="124"/>
      <c r="WFY171" s="111"/>
      <c r="WGA171" s="200"/>
      <c r="WGB171" s="201"/>
      <c r="WGC171" s="201"/>
      <c r="WGD171" s="200"/>
      <c r="WGE171" s="202"/>
      <c r="WGF171" s="203"/>
      <c r="WGG171" s="124"/>
      <c r="WGI171" s="126"/>
      <c r="WGJ171" s="124"/>
      <c r="WGL171" s="111"/>
      <c r="WGN171" s="200"/>
      <c r="WGO171" s="201"/>
      <c r="WGP171" s="201"/>
      <c r="WGQ171" s="200"/>
      <c r="WGR171" s="202"/>
      <c r="WGS171" s="203"/>
      <c r="WGT171" s="124"/>
      <c r="WGV171" s="126"/>
      <c r="WGW171" s="124"/>
      <c r="WGY171" s="111"/>
      <c r="WHA171" s="200"/>
      <c r="WHB171" s="201"/>
      <c r="WHC171" s="201"/>
      <c r="WHD171" s="200"/>
      <c r="WHE171" s="202"/>
      <c r="WHF171" s="203"/>
      <c r="WHG171" s="124"/>
      <c r="WHI171" s="126"/>
      <c r="WHJ171" s="124"/>
      <c r="WHL171" s="111"/>
      <c r="WHN171" s="200"/>
      <c r="WHO171" s="201"/>
      <c r="WHP171" s="201"/>
      <c r="WHQ171" s="200"/>
      <c r="WHR171" s="202"/>
      <c r="WHS171" s="203"/>
      <c r="WHT171" s="124"/>
      <c r="WHV171" s="126"/>
      <c r="WHW171" s="124"/>
      <c r="WHY171" s="111"/>
      <c r="WIA171" s="200"/>
      <c r="WIB171" s="201"/>
      <c r="WIC171" s="201"/>
      <c r="WID171" s="200"/>
      <c r="WIE171" s="202"/>
      <c r="WIF171" s="203"/>
      <c r="WIG171" s="124"/>
      <c r="WII171" s="126"/>
      <c r="WIJ171" s="124"/>
      <c r="WIL171" s="111"/>
      <c r="WIN171" s="200"/>
      <c r="WIO171" s="201"/>
      <c r="WIP171" s="201"/>
      <c r="WIQ171" s="200"/>
      <c r="WIR171" s="202"/>
      <c r="WIS171" s="203"/>
      <c r="WIT171" s="124"/>
      <c r="WIV171" s="126"/>
      <c r="WIW171" s="124"/>
      <c r="WIY171" s="111"/>
      <c r="WJA171" s="200"/>
      <c r="WJB171" s="201"/>
      <c r="WJC171" s="201"/>
      <c r="WJD171" s="200"/>
      <c r="WJE171" s="202"/>
      <c r="WJF171" s="203"/>
      <c r="WJG171" s="124"/>
      <c r="WJI171" s="126"/>
      <c r="WJJ171" s="124"/>
      <c r="WJL171" s="111"/>
      <c r="WJN171" s="200"/>
      <c r="WJO171" s="201"/>
      <c r="WJP171" s="201"/>
      <c r="WJQ171" s="200"/>
      <c r="WJR171" s="202"/>
      <c r="WJS171" s="203"/>
      <c r="WJT171" s="124"/>
      <c r="WJV171" s="126"/>
      <c r="WJW171" s="124"/>
      <c r="WJY171" s="111"/>
      <c r="WKA171" s="200"/>
      <c r="WKB171" s="201"/>
      <c r="WKC171" s="201"/>
      <c r="WKD171" s="200"/>
      <c r="WKE171" s="202"/>
      <c r="WKF171" s="203"/>
      <c r="WKG171" s="124"/>
      <c r="WKI171" s="126"/>
      <c r="WKJ171" s="124"/>
      <c r="WKL171" s="111"/>
      <c r="WKN171" s="200"/>
      <c r="WKO171" s="201"/>
      <c r="WKP171" s="201"/>
      <c r="WKQ171" s="200"/>
      <c r="WKR171" s="202"/>
      <c r="WKS171" s="203"/>
      <c r="WKT171" s="124"/>
      <c r="WKV171" s="126"/>
      <c r="WKW171" s="124"/>
      <c r="WKY171" s="111"/>
      <c r="WLA171" s="200"/>
      <c r="WLB171" s="201"/>
      <c r="WLC171" s="201"/>
      <c r="WLD171" s="200"/>
      <c r="WLE171" s="202"/>
      <c r="WLF171" s="203"/>
      <c r="WLG171" s="124"/>
      <c r="WLI171" s="126"/>
      <c r="WLJ171" s="124"/>
      <c r="WLL171" s="111"/>
      <c r="WLN171" s="200"/>
      <c r="WLO171" s="201"/>
      <c r="WLP171" s="201"/>
      <c r="WLQ171" s="200"/>
      <c r="WLR171" s="202"/>
      <c r="WLS171" s="203"/>
      <c r="WLT171" s="124"/>
      <c r="WLV171" s="126"/>
      <c r="WLW171" s="124"/>
      <c r="WLY171" s="111"/>
      <c r="WMA171" s="200"/>
      <c r="WMB171" s="201"/>
      <c r="WMC171" s="201"/>
      <c r="WMD171" s="200"/>
      <c r="WME171" s="202"/>
      <c r="WMF171" s="203"/>
      <c r="WMG171" s="124"/>
      <c r="WMI171" s="126"/>
      <c r="WMJ171" s="124"/>
      <c r="WML171" s="111"/>
      <c r="WMN171" s="200"/>
      <c r="WMO171" s="201"/>
      <c r="WMP171" s="201"/>
      <c r="WMQ171" s="200"/>
      <c r="WMR171" s="202"/>
      <c r="WMS171" s="203"/>
      <c r="WMT171" s="124"/>
      <c r="WMV171" s="126"/>
      <c r="WMW171" s="124"/>
      <c r="WMY171" s="111"/>
      <c r="WNA171" s="200"/>
      <c r="WNB171" s="201"/>
      <c r="WNC171" s="201"/>
      <c r="WND171" s="200"/>
      <c r="WNE171" s="202"/>
      <c r="WNF171" s="203"/>
      <c r="WNG171" s="124"/>
      <c r="WNI171" s="126"/>
      <c r="WNJ171" s="124"/>
      <c r="WNL171" s="111"/>
      <c r="WNN171" s="200"/>
      <c r="WNO171" s="201"/>
      <c r="WNP171" s="201"/>
      <c r="WNQ171" s="200"/>
      <c r="WNR171" s="202"/>
      <c r="WNS171" s="203"/>
      <c r="WNT171" s="124"/>
      <c r="WNV171" s="126"/>
      <c r="WNW171" s="124"/>
      <c r="WNY171" s="111"/>
      <c r="WOA171" s="200"/>
      <c r="WOB171" s="201"/>
      <c r="WOC171" s="201"/>
      <c r="WOD171" s="200"/>
      <c r="WOE171" s="202"/>
      <c r="WOF171" s="203"/>
      <c r="WOG171" s="124"/>
      <c r="WOI171" s="126"/>
      <c r="WOJ171" s="124"/>
      <c r="WOL171" s="111"/>
      <c r="WON171" s="200"/>
      <c r="WOO171" s="201"/>
      <c r="WOP171" s="201"/>
      <c r="WOQ171" s="200"/>
      <c r="WOR171" s="202"/>
      <c r="WOS171" s="203"/>
      <c r="WOT171" s="124"/>
      <c r="WOV171" s="126"/>
      <c r="WOW171" s="124"/>
      <c r="WOY171" s="111"/>
      <c r="WPA171" s="200"/>
      <c r="WPB171" s="201"/>
      <c r="WPC171" s="201"/>
      <c r="WPD171" s="200"/>
      <c r="WPE171" s="202"/>
      <c r="WPF171" s="203"/>
      <c r="WPG171" s="124"/>
      <c r="WPI171" s="126"/>
      <c r="WPJ171" s="124"/>
      <c r="WPL171" s="111"/>
      <c r="WPN171" s="200"/>
      <c r="WPO171" s="201"/>
      <c r="WPP171" s="201"/>
      <c r="WPQ171" s="200"/>
      <c r="WPR171" s="202"/>
      <c r="WPS171" s="203"/>
      <c r="WPT171" s="124"/>
      <c r="WPV171" s="126"/>
      <c r="WPW171" s="124"/>
      <c r="WPY171" s="111"/>
      <c r="WQA171" s="200"/>
      <c r="WQB171" s="201"/>
      <c r="WQC171" s="201"/>
      <c r="WQD171" s="200"/>
      <c r="WQE171" s="202"/>
      <c r="WQF171" s="203"/>
      <c r="WQG171" s="124"/>
      <c r="WQI171" s="126"/>
      <c r="WQJ171" s="124"/>
      <c r="WQL171" s="111"/>
      <c r="WQN171" s="200"/>
      <c r="WQO171" s="201"/>
      <c r="WQP171" s="201"/>
      <c r="WQQ171" s="200"/>
      <c r="WQR171" s="202"/>
      <c r="WQS171" s="203"/>
      <c r="WQT171" s="124"/>
      <c r="WQV171" s="126"/>
      <c r="WQW171" s="124"/>
      <c r="WQY171" s="111"/>
      <c r="WRA171" s="200"/>
      <c r="WRB171" s="201"/>
      <c r="WRC171" s="201"/>
      <c r="WRD171" s="200"/>
      <c r="WRE171" s="202"/>
      <c r="WRF171" s="203"/>
      <c r="WRG171" s="124"/>
      <c r="WRI171" s="126"/>
      <c r="WRJ171" s="124"/>
      <c r="WRL171" s="111"/>
      <c r="WRN171" s="200"/>
      <c r="WRO171" s="201"/>
      <c r="WRP171" s="201"/>
      <c r="WRQ171" s="200"/>
      <c r="WRR171" s="202"/>
      <c r="WRS171" s="203"/>
      <c r="WRT171" s="124"/>
      <c r="WRV171" s="126"/>
      <c r="WRW171" s="124"/>
      <c r="WRY171" s="111"/>
      <c r="WSA171" s="200"/>
      <c r="WSB171" s="201"/>
      <c r="WSC171" s="201"/>
      <c r="WSD171" s="200"/>
      <c r="WSE171" s="202"/>
      <c r="WSF171" s="203"/>
      <c r="WSG171" s="124"/>
      <c r="WSI171" s="126"/>
      <c r="WSJ171" s="124"/>
      <c r="WSL171" s="111"/>
      <c r="WSN171" s="200"/>
      <c r="WSO171" s="201"/>
      <c r="WSP171" s="201"/>
      <c r="WSQ171" s="200"/>
      <c r="WSR171" s="202"/>
      <c r="WSS171" s="203"/>
      <c r="WST171" s="124"/>
      <c r="WSV171" s="126"/>
      <c r="WSW171" s="124"/>
      <c r="WSY171" s="111"/>
      <c r="WTA171" s="200"/>
      <c r="WTB171" s="201"/>
      <c r="WTC171" s="201"/>
      <c r="WTD171" s="200"/>
      <c r="WTE171" s="202"/>
      <c r="WTF171" s="203"/>
      <c r="WTG171" s="124"/>
      <c r="WTI171" s="126"/>
      <c r="WTJ171" s="124"/>
      <c r="WTL171" s="111"/>
      <c r="WTN171" s="200"/>
      <c r="WTO171" s="201"/>
      <c r="WTP171" s="201"/>
      <c r="WTQ171" s="200"/>
      <c r="WTR171" s="202"/>
      <c r="WTS171" s="203"/>
      <c r="WTT171" s="124"/>
      <c r="WTV171" s="126"/>
      <c r="WTW171" s="124"/>
      <c r="WTY171" s="111"/>
      <c r="WUA171" s="200"/>
      <c r="WUB171" s="201"/>
      <c r="WUC171" s="201"/>
      <c r="WUD171" s="200"/>
      <c r="WUE171" s="202"/>
      <c r="WUF171" s="203"/>
      <c r="WUG171" s="124"/>
      <c r="WUI171" s="126"/>
      <c r="WUJ171" s="124"/>
      <c r="WUL171" s="111"/>
      <c r="WUN171" s="200"/>
      <c r="WUO171" s="201"/>
      <c r="WUP171" s="201"/>
      <c r="WUQ171" s="200"/>
      <c r="WUR171" s="202"/>
      <c r="WUS171" s="203"/>
      <c r="WUT171" s="124"/>
      <c r="WUV171" s="126"/>
      <c r="WUW171" s="124"/>
      <c r="WUY171" s="111"/>
      <c r="WVA171" s="200"/>
      <c r="WVB171" s="201"/>
      <c r="WVC171" s="201"/>
      <c r="WVD171" s="200"/>
      <c r="WVE171" s="202"/>
      <c r="WVF171" s="203"/>
      <c r="WVG171" s="124"/>
      <c r="WVI171" s="126"/>
      <c r="WVJ171" s="124"/>
      <c r="WVL171" s="111"/>
      <c r="WVN171" s="200"/>
      <c r="WVO171" s="201"/>
      <c r="WVP171" s="201"/>
      <c r="WVQ171" s="200"/>
      <c r="WVR171" s="202"/>
      <c r="WVS171" s="203"/>
      <c r="WVT171" s="124"/>
      <c r="WVV171" s="126"/>
      <c r="WVW171" s="124"/>
      <c r="WVY171" s="111"/>
      <c r="WWA171" s="200"/>
      <c r="WWB171" s="201"/>
      <c r="WWC171" s="201"/>
      <c r="WWD171" s="200"/>
      <c r="WWE171" s="202"/>
      <c r="WWF171" s="203"/>
      <c r="WWG171" s="124"/>
      <c r="WWI171" s="126"/>
      <c r="WWJ171" s="124"/>
      <c r="WWL171" s="111"/>
      <c r="WWN171" s="200"/>
      <c r="WWO171" s="201"/>
      <c r="WWP171" s="201"/>
      <c r="WWQ171" s="200"/>
      <c r="WWR171" s="202"/>
      <c r="WWS171" s="203"/>
      <c r="WWT171" s="124"/>
      <c r="WWV171" s="126"/>
      <c r="WWW171" s="124"/>
      <c r="WWY171" s="111"/>
      <c r="WXA171" s="200"/>
      <c r="WXB171" s="201"/>
      <c r="WXC171" s="201"/>
      <c r="WXD171" s="200"/>
      <c r="WXE171" s="202"/>
      <c r="WXF171" s="203"/>
      <c r="WXG171" s="124"/>
      <c r="WXI171" s="126"/>
      <c r="WXJ171" s="124"/>
      <c r="WXL171" s="111"/>
      <c r="WXN171" s="200"/>
      <c r="WXO171" s="201"/>
      <c r="WXP171" s="201"/>
      <c r="WXQ171" s="200"/>
      <c r="WXR171" s="202"/>
      <c r="WXS171" s="203"/>
      <c r="WXT171" s="124"/>
      <c r="WXV171" s="126"/>
      <c r="WXW171" s="124"/>
      <c r="WXY171" s="111"/>
      <c r="WYA171" s="200"/>
      <c r="WYB171" s="201"/>
      <c r="WYC171" s="201"/>
      <c r="WYD171" s="200"/>
      <c r="WYE171" s="202"/>
      <c r="WYF171" s="203"/>
      <c r="WYG171" s="124"/>
      <c r="WYI171" s="126"/>
      <c r="WYJ171" s="124"/>
      <c r="WYL171" s="111"/>
      <c r="WYN171" s="200"/>
      <c r="WYO171" s="201"/>
      <c r="WYP171" s="201"/>
      <c r="WYQ171" s="200"/>
      <c r="WYR171" s="202"/>
      <c r="WYS171" s="203"/>
      <c r="WYT171" s="124"/>
      <c r="WYV171" s="126"/>
      <c r="WYW171" s="124"/>
      <c r="WYY171" s="111"/>
      <c r="WZA171" s="200"/>
      <c r="WZB171" s="201"/>
      <c r="WZC171" s="201"/>
      <c r="WZD171" s="200"/>
      <c r="WZE171" s="202"/>
      <c r="WZF171" s="203"/>
      <c r="WZG171" s="124"/>
      <c r="WZI171" s="126"/>
      <c r="WZJ171" s="124"/>
      <c r="WZL171" s="111"/>
      <c r="WZN171" s="200"/>
      <c r="WZO171" s="201"/>
      <c r="WZP171" s="201"/>
      <c r="WZQ171" s="200"/>
      <c r="WZR171" s="202"/>
      <c r="WZS171" s="203"/>
      <c r="WZT171" s="124"/>
      <c r="WZV171" s="126"/>
      <c r="WZW171" s="124"/>
      <c r="WZY171" s="111"/>
      <c r="XAA171" s="200"/>
      <c r="XAB171" s="201"/>
      <c r="XAC171" s="201"/>
      <c r="XAD171" s="200"/>
      <c r="XAE171" s="202"/>
      <c r="XAF171" s="203"/>
      <c r="XAG171" s="124"/>
      <c r="XAI171" s="126"/>
      <c r="XAJ171" s="124"/>
      <c r="XAL171" s="111"/>
      <c r="XAN171" s="200"/>
      <c r="XAO171" s="201"/>
      <c r="XAP171" s="201"/>
      <c r="XAQ171" s="200"/>
      <c r="XAR171" s="202"/>
      <c r="XAS171" s="203"/>
      <c r="XAT171" s="124"/>
      <c r="XAV171" s="126"/>
      <c r="XAW171" s="124"/>
      <c r="XAY171" s="111"/>
      <c r="XBA171" s="200"/>
      <c r="XBB171" s="201"/>
      <c r="XBC171" s="201"/>
      <c r="XBD171" s="200"/>
      <c r="XBE171" s="202"/>
      <c r="XBF171" s="203"/>
      <c r="XBG171" s="124"/>
      <c r="XBI171" s="126"/>
      <c r="XBJ171" s="124"/>
      <c r="XBL171" s="111"/>
      <c r="XBN171" s="200"/>
      <c r="XBO171" s="201"/>
      <c r="XBP171" s="201"/>
      <c r="XBQ171" s="200"/>
      <c r="XBR171" s="202"/>
      <c r="XBS171" s="203"/>
      <c r="XBT171" s="124"/>
      <c r="XBV171" s="126"/>
      <c r="XBW171" s="124"/>
      <c r="XBY171" s="111"/>
      <c r="XCA171" s="200"/>
      <c r="XCB171" s="201"/>
      <c r="XCC171" s="201"/>
      <c r="XCD171" s="200"/>
      <c r="XCE171" s="202"/>
      <c r="XCF171" s="203"/>
      <c r="XCG171" s="124"/>
      <c r="XCI171" s="126"/>
      <c r="XCJ171" s="124"/>
      <c r="XCL171" s="111"/>
      <c r="XCN171" s="200"/>
      <c r="XCO171" s="201"/>
      <c r="XCP171" s="201"/>
      <c r="XCQ171" s="200"/>
      <c r="XCR171" s="202"/>
      <c r="XCS171" s="203"/>
      <c r="XCT171" s="124"/>
      <c r="XCV171" s="126"/>
      <c r="XCW171" s="124"/>
      <c r="XCY171" s="111"/>
      <c r="XDA171" s="200"/>
      <c r="XDB171" s="201"/>
      <c r="XDC171" s="201"/>
      <c r="XDD171" s="200"/>
      <c r="XDE171" s="202"/>
      <c r="XDF171" s="203"/>
      <c r="XDG171" s="124"/>
      <c r="XDI171" s="126"/>
      <c r="XDJ171" s="124"/>
      <c r="XDL171" s="111"/>
      <c r="XDN171" s="200"/>
      <c r="XDO171" s="201"/>
      <c r="XDP171" s="201"/>
      <c r="XDQ171" s="200"/>
      <c r="XDR171" s="202"/>
      <c r="XDS171" s="203"/>
      <c r="XDT171" s="124"/>
      <c r="XDV171" s="126"/>
      <c r="XDW171" s="124"/>
      <c r="XDY171" s="111"/>
      <c r="XEA171" s="200"/>
      <c r="XEB171" s="201"/>
      <c r="XEC171" s="201"/>
      <c r="XED171" s="200"/>
      <c r="XEE171" s="202"/>
      <c r="XEF171" s="203"/>
      <c r="XEG171" s="124"/>
      <c r="XEI171" s="126"/>
      <c r="XEJ171" s="124"/>
      <c r="XEL171" s="111"/>
      <c r="XEN171" s="200"/>
      <c r="XEO171" s="201"/>
      <c r="XEP171" s="201"/>
      <c r="XEQ171" s="200"/>
      <c r="XER171" s="202"/>
      <c r="XES171" s="203"/>
      <c r="XET171" s="124"/>
      <c r="XEV171" s="126"/>
      <c r="XEW171" s="124"/>
      <c r="XEY171" s="111"/>
      <c r="XFA171" s="200"/>
      <c r="XFB171" s="201"/>
      <c r="XFC171" s="201"/>
      <c r="XFD171" s="200"/>
    </row>
    <row r="172" spans="1:1024 1026:2048 2050:5119 5121:6143 6145:9216 9218:13311 13313:14336 14338:15360 15362:16384" ht="25.5" customHeight="1" x14ac:dyDescent="0.25">
      <c r="A172" s="200"/>
      <c r="B172" s="201"/>
      <c r="C172" s="201"/>
      <c r="D172" s="200"/>
      <c r="E172" s="202"/>
      <c r="F172" s="203"/>
      <c r="G172" s="124"/>
      <c r="J172" s="124"/>
    </row>
    <row r="173" spans="1:1024 1026:2048 2050:5119 5121:6143 6145:9216 9218:13311 13313:14336 14338:15360 15362:16384" x14ac:dyDescent="0.25">
      <c r="A173" s="200"/>
      <c r="B173" s="201"/>
      <c r="C173" s="201"/>
      <c r="D173" s="200"/>
      <c r="E173" s="202"/>
      <c r="F173" s="203"/>
      <c r="G173" s="124"/>
      <c r="J173" s="124"/>
    </row>
    <row r="174" spans="1:1024 1026:2048 2050:5119 5121:6143 6145:9216 9218:13311 13313:14336 14338:15360 15362:16384" ht="25.5" customHeight="1" x14ac:dyDescent="0.25">
      <c r="A174" s="200"/>
      <c r="B174" s="201"/>
      <c r="C174" s="201"/>
      <c r="D174" s="200"/>
      <c r="E174" s="202"/>
      <c r="F174" s="203"/>
      <c r="G174" s="124"/>
      <c r="J174" s="124"/>
    </row>
    <row r="175" spans="1:1024 1026:2048 2050:5119 5121:6143 6145:9216 9218:13311 13313:14336 14338:15360 15362:16384" x14ac:dyDescent="0.25">
      <c r="A175" s="200"/>
      <c r="B175" s="201"/>
      <c r="C175" s="201"/>
      <c r="D175" s="200"/>
      <c r="E175" s="202"/>
      <c r="F175" s="203"/>
      <c r="G175" s="124"/>
      <c r="J175" s="124"/>
    </row>
    <row r="176" spans="1:1024 1026:2048 2050:5119 5121:6143 6145:9216 9218:13311 13313:14336 14338:15360 15362:16384" ht="25.5" customHeight="1" x14ac:dyDescent="0.25">
      <c r="A176" s="200"/>
      <c r="B176" s="201"/>
      <c r="C176" s="201"/>
      <c r="D176" s="200"/>
      <c r="E176" s="202"/>
      <c r="F176" s="203"/>
      <c r="G176" s="124"/>
      <c r="J176" s="124"/>
    </row>
    <row r="177" spans="1:10" x14ac:dyDescent="0.25">
      <c r="A177" s="200"/>
      <c r="B177" s="201"/>
      <c r="C177" s="201"/>
      <c r="D177" s="200"/>
      <c r="E177" s="202"/>
      <c r="F177" s="203"/>
      <c r="G177" s="124"/>
      <c r="J177" s="124"/>
    </row>
    <row r="178" spans="1:10" ht="25.5" customHeight="1" x14ac:dyDescent="0.25">
      <c r="A178" s="200"/>
      <c r="B178" s="201"/>
      <c r="C178" s="201"/>
      <c r="D178" s="200"/>
      <c r="E178" s="202"/>
      <c r="F178" s="203"/>
      <c r="G178" s="124"/>
      <c r="J178" s="124"/>
    </row>
    <row r="179" spans="1:10" x14ac:dyDescent="0.25">
      <c r="A179" s="200"/>
      <c r="B179" s="201"/>
      <c r="C179" s="201"/>
      <c r="D179" s="200"/>
      <c r="E179" s="202"/>
      <c r="F179" s="203"/>
      <c r="G179" s="124"/>
      <c r="J179" s="124"/>
    </row>
    <row r="180" spans="1:10" ht="25.5" customHeight="1" x14ac:dyDescent="0.25">
      <c r="A180" s="200"/>
      <c r="B180" s="201"/>
      <c r="C180" s="201"/>
      <c r="D180" s="200"/>
      <c r="E180" s="202"/>
      <c r="F180" s="203"/>
      <c r="G180" s="124"/>
      <c r="J180" s="124"/>
    </row>
    <row r="181" spans="1:10" x14ac:dyDescent="0.25">
      <c r="A181" s="200"/>
      <c r="B181" s="201"/>
      <c r="C181" s="201"/>
      <c r="D181" s="200"/>
      <c r="E181" s="202"/>
      <c r="F181" s="203"/>
      <c r="G181" s="124"/>
      <c r="J181" s="124"/>
    </row>
    <row r="182" spans="1:10" ht="25.5" customHeight="1" x14ac:dyDescent="0.25">
      <c r="A182" s="200"/>
      <c r="B182" s="201"/>
      <c r="C182" s="201"/>
      <c r="D182" s="200"/>
      <c r="E182" s="202"/>
      <c r="F182" s="203"/>
      <c r="G182" s="124"/>
      <c r="J182" s="124"/>
    </row>
    <row r="183" spans="1:10" x14ac:dyDescent="0.25">
      <c r="A183" s="200"/>
      <c r="B183" s="201"/>
      <c r="C183" s="201"/>
      <c r="D183" s="200"/>
      <c r="E183" s="202"/>
      <c r="F183" s="203"/>
      <c r="G183" s="124"/>
      <c r="J183" s="124"/>
    </row>
    <row r="184" spans="1:10" ht="25.5" customHeight="1" x14ac:dyDescent="0.25">
      <c r="A184" s="200"/>
      <c r="B184" s="201"/>
      <c r="C184" s="201"/>
      <c r="D184" s="200"/>
      <c r="E184" s="202"/>
      <c r="F184" s="203"/>
      <c r="G184" s="124"/>
      <c r="J184" s="124"/>
    </row>
    <row r="185" spans="1:10" x14ac:dyDescent="0.25">
      <c r="A185" s="200"/>
      <c r="B185" s="201"/>
      <c r="C185" s="201"/>
      <c r="D185" s="200"/>
      <c r="E185" s="202"/>
      <c r="F185" s="203"/>
      <c r="G185" s="124"/>
      <c r="J185" s="124"/>
    </row>
    <row r="186" spans="1:10" ht="25.5" customHeight="1" x14ac:dyDescent="0.25">
      <c r="A186" s="200"/>
      <c r="B186" s="201"/>
      <c r="C186" s="201"/>
      <c r="D186" s="200"/>
      <c r="E186" s="202"/>
      <c r="F186" s="203"/>
      <c r="G186" s="124"/>
      <c r="J186" s="124"/>
    </row>
    <row r="187" spans="1:10" x14ac:dyDescent="0.25">
      <c r="A187" s="200"/>
      <c r="B187" s="201"/>
      <c r="C187" s="201"/>
      <c r="D187" s="200"/>
      <c r="E187" s="202"/>
      <c r="F187" s="203"/>
      <c r="G187" s="124"/>
      <c r="J187" s="124"/>
    </row>
    <row r="188" spans="1:10" ht="25.5" customHeight="1" x14ac:dyDescent="0.25">
      <c r="A188" s="200"/>
      <c r="B188" s="201"/>
      <c r="C188" s="201"/>
      <c r="D188" s="200"/>
      <c r="E188" s="202"/>
      <c r="F188" s="203"/>
      <c r="G188" s="124"/>
      <c r="J188" s="124"/>
    </row>
    <row r="189" spans="1:10" x14ac:dyDescent="0.25">
      <c r="A189" s="200"/>
      <c r="B189" s="201"/>
      <c r="C189" s="201"/>
      <c r="D189" s="200"/>
      <c r="E189" s="202"/>
      <c r="F189" s="203"/>
      <c r="G189" s="124"/>
      <c r="J189" s="124"/>
    </row>
    <row r="190" spans="1:10" ht="25.5" customHeight="1" x14ac:dyDescent="0.25">
      <c r="A190" s="200"/>
      <c r="B190" s="201"/>
      <c r="C190" s="201"/>
      <c r="D190" s="200"/>
      <c r="E190" s="202"/>
      <c r="F190" s="203"/>
      <c r="G190" s="124"/>
      <c r="J190" s="124"/>
    </row>
    <row r="191" spans="1:10" x14ac:dyDescent="0.25">
      <c r="A191" s="200"/>
      <c r="B191" s="201"/>
      <c r="C191" s="201"/>
      <c r="D191" s="200"/>
      <c r="E191" s="202"/>
      <c r="F191" s="203"/>
      <c r="G191" s="124"/>
      <c r="J191" s="124"/>
    </row>
    <row r="192" spans="1:10" ht="25.5" customHeight="1" x14ac:dyDescent="0.25">
      <c r="A192" s="200"/>
      <c r="B192" s="201"/>
      <c r="C192" s="201"/>
      <c r="D192" s="200"/>
      <c r="E192" s="202"/>
      <c r="F192" s="203"/>
      <c r="G192" s="124"/>
      <c r="J192" s="124"/>
    </row>
    <row r="193" spans="1:10" x14ac:dyDescent="0.25">
      <c r="A193" s="200"/>
      <c r="B193" s="201"/>
      <c r="C193" s="201"/>
      <c r="D193" s="200"/>
      <c r="E193" s="202"/>
      <c r="F193" s="203"/>
      <c r="G193" s="124"/>
      <c r="J193" s="124"/>
    </row>
    <row r="194" spans="1:10" ht="25.5" customHeight="1" x14ac:dyDescent="0.25">
      <c r="A194" s="200"/>
      <c r="B194" s="201"/>
      <c r="C194" s="201"/>
      <c r="D194" s="200"/>
      <c r="E194" s="202"/>
      <c r="F194" s="203"/>
      <c r="G194" s="124"/>
      <c r="J194" s="124"/>
    </row>
    <row r="195" spans="1:10" x14ac:dyDescent="0.25">
      <c r="A195" s="200"/>
      <c r="B195" s="201"/>
      <c r="C195" s="201"/>
      <c r="D195" s="200"/>
      <c r="E195" s="202"/>
      <c r="F195" s="203"/>
      <c r="G195" s="124"/>
      <c r="J195" s="124"/>
    </row>
    <row r="196" spans="1:10" ht="25.5" customHeight="1" x14ac:dyDescent="0.25">
      <c r="A196" s="200"/>
      <c r="B196" s="201"/>
      <c r="C196" s="201"/>
      <c r="D196" s="200"/>
      <c r="E196" s="202"/>
      <c r="F196" s="203"/>
      <c r="G196" s="124"/>
      <c r="J196" s="124"/>
    </row>
    <row r="197" spans="1:10" x14ac:dyDescent="0.25">
      <c r="A197" s="200"/>
      <c r="B197" s="201"/>
      <c r="C197" s="201"/>
      <c r="D197" s="200"/>
      <c r="E197" s="202"/>
      <c r="F197" s="203"/>
      <c r="G197" s="124"/>
      <c r="J197" s="124"/>
    </row>
    <row r="198" spans="1:10" ht="25.5" customHeight="1" x14ac:dyDescent="0.25">
      <c r="A198" s="200"/>
      <c r="B198" s="201"/>
      <c r="C198" s="201"/>
      <c r="D198" s="200"/>
      <c r="E198" s="202"/>
      <c r="F198" s="203"/>
      <c r="G198" s="124"/>
      <c r="J198" s="124"/>
    </row>
    <row r="199" spans="1:10" x14ac:dyDescent="0.25">
      <c r="A199" s="200"/>
      <c r="B199" s="201"/>
      <c r="C199" s="201"/>
      <c r="D199" s="200"/>
      <c r="E199" s="202"/>
      <c r="F199" s="203"/>
      <c r="G199" s="124"/>
      <c r="J199" s="124"/>
    </row>
    <row r="200" spans="1:10" ht="25.5" customHeight="1" x14ac:dyDescent="0.25">
      <c r="A200" s="200"/>
      <c r="B200" s="201"/>
      <c r="C200" s="201"/>
      <c r="D200" s="200"/>
      <c r="E200" s="202"/>
      <c r="F200" s="203"/>
      <c r="G200" s="124"/>
      <c r="J200" s="124"/>
    </row>
    <row r="201" spans="1:10" x14ac:dyDescent="0.25">
      <c r="A201" s="200"/>
      <c r="B201" s="201"/>
      <c r="C201" s="201"/>
      <c r="D201" s="200"/>
      <c r="E201" s="202"/>
      <c r="F201" s="203"/>
      <c r="G201" s="124"/>
      <c r="J201" s="124"/>
    </row>
    <row r="202" spans="1:10" ht="25.5" customHeight="1" x14ac:dyDescent="0.25">
      <c r="A202" s="200"/>
      <c r="B202" s="201"/>
      <c r="C202" s="201"/>
      <c r="D202" s="200"/>
      <c r="E202" s="202"/>
      <c r="F202" s="203"/>
      <c r="G202" s="124"/>
      <c r="J202" s="124"/>
    </row>
    <row r="203" spans="1:10" x14ac:dyDescent="0.25">
      <c r="A203" s="200"/>
      <c r="B203" s="201"/>
      <c r="C203" s="201"/>
      <c r="D203" s="200"/>
      <c r="E203" s="202"/>
      <c r="F203" s="203"/>
      <c r="G203" s="124"/>
      <c r="J203" s="124"/>
    </row>
    <row r="204" spans="1:10" ht="25.5" customHeight="1" x14ac:dyDescent="0.25">
      <c r="A204" s="200"/>
      <c r="B204" s="201"/>
      <c r="C204" s="201"/>
      <c r="D204" s="200"/>
      <c r="E204" s="202"/>
      <c r="F204" s="203"/>
      <c r="G204" s="124"/>
      <c r="J204" s="124"/>
    </row>
    <row r="205" spans="1:10" x14ac:dyDescent="0.25">
      <c r="A205" s="200"/>
      <c r="B205" s="201"/>
      <c r="C205" s="201"/>
      <c r="D205" s="200"/>
      <c r="E205" s="202"/>
      <c r="F205" s="203"/>
      <c r="G205" s="124"/>
      <c r="J205" s="124"/>
    </row>
    <row r="206" spans="1:10" ht="25.5" customHeight="1" x14ac:dyDescent="0.25">
      <c r="A206" s="200"/>
      <c r="B206" s="201"/>
      <c r="C206" s="201"/>
      <c r="D206" s="200"/>
      <c r="E206" s="202"/>
      <c r="F206" s="203"/>
      <c r="G206" s="124"/>
      <c r="J206" s="124"/>
    </row>
    <row r="207" spans="1:10" x14ac:dyDescent="0.25">
      <c r="A207" s="200"/>
      <c r="B207" s="201"/>
      <c r="C207" s="201"/>
      <c r="D207" s="200"/>
      <c r="E207" s="202"/>
      <c r="F207" s="203"/>
      <c r="G207" s="124"/>
      <c r="J207" s="124"/>
    </row>
    <row r="208" spans="1:10" ht="25.5" customHeight="1" x14ac:dyDescent="0.25">
      <c r="A208" s="200"/>
      <c r="B208" s="201"/>
      <c r="C208" s="201"/>
      <c r="D208" s="200"/>
      <c r="E208" s="202"/>
      <c r="F208" s="203"/>
      <c r="G208" s="124"/>
      <c r="J208" s="124"/>
    </row>
    <row r="209" spans="1:10" x14ac:dyDescent="0.25">
      <c r="A209" s="200"/>
      <c r="B209" s="201"/>
      <c r="C209" s="201"/>
      <c r="D209" s="200"/>
      <c r="E209" s="202"/>
      <c r="F209" s="203"/>
      <c r="G209" s="124"/>
      <c r="J209" s="124"/>
    </row>
    <row r="210" spans="1:10" ht="25.5" customHeight="1" x14ac:dyDescent="0.25">
      <c r="A210" s="200"/>
      <c r="B210" s="201"/>
      <c r="C210" s="201"/>
      <c r="D210" s="200"/>
      <c r="E210" s="202"/>
      <c r="F210" s="203"/>
      <c r="G210" s="124"/>
      <c r="J210" s="124"/>
    </row>
    <row r="211" spans="1:10" x14ac:dyDescent="0.25">
      <c r="A211" s="200"/>
      <c r="B211" s="201"/>
      <c r="C211" s="201"/>
      <c r="D211" s="200"/>
      <c r="E211" s="202"/>
      <c r="F211" s="203"/>
      <c r="G211" s="124"/>
      <c r="J211" s="124"/>
    </row>
    <row r="212" spans="1:10" ht="25.5" customHeight="1" x14ac:dyDescent="0.25">
      <c r="A212" s="200"/>
      <c r="B212" s="201"/>
      <c r="C212" s="201"/>
      <c r="D212" s="200"/>
      <c r="E212" s="202"/>
      <c r="F212" s="203"/>
      <c r="G212" s="124"/>
      <c r="J212" s="124"/>
    </row>
    <row r="213" spans="1:10" x14ac:dyDescent="0.25">
      <c r="A213" s="200"/>
      <c r="B213" s="201"/>
      <c r="C213" s="201"/>
      <c r="D213" s="200"/>
      <c r="E213" s="202"/>
      <c r="F213" s="203"/>
      <c r="G213" s="124"/>
      <c r="J213" s="124"/>
    </row>
    <row r="214" spans="1:10" ht="25.5" customHeight="1" x14ac:dyDescent="0.25">
      <c r="A214" s="200"/>
      <c r="B214" s="201"/>
      <c r="C214" s="201"/>
      <c r="D214" s="200"/>
      <c r="E214" s="202"/>
      <c r="F214" s="203"/>
      <c r="G214" s="124"/>
      <c r="J214" s="124"/>
    </row>
    <row r="215" spans="1:10" x14ac:dyDescent="0.25">
      <c r="A215" s="200"/>
      <c r="B215" s="201"/>
      <c r="C215" s="201"/>
      <c r="D215" s="200"/>
      <c r="E215" s="202"/>
      <c r="F215" s="203"/>
      <c r="G215" s="124"/>
      <c r="J215" s="124"/>
    </row>
    <row r="216" spans="1:10" ht="25.5" customHeight="1" x14ac:dyDescent="0.25">
      <c r="A216" s="200"/>
      <c r="B216" s="201"/>
      <c r="C216" s="201"/>
      <c r="D216" s="200"/>
      <c r="E216" s="202"/>
      <c r="F216" s="203"/>
      <c r="G216" s="124"/>
      <c r="J216" s="124"/>
    </row>
    <row r="217" spans="1:10" x14ac:dyDescent="0.25">
      <c r="A217" s="200"/>
      <c r="B217" s="201"/>
      <c r="C217" s="201"/>
      <c r="D217" s="200"/>
      <c r="E217" s="202"/>
      <c r="F217" s="203"/>
      <c r="G217" s="124"/>
      <c r="J217" s="124"/>
    </row>
    <row r="218" spans="1:10" ht="25.5" customHeight="1" x14ac:dyDescent="0.25">
      <c r="A218" s="200"/>
      <c r="B218" s="201"/>
      <c r="C218" s="201"/>
      <c r="D218" s="200"/>
      <c r="E218" s="202"/>
      <c r="F218" s="203"/>
      <c r="G218" s="124"/>
      <c r="J218" s="124"/>
    </row>
    <row r="219" spans="1:10" x14ac:dyDescent="0.25">
      <c r="A219" s="200"/>
      <c r="B219" s="201"/>
      <c r="C219" s="201"/>
      <c r="D219" s="200"/>
      <c r="E219" s="202"/>
      <c r="F219" s="203"/>
      <c r="G219" s="124"/>
      <c r="J219" s="124"/>
    </row>
    <row r="220" spans="1:10" ht="25.5" customHeight="1" x14ac:dyDescent="0.25">
      <c r="A220" s="200"/>
      <c r="B220" s="201"/>
      <c r="C220" s="201"/>
      <c r="D220" s="200"/>
      <c r="E220" s="202"/>
      <c r="F220" s="203"/>
      <c r="G220" s="124"/>
      <c r="J220" s="124"/>
    </row>
    <row r="221" spans="1:10" x14ac:dyDescent="0.25">
      <c r="A221" s="200"/>
      <c r="B221" s="201"/>
      <c r="C221" s="201"/>
      <c r="D221" s="200"/>
      <c r="E221" s="202"/>
      <c r="F221" s="203"/>
      <c r="G221" s="124"/>
      <c r="J221" s="124"/>
    </row>
    <row r="222" spans="1:10" ht="25.5" customHeight="1" x14ac:dyDescent="0.25">
      <c r="A222" s="200"/>
      <c r="B222" s="201"/>
      <c r="C222" s="201"/>
      <c r="D222" s="200"/>
      <c r="E222" s="202"/>
      <c r="F222" s="203"/>
      <c r="G222" s="124"/>
      <c r="J222" s="124"/>
    </row>
    <row r="223" spans="1:10" x14ac:dyDescent="0.25">
      <c r="A223" s="200"/>
      <c r="B223" s="201"/>
      <c r="C223" s="201"/>
      <c r="D223" s="200"/>
      <c r="E223" s="202"/>
      <c r="F223" s="203"/>
      <c r="G223" s="124"/>
      <c r="J223" s="124"/>
    </row>
    <row r="224" spans="1:10" ht="25.5" customHeight="1" x14ac:dyDescent="0.25">
      <c r="A224" s="200"/>
      <c r="B224" s="201"/>
      <c r="C224" s="201"/>
      <c r="D224" s="200"/>
      <c r="E224" s="202"/>
      <c r="F224" s="203"/>
      <c r="G224" s="124"/>
      <c r="J224" s="124"/>
    </row>
    <row r="225" spans="1:10" x14ac:dyDescent="0.25">
      <c r="A225" s="200"/>
      <c r="B225" s="201"/>
      <c r="C225" s="201"/>
      <c r="D225" s="200"/>
      <c r="E225" s="202"/>
      <c r="F225" s="203"/>
      <c r="G225" s="124"/>
      <c r="J225" s="124"/>
    </row>
    <row r="226" spans="1:10" ht="25.5" customHeight="1" x14ac:dyDescent="0.25">
      <c r="A226" s="200"/>
      <c r="B226" s="201"/>
      <c r="C226" s="201"/>
      <c r="D226" s="200"/>
      <c r="E226" s="202"/>
      <c r="F226" s="203"/>
      <c r="G226" s="124"/>
      <c r="J226" s="124"/>
    </row>
    <row r="227" spans="1:10" x14ac:dyDescent="0.25">
      <c r="A227" s="200"/>
      <c r="B227" s="201"/>
      <c r="C227" s="201"/>
      <c r="D227" s="200"/>
      <c r="E227" s="202"/>
      <c r="F227" s="203"/>
      <c r="G227" s="124"/>
      <c r="J227" s="124"/>
    </row>
    <row r="228" spans="1:10" ht="25.5" customHeight="1" x14ac:dyDescent="0.25">
      <c r="A228" s="200"/>
      <c r="B228" s="201"/>
      <c r="C228" s="201"/>
      <c r="D228" s="200"/>
      <c r="E228" s="202"/>
      <c r="F228" s="203"/>
      <c r="G228" s="124"/>
      <c r="J228" s="124"/>
    </row>
    <row r="229" spans="1:10" x14ac:dyDescent="0.25">
      <c r="A229" s="200"/>
      <c r="B229" s="201"/>
      <c r="C229" s="201"/>
      <c r="D229" s="200"/>
      <c r="E229" s="202"/>
      <c r="F229" s="203"/>
      <c r="G229" s="124"/>
      <c r="J229" s="124"/>
    </row>
    <row r="230" spans="1:10" ht="25.5" customHeight="1" x14ac:dyDescent="0.25">
      <c r="A230" s="200"/>
      <c r="B230" s="201"/>
      <c r="C230" s="201"/>
      <c r="D230" s="200"/>
      <c r="E230" s="202"/>
      <c r="F230" s="203"/>
      <c r="G230" s="124"/>
      <c r="J230" s="124"/>
    </row>
    <row r="231" spans="1:10" x14ac:dyDescent="0.25">
      <c r="A231" s="200"/>
      <c r="B231" s="201"/>
      <c r="C231" s="201"/>
      <c r="D231" s="200"/>
      <c r="E231" s="202"/>
      <c r="F231" s="203"/>
      <c r="G231" s="124"/>
      <c r="J231" s="124"/>
    </row>
    <row r="232" spans="1:10" ht="25.5" customHeight="1" x14ac:dyDescent="0.25">
      <c r="A232" s="200"/>
      <c r="B232" s="201"/>
      <c r="C232" s="201"/>
      <c r="D232" s="200"/>
      <c r="E232" s="202"/>
      <c r="F232" s="203"/>
      <c r="G232" s="124"/>
      <c r="J232" s="124"/>
    </row>
    <row r="233" spans="1:10" x14ac:dyDescent="0.25">
      <c r="A233" s="200"/>
      <c r="B233" s="201"/>
      <c r="C233" s="201"/>
      <c r="D233" s="200"/>
      <c r="E233" s="202"/>
      <c r="F233" s="203"/>
      <c r="G233" s="124"/>
      <c r="J233" s="124"/>
    </row>
    <row r="234" spans="1:10" ht="25.5" customHeight="1" x14ac:dyDescent="0.25">
      <c r="A234" s="200"/>
      <c r="B234" s="201"/>
      <c r="C234" s="201"/>
      <c r="D234" s="200"/>
      <c r="E234" s="202"/>
      <c r="F234" s="203"/>
      <c r="G234" s="124"/>
      <c r="J234" s="124"/>
    </row>
    <row r="235" spans="1:10" x14ac:dyDescent="0.25">
      <c r="A235" s="200"/>
      <c r="B235" s="201"/>
      <c r="C235" s="201"/>
      <c r="D235" s="200"/>
      <c r="E235" s="202"/>
      <c r="F235" s="203"/>
      <c r="G235" s="124"/>
      <c r="J235" s="124"/>
    </row>
    <row r="236" spans="1:10" ht="25.5" customHeight="1" x14ac:dyDescent="0.25">
      <c r="A236" s="200"/>
      <c r="B236" s="201"/>
      <c r="C236" s="201"/>
      <c r="D236" s="200"/>
      <c r="E236" s="202"/>
      <c r="F236" s="203"/>
      <c r="G236" s="124"/>
      <c r="J236" s="124"/>
    </row>
    <row r="237" spans="1:10" x14ac:dyDescent="0.25">
      <c r="A237" s="200"/>
      <c r="B237" s="201"/>
      <c r="C237" s="201"/>
      <c r="D237" s="200"/>
      <c r="E237" s="202"/>
      <c r="F237" s="203"/>
      <c r="G237" s="124"/>
      <c r="J237" s="124"/>
    </row>
    <row r="238" spans="1:10" ht="25.5" customHeight="1" x14ac:dyDescent="0.25">
      <c r="A238" s="200"/>
      <c r="B238" s="201"/>
      <c r="C238" s="201"/>
      <c r="D238" s="200"/>
      <c r="E238" s="202"/>
      <c r="F238" s="203"/>
      <c r="G238" s="124"/>
      <c r="J238" s="124"/>
    </row>
    <row r="239" spans="1:10" x14ac:dyDescent="0.25">
      <c r="A239" s="200"/>
      <c r="B239" s="201"/>
      <c r="C239" s="201"/>
      <c r="D239" s="200"/>
      <c r="E239" s="202"/>
      <c r="F239" s="203"/>
      <c r="G239" s="124"/>
      <c r="J239" s="124"/>
    </row>
    <row r="240" spans="1:10" ht="25.5" customHeight="1" x14ac:dyDescent="0.25">
      <c r="A240" s="200"/>
      <c r="B240" s="201"/>
      <c r="C240" s="201"/>
      <c r="D240" s="200"/>
      <c r="E240" s="202"/>
      <c r="F240" s="203"/>
      <c r="G240" s="124"/>
      <c r="J240" s="124"/>
    </row>
    <row r="241" spans="1:10" x14ac:dyDescent="0.25">
      <c r="A241" s="200"/>
      <c r="B241" s="201"/>
      <c r="C241" s="201"/>
      <c r="D241" s="200"/>
      <c r="E241" s="202"/>
      <c r="F241" s="203"/>
      <c r="G241" s="124"/>
      <c r="J241" s="124"/>
    </row>
    <row r="242" spans="1:10" ht="25.5" customHeight="1" x14ac:dyDescent="0.25">
      <c r="A242" s="200"/>
      <c r="B242" s="201"/>
      <c r="C242" s="201"/>
      <c r="D242" s="200"/>
      <c r="E242" s="202"/>
      <c r="F242" s="203"/>
      <c r="G242" s="124"/>
      <c r="J242" s="124"/>
    </row>
    <row r="243" spans="1:10" x14ac:dyDescent="0.25">
      <c r="A243" s="200"/>
      <c r="B243" s="201"/>
      <c r="C243" s="201"/>
      <c r="D243" s="200"/>
      <c r="E243" s="202"/>
      <c r="F243" s="203"/>
      <c r="G243" s="124"/>
      <c r="J243" s="124"/>
    </row>
    <row r="244" spans="1:10" ht="25.5" customHeight="1" x14ac:dyDescent="0.25">
      <c r="A244" s="200"/>
      <c r="B244" s="201"/>
      <c r="C244" s="201"/>
      <c r="D244" s="200"/>
      <c r="E244" s="202"/>
      <c r="F244" s="203"/>
      <c r="G244" s="124"/>
      <c r="J244" s="124"/>
    </row>
    <row r="245" spans="1:10" x14ac:dyDescent="0.25">
      <c r="A245" s="200"/>
      <c r="B245" s="201"/>
      <c r="C245" s="201"/>
      <c r="D245" s="200"/>
      <c r="E245" s="202"/>
      <c r="F245" s="203"/>
      <c r="G245" s="124"/>
      <c r="J245" s="124"/>
    </row>
    <row r="246" spans="1:10" ht="25.5" customHeight="1" x14ac:dyDescent="0.25">
      <c r="A246" s="200"/>
      <c r="B246" s="201"/>
      <c r="C246" s="201"/>
      <c r="D246" s="200"/>
      <c r="E246" s="202"/>
      <c r="F246" s="203"/>
      <c r="G246" s="124"/>
      <c r="J246" s="124"/>
    </row>
    <row r="247" spans="1:10" x14ac:dyDescent="0.25">
      <c r="A247" s="200"/>
      <c r="B247" s="201"/>
      <c r="C247" s="201"/>
      <c r="D247" s="200"/>
      <c r="E247" s="202"/>
      <c r="F247" s="203"/>
      <c r="G247" s="124"/>
      <c r="J247" s="124"/>
    </row>
    <row r="248" spans="1:10" ht="25.5" customHeight="1" x14ac:dyDescent="0.25">
      <c r="A248" s="200"/>
      <c r="B248" s="201"/>
      <c r="C248" s="201"/>
      <c r="D248" s="200"/>
      <c r="E248" s="202"/>
      <c r="F248" s="203"/>
      <c r="G248" s="124"/>
      <c r="J248" s="124"/>
    </row>
    <row r="249" spans="1:10" x14ac:dyDescent="0.25">
      <c r="A249" s="200"/>
      <c r="B249" s="201"/>
      <c r="C249" s="201"/>
      <c r="D249" s="200"/>
      <c r="E249" s="202"/>
      <c r="F249" s="203"/>
      <c r="G249" s="124"/>
      <c r="J249" s="124"/>
    </row>
    <row r="250" spans="1:10" ht="25.5" customHeight="1" x14ac:dyDescent="0.25">
      <c r="A250" s="200"/>
      <c r="B250" s="201"/>
      <c r="C250" s="201"/>
      <c r="D250" s="200"/>
      <c r="E250" s="202"/>
      <c r="F250" s="203"/>
      <c r="G250" s="124"/>
      <c r="J250" s="124"/>
    </row>
    <row r="251" spans="1:10" x14ac:dyDescent="0.25">
      <c r="A251" s="200"/>
      <c r="B251" s="201"/>
      <c r="C251" s="201"/>
      <c r="D251" s="200"/>
      <c r="E251" s="202"/>
      <c r="F251" s="203"/>
      <c r="G251" s="124"/>
      <c r="J251" s="124"/>
    </row>
    <row r="252" spans="1:10" ht="25.5" customHeight="1" x14ac:dyDescent="0.25">
      <c r="A252" s="200"/>
      <c r="B252" s="201"/>
      <c r="C252" s="201"/>
      <c r="D252" s="200"/>
      <c r="E252" s="202"/>
      <c r="F252" s="203"/>
      <c r="G252" s="124"/>
      <c r="J252" s="124"/>
    </row>
    <row r="253" spans="1:10" x14ac:dyDescent="0.25">
      <c r="A253" s="200"/>
      <c r="B253" s="201"/>
      <c r="C253" s="201"/>
      <c r="D253" s="200"/>
      <c r="E253" s="202"/>
      <c r="F253" s="203"/>
      <c r="G253" s="124"/>
      <c r="J253" s="124"/>
    </row>
    <row r="254" spans="1:10" ht="25.5" customHeight="1" x14ac:dyDescent="0.25">
      <c r="A254" s="200"/>
      <c r="B254" s="201"/>
      <c r="C254" s="201"/>
      <c r="D254" s="200"/>
      <c r="E254" s="202"/>
      <c r="F254" s="203"/>
      <c r="G254" s="124"/>
      <c r="J254" s="124"/>
    </row>
    <row r="255" spans="1:10" x14ac:dyDescent="0.25">
      <c r="A255" s="200"/>
      <c r="B255" s="201"/>
      <c r="C255" s="201"/>
      <c r="D255" s="200"/>
      <c r="E255" s="202"/>
      <c r="F255" s="203"/>
      <c r="G255" s="124"/>
      <c r="J255" s="124"/>
    </row>
    <row r="256" spans="1:10" ht="25.5" customHeight="1" x14ac:dyDescent="0.25">
      <c r="A256" s="200"/>
      <c r="B256" s="201"/>
      <c r="C256" s="201"/>
      <c r="D256" s="200"/>
      <c r="E256" s="202"/>
      <c r="F256" s="203"/>
      <c r="G256" s="124"/>
      <c r="J256" s="124"/>
    </row>
    <row r="257" spans="1:10" x14ac:dyDescent="0.25">
      <c r="A257" s="200"/>
      <c r="B257" s="201"/>
      <c r="C257" s="201"/>
      <c r="D257" s="200"/>
      <c r="E257" s="202"/>
      <c r="F257" s="203"/>
      <c r="G257" s="124"/>
      <c r="J257" s="124"/>
    </row>
    <row r="258" spans="1:10" ht="25.5" customHeight="1" x14ac:dyDescent="0.25">
      <c r="A258" s="200"/>
      <c r="B258" s="201"/>
      <c r="C258" s="201"/>
      <c r="D258" s="200"/>
      <c r="E258" s="202"/>
      <c r="F258" s="203"/>
      <c r="G258" s="124"/>
      <c r="J258" s="124"/>
    </row>
    <row r="259" spans="1:10" x14ac:dyDescent="0.25">
      <c r="A259" s="200"/>
      <c r="B259" s="201"/>
      <c r="C259" s="201"/>
      <c r="D259" s="200"/>
      <c r="E259" s="202"/>
      <c r="F259" s="203"/>
      <c r="G259" s="124"/>
      <c r="J259" s="124"/>
    </row>
    <row r="260" spans="1:10" ht="25.5" customHeight="1" x14ac:dyDescent="0.25">
      <c r="A260" s="200"/>
      <c r="B260" s="201"/>
      <c r="C260" s="201"/>
      <c r="D260" s="200"/>
      <c r="E260" s="202"/>
      <c r="F260" s="203"/>
      <c r="G260" s="124"/>
      <c r="J260" s="124"/>
    </row>
    <row r="261" spans="1:10" x14ac:dyDescent="0.25">
      <c r="A261" s="200"/>
      <c r="B261" s="201"/>
      <c r="C261" s="201"/>
      <c r="D261" s="200"/>
      <c r="E261" s="202"/>
      <c r="F261" s="203"/>
      <c r="G261" s="124"/>
      <c r="J261" s="124"/>
    </row>
    <row r="262" spans="1:10" ht="25.5" customHeight="1" x14ac:dyDescent="0.25">
      <c r="A262" s="200"/>
      <c r="B262" s="201"/>
      <c r="C262" s="201"/>
      <c r="D262" s="200"/>
      <c r="E262" s="202"/>
      <c r="F262" s="203"/>
      <c r="G262" s="124"/>
      <c r="J262" s="124"/>
    </row>
    <row r="263" spans="1:10" x14ac:dyDescent="0.25">
      <c r="A263" s="200"/>
      <c r="B263" s="201"/>
      <c r="C263" s="201"/>
      <c r="D263" s="200"/>
      <c r="E263" s="202"/>
      <c r="F263" s="203"/>
      <c r="G263" s="124"/>
      <c r="J263" s="124"/>
    </row>
    <row r="264" spans="1:10" ht="25.5" customHeight="1" x14ac:dyDescent="0.25">
      <c r="A264" s="200"/>
      <c r="B264" s="201"/>
      <c r="C264" s="201"/>
      <c r="D264" s="200"/>
      <c r="E264" s="202"/>
      <c r="F264" s="203"/>
      <c r="G264" s="124"/>
      <c r="J264" s="124"/>
    </row>
    <row r="265" spans="1:10" x14ac:dyDescent="0.25">
      <c r="A265" s="200"/>
      <c r="B265" s="201"/>
      <c r="C265" s="201"/>
      <c r="D265" s="200"/>
      <c r="E265" s="202"/>
      <c r="F265" s="203"/>
      <c r="G265" s="124"/>
      <c r="J265" s="124"/>
    </row>
    <row r="266" spans="1:10" ht="25.5" customHeight="1" x14ac:dyDescent="0.25">
      <c r="A266" s="200"/>
      <c r="B266" s="201"/>
      <c r="C266" s="201"/>
      <c r="D266" s="200"/>
      <c r="E266" s="202"/>
      <c r="F266" s="203"/>
      <c r="G266" s="124"/>
      <c r="J266" s="124"/>
    </row>
    <row r="267" spans="1:10" x14ac:dyDescent="0.25">
      <c r="A267" s="200"/>
      <c r="B267" s="201"/>
      <c r="C267" s="201"/>
      <c r="D267" s="200"/>
      <c r="E267" s="202"/>
      <c r="F267" s="203"/>
      <c r="G267" s="124"/>
      <c r="J267" s="124"/>
    </row>
    <row r="268" spans="1:10" ht="25.5" customHeight="1" x14ac:dyDescent="0.25">
      <c r="A268" s="200"/>
      <c r="B268" s="201"/>
      <c r="C268" s="201"/>
      <c r="D268" s="200"/>
      <c r="E268" s="202"/>
      <c r="F268" s="203"/>
      <c r="G268" s="124"/>
      <c r="J268" s="124"/>
    </row>
    <row r="269" spans="1:10" x14ac:dyDescent="0.25">
      <c r="A269" s="200"/>
      <c r="B269" s="201"/>
      <c r="C269" s="201"/>
      <c r="D269" s="200"/>
      <c r="E269" s="202"/>
      <c r="F269" s="203"/>
      <c r="G269" s="124"/>
      <c r="J269" s="124"/>
    </row>
    <row r="270" spans="1:10" ht="25.5" customHeight="1" x14ac:dyDescent="0.25">
      <c r="A270" s="200"/>
      <c r="B270" s="201"/>
      <c r="C270" s="201"/>
      <c r="D270" s="200"/>
      <c r="E270" s="202"/>
      <c r="F270" s="203"/>
      <c r="G270" s="124"/>
      <c r="J270" s="124"/>
    </row>
    <row r="271" spans="1:10" x14ac:dyDescent="0.25">
      <c r="A271" s="200"/>
      <c r="B271" s="201"/>
      <c r="C271" s="201"/>
      <c r="D271" s="200"/>
      <c r="E271" s="202"/>
      <c r="F271" s="203"/>
      <c r="G271" s="124"/>
      <c r="J271" s="124"/>
    </row>
    <row r="272" spans="1:10" ht="25.5" customHeight="1" x14ac:dyDescent="0.25">
      <c r="A272" s="200"/>
      <c r="B272" s="201"/>
      <c r="C272" s="201"/>
      <c r="D272" s="200"/>
      <c r="E272" s="202"/>
      <c r="F272" s="203"/>
      <c r="G272" s="124"/>
      <c r="J272" s="124"/>
    </row>
    <row r="273" spans="1:10" x14ac:dyDescent="0.25">
      <c r="A273" s="200"/>
      <c r="B273" s="201"/>
      <c r="C273" s="201"/>
      <c r="D273" s="200"/>
      <c r="E273" s="202"/>
      <c r="F273" s="203"/>
      <c r="G273" s="124"/>
      <c r="J273" s="124"/>
    </row>
    <row r="274" spans="1:10" ht="25.5" customHeight="1" x14ac:dyDescent="0.25">
      <c r="A274" s="200"/>
      <c r="B274" s="201"/>
      <c r="C274" s="201"/>
      <c r="D274" s="200"/>
      <c r="E274" s="202"/>
      <c r="F274" s="203"/>
      <c r="G274" s="124"/>
      <c r="J274" s="124"/>
    </row>
    <row r="275" spans="1:10" x14ac:dyDescent="0.25">
      <c r="A275" s="200"/>
      <c r="B275" s="201"/>
      <c r="C275" s="201"/>
      <c r="D275" s="200"/>
      <c r="E275" s="202"/>
      <c r="F275" s="203"/>
      <c r="G275" s="124"/>
      <c r="J275" s="124"/>
    </row>
    <row r="276" spans="1:10" ht="25.5" customHeight="1" x14ac:dyDescent="0.25">
      <c r="A276" s="200"/>
      <c r="B276" s="201"/>
      <c r="C276" s="201"/>
      <c r="D276" s="200"/>
      <c r="E276" s="202"/>
      <c r="F276" s="203"/>
      <c r="G276" s="124"/>
      <c r="J276" s="124"/>
    </row>
    <row r="277" spans="1:10" x14ac:dyDescent="0.25">
      <c r="A277" s="200"/>
      <c r="B277" s="201"/>
      <c r="C277" s="201"/>
      <c r="D277" s="200"/>
      <c r="E277" s="202"/>
      <c r="F277" s="203"/>
      <c r="G277" s="124"/>
      <c r="J277" s="124"/>
    </row>
    <row r="278" spans="1:10" ht="25.5" customHeight="1" x14ac:dyDescent="0.25">
      <c r="A278" s="200"/>
      <c r="B278" s="201"/>
      <c r="C278" s="201"/>
      <c r="D278" s="200"/>
      <c r="E278" s="202"/>
      <c r="F278" s="203"/>
      <c r="G278" s="124"/>
      <c r="J278" s="124"/>
    </row>
    <row r="279" spans="1:10" x14ac:dyDescent="0.25">
      <c r="A279" s="200"/>
      <c r="B279" s="201"/>
      <c r="C279" s="201"/>
      <c r="D279" s="200"/>
      <c r="E279" s="202"/>
      <c r="F279" s="203"/>
      <c r="G279" s="124"/>
      <c r="J279" s="124"/>
    </row>
    <row r="280" spans="1:10" ht="25.5" customHeight="1" x14ac:dyDescent="0.25">
      <c r="A280" s="200"/>
      <c r="B280" s="201"/>
      <c r="C280" s="201"/>
      <c r="D280" s="200"/>
      <c r="E280" s="202"/>
      <c r="F280" s="203"/>
      <c r="G280" s="124"/>
      <c r="J280" s="124"/>
    </row>
    <row r="281" spans="1:10" x14ac:dyDescent="0.25">
      <c r="A281" s="200"/>
      <c r="B281" s="201"/>
      <c r="C281" s="201"/>
      <c r="D281" s="200"/>
      <c r="E281" s="202"/>
      <c r="F281" s="203"/>
      <c r="G281" s="124"/>
      <c r="J281" s="124"/>
    </row>
    <row r="282" spans="1:10" ht="25.5" customHeight="1" x14ac:dyDescent="0.25">
      <c r="A282" s="200"/>
      <c r="B282" s="201"/>
      <c r="C282" s="201"/>
      <c r="D282" s="200"/>
      <c r="E282" s="202"/>
      <c r="F282" s="203"/>
      <c r="G282" s="124"/>
      <c r="J282" s="124"/>
    </row>
    <row r="283" spans="1:10" x14ac:dyDescent="0.25">
      <c r="A283" s="200"/>
      <c r="B283" s="201"/>
      <c r="C283" s="201"/>
      <c r="D283" s="200"/>
      <c r="E283" s="202"/>
      <c r="F283" s="203"/>
      <c r="G283" s="124"/>
      <c r="J283" s="124"/>
    </row>
    <row r="284" spans="1:10" ht="25.5" customHeight="1" x14ac:dyDescent="0.25">
      <c r="A284" s="200"/>
      <c r="B284" s="201"/>
      <c r="C284" s="201"/>
      <c r="D284" s="200"/>
      <c r="E284" s="202"/>
      <c r="F284" s="203"/>
      <c r="G284" s="124"/>
      <c r="J284" s="124"/>
    </row>
    <row r="285" spans="1:10" x14ac:dyDescent="0.25">
      <c r="A285" s="200"/>
      <c r="B285" s="201"/>
      <c r="C285" s="201"/>
      <c r="D285" s="200"/>
      <c r="E285" s="202"/>
      <c r="F285" s="203"/>
      <c r="G285" s="124"/>
      <c r="J285" s="124"/>
    </row>
    <row r="286" spans="1:10" ht="25.5" customHeight="1" x14ac:dyDescent="0.25">
      <c r="A286" s="200"/>
      <c r="B286" s="201"/>
      <c r="C286" s="201"/>
      <c r="D286" s="200"/>
      <c r="E286" s="202"/>
      <c r="F286" s="203"/>
      <c r="G286" s="124"/>
      <c r="J286" s="124"/>
    </row>
    <row r="287" spans="1:10" x14ac:dyDescent="0.25">
      <c r="A287" s="200"/>
      <c r="B287" s="201"/>
      <c r="C287" s="201"/>
      <c r="D287" s="200"/>
      <c r="E287" s="202"/>
      <c r="F287" s="203"/>
      <c r="G287" s="124"/>
      <c r="J287" s="124"/>
    </row>
    <row r="288" spans="1:10" ht="25.5" customHeight="1" x14ac:dyDescent="0.25">
      <c r="A288" s="200"/>
      <c r="B288" s="201"/>
      <c r="C288" s="201"/>
      <c r="D288" s="200"/>
      <c r="E288" s="202"/>
      <c r="F288" s="203"/>
      <c r="G288" s="124"/>
      <c r="J288" s="124"/>
    </row>
    <row r="289" spans="1:10" x14ac:dyDescent="0.25">
      <c r="A289" s="200"/>
      <c r="B289" s="201"/>
      <c r="C289" s="201"/>
      <c r="D289" s="200"/>
      <c r="E289" s="202"/>
      <c r="F289" s="203"/>
      <c r="G289" s="124"/>
      <c r="J289" s="124"/>
    </row>
    <row r="290" spans="1:10" ht="25.5" customHeight="1" x14ac:dyDescent="0.25">
      <c r="A290" s="200"/>
      <c r="B290" s="201"/>
      <c r="C290" s="201"/>
      <c r="D290" s="200"/>
      <c r="E290" s="202"/>
      <c r="F290" s="203"/>
      <c r="G290" s="124"/>
      <c r="J290" s="124"/>
    </row>
    <row r="291" spans="1:10" x14ac:dyDescent="0.25">
      <c r="A291" s="200"/>
      <c r="B291" s="201"/>
      <c r="C291" s="201"/>
      <c r="D291" s="200"/>
      <c r="E291" s="202"/>
      <c r="F291" s="203"/>
      <c r="G291" s="124"/>
      <c r="J291" s="124"/>
    </row>
    <row r="292" spans="1:10" ht="25.5" customHeight="1" x14ac:dyDescent="0.25">
      <c r="A292" s="200"/>
      <c r="B292" s="201"/>
      <c r="C292" s="201"/>
      <c r="D292" s="200"/>
      <c r="E292" s="202"/>
      <c r="F292" s="203"/>
      <c r="G292" s="124"/>
      <c r="J292" s="124"/>
    </row>
    <row r="293" spans="1:10" x14ac:dyDescent="0.25">
      <c r="A293" s="200"/>
      <c r="B293" s="201"/>
      <c r="C293" s="201"/>
      <c r="D293" s="200"/>
      <c r="E293" s="202"/>
      <c r="F293" s="203"/>
      <c r="G293" s="124"/>
      <c r="J293" s="124"/>
    </row>
    <row r="294" spans="1:10" ht="25.5" customHeight="1" x14ac:dyDescent="0.25">
      <c r="A294" s="200"/>
      <c r="B294" s="201"/>
      <c r="C294" s="201"/>
      <c r="D294" s="200"/>
      <c r="E294" s="202"/>
      <c r="F294" s="203"/>
      <c r="G294" s="124"/>
      <c r="J294" s="124"/>
    </row>
    <row r="295" spans="1:10" x14ac:dyDescent="0.25">
      <c r="A295" s="200"/>
      <c r="B295" s="201"/>
      <c r="C295" s="201"/>
      <c r="D295" s="200"/>
      <c r="E295" s="202"/>
      <c r="F295" s="203"/>
      <c r="G295" s="124"/>
      <c r="J295" s="124"/>
    </row>
    <row r="296" spans="1:10" ht="25.5" customHeight="1" x14ac:dyDescent="0.25">
      <c r="A296" s="200"/>
      <c r="B296" s="201"/>
      <c r="C296" s="201"/>
      <c r="D296" s="200"/>
      <c r="E296" s="202"/>
      <c r="F296" s="203"/>
      <c r="G296" s="124"/>
      <c r="J296" s="124"/>
    </row>
    <row r="297" spans="1:10" x14ac:dyDescent="0.25">
      <c r="A297" s="200"/>
      <c r="B297" s="201"/>
      <c r="C297" s="201"/>
      <c r="D297" s="200"/>
      <c r="E297" s="202"/>
      <c r="F297" s="203"/>
      <c r="G297" s="124"/>
      <c r="J297" s="124"/>
    </row>
    <row r="298" spans="1:10" ht="25.5" customHeight="1" x14ac:dyDescent="0.25">
      <c r="A298" s="200"/>
      <c r="B298" s="201"/>
      <c r="C298" s="201"/>
      <c r="D298" s="200"/>
      <c r="E298" s="202"/>
      <c r="F298" s="203"/>
      <c r="G298" s="124"/>
      <c r="J298" s="124"/>
    </row>
    <row r="299" spans="1:10" x14ac:dyDescent="0.25">
      <c r="A299" s="200"/>
      <c r="B299" s="201"/>
      <c r="C299" s="201"/>
      <c r="D299" s="200"/>
      <c r="E299" s="202"/>
      <c r="F299" s="203"/>
      <c r="G299" s="124"/>
      <c r="J299" s="124"/>
    </row>
    <row r="300" spans="1:10" ht="25.5" customHeight="1" x14ac:dyDescent="0.25">
      <c r="A300" s="200"/>
      <c r="B300" s="201"/>
      <c r="C300" s="201"/>
      <c r="D300" s="200"/>
      <c r="E300" s="202"/>
      <c r="F300" s="203"/>
      <c r="G300" s="124"/>
      <c r="J300" s="124"/>
    </row>
    <row r="301" spans="1:10" x14ac:dyDescent="0.25">
      <c r="A301" s="200"/>
      <c r="B301" s="201"/>
      <c r="C301" s="201"/>
      <c r="D301" s="200"/>
      <c r="E301" s="202"/>
      <c r="F301" s="203"/>
      <c r="G301" s="124"/>
      <c r="J301" s="124"/>
    </row>
    <row r="302" spans="1:10" ht="25.5" customHeight="1" x14ac:dyDescent="0.25">
      <c r="A302" s="200"/>
      <c r="B302" s="201"/>
      <c r="C302" s="201"/>
      <c r="D302" s="200"/>
      <c r="E302" s="202"/>
      <c r="F302" s="203"/>
      <c r="G302" s="124"/>
      <c r="J302" s="124"/>
    </row>
    <row r="303" spans="1:10" x14ac:dyDescent="0.25">
      <c r="A303" s="200"/>
      <c r="B303" s="201"/>
      <c r="C303" s="201"/>
      <c r="D303" s="200"/>
      <c r="E303" s="202"/>
      <c r="F303" s="203"/>
      <c r="G303" s="124"/>
      <c r="J303" s="124"/>
    </row>
  </sheetData>
  <mergeCells count="8454">
    <mergeCell ref="A302:A303"/>
    <mergeCell ref="B302:B303"/>
    <mergeCell ref="C302:C303"/>
    <mergeCell ref="D302:D303"/>
    <mergeCell ref="E302:E303"/>
    <mergeCell ref="F302:F303"/>
    <mergeCell ref="A300:A301"/>
    <mergeCell ref="B300:B301"/>
    <mergeCell ref="C300:C301"/>
    <mergeCell ref="D300:D301"/>
    <mergeCell ref="E300:E301"/>
    <mergeCell ref="F300:F301"/>
    <mergeCell ref="A298:A299"/>
    <mergeCell ref="B298:B299"/>
    <mergeCell ref="C298:C299"/>
    <mergeCell ref="D298:D299"/>
    <mergeCell ref="E298:E299"/>
    <mergeCell ref="F298:F299"/>
    <mergeCell ref="A296:A297"/>
    <mergeCell ref="B296:B297"/>
    <mergeCell ref="C296:C297"/>
    <mergeCell ref="D296:D297"/>
    <mergeCell ref="E296:E297"/>
    <mergeCell ref="F296:F297"/>
    <mergeCell ref="A294:A295"/>
    <mergeCell ref="B294:B295"/>
    <mergeCell ref="C294:C295"/>
    <mergeCell ref="D294:D295"/>
    <mergeCell ref="E294:E295"/>
    <mergeCell ref="F294:F295"/>
    <mergeCell ref="A292:A293"/>
    <mergeCell ref="B292:B293"/>
    <mergeCell ref="C292:C293"/>
    <mergeCell ref="D292:D293"/>
    <mergeCell ref="E292:E293"/>
    <mergeCell ref="F292:F293"/>
    <mergeCell ref="A290:A291"/>
    <mergeCell ref="B290:B291"/>
    <mergeCell ref="C290:C291"/>
    <mergeCell ref="D290:D291"/>
    <mergeCell ref="E290:E291"/>
    <mergeCell ref="F290:F291"/>
    <mergeCell ref="A288:A289"/>
    <mergeCell ref="B288:B289"/>
    <mergeCell ref="C288:C289"/>
    <mergeCell ref="D288:D289"/>
    <mergeCell ref="E288:E289"/>
    <mergeCell ref="F288:F289"/>
    <mergeCell ref="A286:A287"/>
    <mergeCell ref="B286:B287"/>
    <mergeCell ref="C286:C287"/>
    <mergeCell ref="D286:D287"/>
    <mergeCell ref="E286:E287"/>
    <mergeCell ref="F286:F287"/>
    <mergeCell ref="A284:A285"/>
    <mergeCell ref="B284:B285"/>
    <mergeCell ref="C284:C285"/>
    <mergeCell ref="D284:D285"/>
    <mergeCell ref="E284:E285"/>
    <mergeCell ref="F284:F285"/>
    <mergeCell ref="A282:A283"/>
    <mergeCell ref="B282:B283"/>
    <mergeCell ref="C282:C283"/>
    <mergeCell ref="D282:D283"/>
    <mergeCell ref="E282:E283"/>
    <mergeCell ref="F282:F283"/>
    <mergeCell ref="A280:A281"/>
    <mergeCell ref="B280:B281"/>
    <mergeCell ref="C280:C281"/>
    <mergeCell ref="D280:D281"/>
    <mergeCell ref="E280:E281"/>
    <mergeCell ref="F280:F281"/>
    <mergeCell ref="A278:A279"/>
    <mergeCell ref="B278:B279"/>
    <mergeCell ref="C278:C279"/>
    <mergeCell ref="D278:D279"/>
    <mergeCell ref="E278:E279"/>
    <mergeCell ref="F278:F279"/>
    <mergeCell ref="A276:A277"/>
    <mergeCell ref="B276:B277"/>
    <mergeCell ref="C276:C277"/>
    <mergeCell ref="D276:D277"/>
    <mergeCell ref="E276:E277"/>
    <mergeCell ref="F276:F277"/>
    <mergeCell ref="A274:A275"/>
    <mergeCell ref="B274:B275"/>
    <mergeCell ref="C274:C275"/>
    <mergeCell ref="D274:D275"/>
    <mergeCell ref="E274:E275"/>
    <mergeCell ref="F274:F275"/>
    <mergeCell ref="A272:A273"/>
    <mergeCell ref="B272:B273"/>
    <mergeCell ref="C272:C273"/>
    <mergeCell ref="D272:D273"/>
    <mergeCell ref="E272:E273"/>
    <mergeCell ref="F272:F273"/>
    <mergeCell ref="A270:A271"/>
    <mergeCell ref="B270:B271"/>
    <mergeCell ref="C270:C271"/>
    <mergeCell ref="D270:D271"/>
    <mergeCell ref="E270:E271"/>
    <mergeCell ref="F270:F271"/>
    <mergeCell ref="A268:A269"/>
    <mergeCell ref="B268:B269"/>
    <mergeCell ref="C268:C269"/>
    <mergeCell ref="D268:D269"/>
    <mergeCell ref="E268:E269"/>
    <mergeCell ref="F268:F269"/>
    <mergeCell ref="A266:A267"/>
    <mergeCell ref="B266:B267"/>
    <mergeCell ref="C266:C267"/>
    <mergeCell ref="D266:D267"/>
    <mergeCell ref="E266:E267"/>
    <mergeCell ref="F266:F267"/>
    <mergeCell ref="A264:A265"/>
    <mergeCell ref="B264:B265"/>
    <mergeCell ref="C264:C265"/>
    <mergeCell ref="D264:D265"/>
    <mergeCell ref="E264:E265"/>
    <mergeCell ref="F264:F265"/>
    <mergeCell ref="A262:A263"/>
    <mergeCell ref="B262:B263"/>
    <mergeCell ref="C262:C263"/>
    <mergeCell ref="D262:D263"/>
    <mergeCell ref="E262:E263"/>
    <mergeCell ref="F262:F263"/>
    <mergeCell ref="A260:A261"/>
    <mergeCell ref="B260:B261"/>
    <mergeCell ref="C260:C261"/>
    <mergeCell ref="D260:D261"/>
    <mergeCell ref="E260:E261"/>
    <mergeCell ref="F260:F261"/>
    <mergeCell ref="A258:A259"/>
    <mergeCell ref="B258:B259"/>
    <mergeCell ref="C258:C259"/>
    <mergeCell ref="D258:D259"/>
    <mergeCell ref="E258:E259"/>
    <mergeCell ref="F258:F259"/>
    <mergeCell ref="A256:A257"/>
    <mergeCell ref="B256:B257"/>
    <mergeCell ref="C256:C257"/>
    <mergeCell ref="D256:D257"/>
    <mergeCell ref="E256:E257"/>
    <mergeCell ref="F256:F257"/>
    <mergeCell ref="A254:A255"/>
    <mergeCell ref="B254:B255"/>
    <mergeCell ref="C254:C255"/>
    <mergeCell ref="D254:D255"/>
    <mergeCell ref="E254:E255"/>
    <mergeCell ref="F254:F255"/>
    <mergeCell ref="A252:A253"/>
    <mergeCell ref="B252:B253"/>
    <mergeCell ref="C252:C253"/>
    <mergeCell ref="D252:D253"/>
    <mergeCell ref="E252:E253"/>
    <mergeCell ref="F252:F253"/>
    <mergeCell ref="A250:A251"/>
    <mergeCell ref="B250:B251"/>
    <mergeCell ref="C250:C251"/>
    <mergeCell ref="D250:D251"/>
    <mergeCell ref="E250:E251"/>
    <mergeCell ref="F250:F251"/>
    <mergeCell ref="A248:A249"/>
    <mergeCell ref="B248:B249"/>
    <mergeCell ref="C248:C249"/>
    <mergeCell ref="D248:D249"/>
    <mergeCell ref="E248:E249"/>
    <mergeCell ref="F248:F249"/>
    <mergeCell ref="A246:A247"/>
    <mergeCell ref="B246:B247"/>
    <mergeCell ref="C246:C247"/>
    <mergeCell ref="D246:D247"/>
    <mergeCell ref="E246:E247"/>
    <mergeCell ref="F246:F247"/>
    <mergeCell ref="A244:A245"/>
    <mergeCell ref="B244:B245"/>
    <mergeCell ref="C244:C245"/>
    <mergeCell ref="D244:D245"/>
    <mergeCell ref="E244:E245"/>
    <mergeCell ref="F244:F245"/>
    <mergeCell ref="A242:A243"/>
    <mergeCell ref="B242:B243"/>
    <mergeCell ref="C242:C243"/>
    <mergeCell ref="D242:D243"/>
    <mergeCell ref="E242:E243"/>
    <mergeCell ref="F242:F243"/>
    <mergeCell ref="A240:A241"/>
    <mergeCell ref="B240:B241"/>
    <mergeCell ref="C240:C241"/>
    <mergeCell ref="D240:D241"/>
    <mergeCell ref="E240:E241"/>
    <mergeCell ref="F240:F241"/>
    <mergeCell ref="A238:A239"/>
    <mergeCell ref="B238:B239"/>
    <mergeCell ref="C238:C239"/>
    <mergeCell ref="D238:D239"/>
    <mergeCell ref="E238:E239"/>
    <mergeCell ref="F238:F239"/>
    <mergeCell ref="A236:A237"/>
    <mergeCell ref="B236:B237"/>
    <mergeCell ref="C236:C237"/>
    <mergeCell ref="D236:D237"/>
    <mergeCell ref="E236:E237"/>
    <mergeCell ref="F236:F237"/>
    <mergeCell ref="A234:A235"/>
    <mergeCell ref="B234:B235"/>
    <mergeCell ref="C234:C235"/>
    <mergeCell ref="D234:D235"/>
    <mergeCell ref="E234:E235"/>
    <mergeCell ref="F234:F235"/>
    <mergeCell ref="A232:A233"/>
    <mergeCell ref="B232:B233"/>
    <mergeCell ref="C232:C233"/>
    <mergeCell ref="D232:D233"/>
    <mergeCell ref="E232:E233"/>
    <mergeCell ref="F232:F233"/>
    <mergeCell ref="A230:A231"/>
    <mergeCell ref="B230:B231"/>
    <mergeCell ref="C230:C231"/>
    <mergeCell ref="D230:D231"/>
    <mergeCell ref="E230:E231"/>
    <mergeCell ref="F230:F231"/>
    <mergeCell ref="A228:A229"/>
    <mergeCell ref="B228:B229"/>
    <mergeCell ref="C228:C229"/>
    <mergeCell ref="D228:D229"/>
    <mergeCell ref="E228:E229"/>
    <mergeCell ref="F228:F229"/>
    <mergeCell ref="A226:A227"/>
    <mergeCell ref="B226:B227"/>
    <mergeCell ref="C226:C227"/>
    <mergeCell ref="D226:D227"/>
    <mergeCell ref="E226:E227"/>
    <mergeCell ref="F226:F227"/>
    <mergeCell ref="A224:A225"/>
    <mergeCell ref="B224:B225"/>
    <mergeCell ref="C224:C225"/>
    <mergeCell ref="D224:D225"/>
    <mergeCell ref="E224:E225"/>
    <mergeCell ref="F224:F225"/>
    <mergeCell ref="A222:A223"/>
    <mergeCell ref="B222:B223"/>
    <mergeCell ref="C222:C223"/>
    <mergeCell ref="D222:D223"/>
    <mergeCell ref="E222:E223"/>
    <mergeCell ref="F222:F223"/>
    <mergeCell ref="A220:A221"/>
    <mergeCell ref="B220:B221"/>
    <mergeCell ref="C220:C221"/>
    <mergeCell ref="D220:D221"/>
    <mergeCell ref="E220:E221"/>
    <mergeCell ref="F220:F221"/>
    <mergeCell ref="A218:A219"/>
    <mergeCell ref="B218:B219"/>
    <mergeCell ref="C218:C219"/>
    <mergeCell ref="D218:D219"/>
    <mergeCell ref="E218:E219"/>
    <mergeCell ref="F218:F219"/>
    <mergeCell ref="A216:A217"/>
    <mergeCell ref="B216:B217"/>
    <mergeCell ref="C216:C217"/>
    <mergeCell ref="D216:D217"/>
    <mergeCell ref="E216:E217"/>
    <mergeCell ref="F216:F217"/>
    <mergeCell ref="A214:A215"/>
    <mergeCell ref="B214:B215"/>
    <mergeCell ref="C214:C215"/>
    <mergeCell ref="D214:D215"/>
    <mergeCell ref="E214:E215"/>
    <mergeCell ref="F214:F215"/>
    <mergeCell ref="A212:A213"/>
    <mergeCell ref="B212:B213"/>
    <mergeCell ref="C212:C213"/>
    <mergeCell ref="D212:D213"/>
    <mergeCell ref="E212:E213"/>
    <mergeCell ref="F212:F213"/>
    <mergeCell ref="A210:A211"/>
    <mergeCell ref="B210:B211"/>
    <mergeCell ref="C210:C211"/>
    <mergeCell ref="D210:D211"/>
    <mergeCell ref="E210:E211"/>
    <mergeCell ref="F210:F211"/>
    <mergeCell ref="A208:A209"/>
    <mergeCell ref="B208:B209"/>
    <mergeCell ref="C208:C209"/>
    <mergeCell ref="D208:D209"/>
    <mergeCell ref="E208:E209"/>
    <mergeCell ref="F208:F209"/>
    <mergeCell ref="A206:A207"/>
    <mergeCell ref="B206:B207"/>
    <mergeCell ref="C206:C207"/>
    <mergeCell ref="D206:D207"/>
    <mergeCell ref="E206:E207"/>
    <mergeCell ref="F206:F207"/>
    <mergeCell ref="A204:A205"/>
    <mergeCell ref="B204:B205"/>
    <mergeCell ref="C204:C205"/>
    <mergeCell ref="D204:D205"/>
    <mergeCell ref="E204:E205"/>
    <mergeCell ref="F204:F205"/>
    <mergeCell ref="A202:A203"/>
    <mergeCell ref="B202:B203"/>
    <mergeCell ref="C202:C203"/>
    <mergeCell ref="D202:D203"/>
    <mergeCell ref="E202:E203"/>
    <mergeCell ref="F202:F203"/>
    <mergeCell ref="A200:A201"/>
    <mergeCell ref="B200:B201"/>
    <mergeCell ref="C200:C201"/>
    <mergeCell ref="D200:D201"/>
    <mergeCell ref="E200:E201"/>
    <mergeCell ref="F200:F201"/>
    <mergeCell ref="A198:A199"/>
    <mergeCell ref="B198:B199"/>
    <mergeCell ref="C198:C199"/>
    <mergeCell ref="D198:D199"/>
    <mergeCell ref="E198:E199"/>
    <mergeCell ref="F198:F199"/>
    <mergeCell ref="A196:A197"/>
    <mergeCell ref="B196:B197"/>
    <mergeCell ref="C196:C197"/>
    <mergeCell ref="D196:D197"/>
    <mergeCell ref="E196:E197"/>
    <mergeCell ref="F196:F197"/>
    <mergeCell ref="A194:A195"/>
    <mergeCell ref="B194:B195"/>
    <mergeCell ref="C194:C195"/>
    <mergeCell ref="D194:D195"/>
    <mergeCell ref="E194:E195"/>
    <mergeCell ref="F194:F195"/>
    <mergeCell ref="A192:A193"/>
    <mergeCell ref="B192:B193"/>
    <mergeCell ref="C192:C193"/>
    <mergeCell ref="D192:D193"/>
    <mergeCell ref="E192:E193"/>
    <mergeCell ref="F192:F193"/>
    <mergeCell ref="A190:A191"/>
    <mergeCell ref="B190:B191"/>
    <mergeCell ref="C190:C191"/>
    <mergeCell ref="D190:D191"/>
    <mergeCell ref="E190:E191"/>
    <mergeCell ref="F190:F191"/>
    <mergeCell ref="A188:A189"/>
    <mergeCell ref="B188:B189"/>
    <mergeCell ref="C188:C189"/>
    <mergeCell ref="D188:D189"/>
    <mergeCell ref="E188:E189"/>
    <mergeCell ref="F188:F189"/>
    <mergeCell ref="A186:A187"/>
    <mergeCell ref="B186:B187"/>
    <mergeCell ref="C186:C187"/>
    <mergeCell ref="D186:D187"/>
    <mergeCell ref="E186:E187"/>
    <mergeCell ref="F186:F187"/>
    <mergeCell ref="A184:A185"/>
    <mergeCell ref="B184:B185"/>
    <mergeCell ref="C184:C185"/>
    <mergeCell ref="D184:D185"/>
    <mergeCell ref="E184:E185"/>
    <mergeCell ref="F184:F185"/>
    <mergeCell ref="A182:A183"/>
    <mergeCell ref="B182:B183"/>
    <mergeCell ref="C182:C183"/>
    <mergeCell ref="D182:D183"/>
    <mergeCell ref="E182:E183"/>
    <mergeCell ref="F182:F183"/>
    <mergeCell ref="A180:A181"/>
    <mergeCell ref="B180:B181"/>
    <mergeCell ref="C180:C181"/>
    <mergeCell ref="D180:D181"/>
    <mergeCell ref="E180:E181"/>
    <mergeCell ref="F180:F181"/>
    <mergeCell ref="A178:A179"/>
    <mergeCell ref="B178:B179"/>
    <mergeCell ref="C178:C179"/>
    <mergeCell ref="D178:D179"/>
    <mergeCell ref="E178:E179"/>
    <mergeCell ref="F178:F179"/>
    <mergeCell ref="A176:A177"/>
    <mergeCell ref="B176:B177"/>
    <mergeCell ref="C176:C177"/>
    <mergeCell ref="D176:D177"/>
    <mergeCell ref="E176:E177"/>
    <mergeCell ref="F176:F177"/>
    <mergeCell ref="A174:A175"/>
    <mergeCell ref="B174:B175"/>
    <mergeCell ref="C174:C175"/>
    <mergeCell ref="D174:D175"/>
    <mergeCell ref="E174:E175"/>
    <mergeCell ref="F174:F175"/>
    <mergeCell ref="A172:A173"/>
    <mergeCell ref="B172:B173"/>
    <mergeCell ref="C172:C173"/>
    <mergeCell ref="D172:D173"/>
    <mergeCell ref="E172:E173"/>
    <mergeCell ref="F172:F173"/>
    <mergeCell ref="A170:A171"/>
    <mergeCell ref="B170:B171"/>
    <mergeCell ref="C170:C171"/>
    <mergeCell ref="D170:D171"/>
    <mergeCell ref="E170:E171"/>
    <mergeCell ref="F170:F171"/>
    <mergeCell ref="A168:A169"/>
    <mergeCell ref="B168:B169"/>
    <mergeCell ref="C168:C169"/>
    <mergeCell ref="D168:D169"/>
    <mergeCell ref="E168:E169"/>
    <mergeCell ref="F168:F169"/>
    <mergeCell ref="A166:A167"/>
    <mergeCell ref="B166:B167"/>
    <mergeCell ref="C166:C167"/>
    <mergeCell ref="D166:D167"/>
    <mergeCell ref="E166:E167"/>
    <mergeCell ref="F166:F167"/>
    <mergeCell ref="A164:A165"/>
    <mergeCell ref="B164:B165"/>
    <mergeCell ref="C164:C165"/>
    <mergeCell ref="D164:D165"/>
    <mergeCell ref="E164:E165"/>
    <mergeCell ref="F164:F165"/>
    <mergeCell ref="A162:A163"/>
    <mergeCell ref="B162:B163"/>
    <mergeCell ref="C162:C163"/>
    <mergeCell ref="D162:D163"/>
    <mergeCell ref="E162:E163"/>
    <mergeCell ref="F162:F163"/>
    <mergeCell ref="A160:A161"/>
    <mergeCell ref="B160:B161"/>
    <mergeCell ref="C160:C161"/>
    <mergeCell ref="D160:D161"/>
    <mergeCell ref="E160:E161"/>
    <mergeCell ref="F160:F161"/>
    <mergeCell ref="A158:A159"/>
    <mergeCell ref="B158:B159"/>
    <mergeCell ref="C158:C159"/>
    <mergeCell ref="D158:D159"/>
    <mergeCell ref="E158:E159"/>
    <mergeCell ref="F158:F159"/>
    <mergeCell ref="A156:A157"/>
    <mergeCell ref="B156:B157"/>
    <mergeCell ref="C156:C157"/>
    <mergeCell ref="D156:D157"/>
    <mergeCell ref="E156:E157"/>
    <mergeCell ref="F156:F157"/>
    <mergeCell ref="A154:A155"/>
    <mergeCell ref="B154:B155"/>
    <mergeCell ref="C154:C155"/>
    <mergeCell ref="D154:D155"/>
    <mergeCell ref="E154:E155"/>
    <mergeCell ref="F154:F155"/>
    <mergeCell ref="A152:A153"/>
    <mergeCell ref="B152:B153"/>
    <mergeCell ref="C152:C153"/>
    <mergeCell ref="D152:D153"/>
    <mergeCell ref="E152:E153"/>
    <mergeCell ref="F152:F153"/>
    <mergeCell ref="A150:A151"/>
    <mergeCell ref="B150:B151"/>
    <mergeCell ref="C150:C151"/>
    <mergeCell ref="D150:D151"/>
    <mergeCell ref="E150:E151"/>
    <mergeCell ref="F150:F151"/>
    <mergeCell ref="A148:A149"/>
    <mergeCell ref="B148:B149"/>
    <mergeCell ref="C148:C149"/>
    <mergeCell ref="D148:D149"/>
    <mergeCell ref="E148:E149"/>
    <mergeCell ref="F148:F149"/>
    <mergeCell ref="A146:A147"/>
    <mergeCell ref="B146:B147"/>
    <mergeCell ref="C146:C147"/>
    <mergeCell ref="D146:D147"/>
    <mergeCell ref="E146:E147"/>
    <mergeCell ref="F146:F147"/>
    <mergeCell ref="A144:A145"/>
    <mergeCell ref="B144:B145"/>
    <mergeCell ref="C144:C145"/>
    <mergeCell ref="D144:D145"/>
    <mergeCell ref="E144:E145"/>
    <mergeCell ref="F144:F145"/>
    <mergeCell ref="A142:A143"/>
    <mergeCell ref="B142:B143"/>
    <mergeCell ref="C142:C143"/>
    <mergeCell ref="D142:D143"/>
    <mergeCell ref="E142:E143"/>
    <mergeCell ref="F142:F143"/>
    <mergeCell ref="A140:A141"/>
    <mergeCell ref="B140:B141"/>
    <mergeCell ref="C140:C141"/>
    <mergeCell ref="D140:D141"/>
    <mergeCell ref="E140:E141"/>
    <mergeCell ref="F140:F141"/>
    <mergeCell ref="A138:A139"/>
    <mergeCell ref="B138:B139"/>
    <mergeCell ref="C138:C139"/>
    <mergeCell ref="D138:D139"/>
    <mergeCell ref="E138:E139"/>
    <mergeCell ref="F138:F139"/>
    <mergeCell ref="A136:A137"/>
    <mergeCell ref="B136:B137"/>
    <mergeCell ref="C136:C137"/>
    <mergeCell ref="D136:D137"/>
    <mergeCell ref="E136:E137"/>
    <mergeCell ref="F136:F137"/>
    <mergeCell ref="A134:A135"/>
    <mergeCell ref="B134:B135"/>
    <mergeCell ref="C134:C135"/>
    <mergeCell ref="D134:D135"/>
    <mergeCell ref="E134:E135"/>
    <mergeCell ref="F134:F135"/>
    <mergeCell ref="A132:A133"/>
    <mergeCell ref="B132:B133"/>
    <mergeCell ref="C132:C133"/>
    <mergeCell ref="D132:D133"/>
    <mergeCell ref="E132:E133"/>
    <mergeCell ref="F132:F133"/>
    <mergeCell ref="A130:A131"/>
    <mergeCell ref="B130:B131"/>
    <mergeCell ref="C130:C131"/>
    <mergeCell ref="D130:D131"/>
    <mergeCell ref="E130:E131"/>
    <mergeCell ref="F130:F131"/>
    <mergeCell ref="A128:A129"/>
    <mergeCell ref="B128:B129"/>
    <mergeCell ref="C128:C129"/>
    <mergeCell ref="D128:D129"/>
    <mergeCell ref="E128:E129"/>
    <mergeCell ref="F128:F129"/>
    <mergeCell ref="A126:A127"/>
    <mergeCell ref="B126:B127"/>
    <mergeCell ref="C126:C127"/>
    <mergeCell ref="D126:D127"/>
    <mergeCell ref="E126:E127"/>
    <mergeCell ref="F126:F127"/>
    <mergeCell ref="A124:A125"/>
    <mergeCell ref="B124:B125"/>
    <mergeCell ref="C124:C125"/>
    <mergeCell ref="D124:D125"/>
    <mergeCell ref="E124:E125"/>
    <mergeCell ref="F124:F125"/>
    <mergeCell ref="A122:A123"/>
    <mergeCell ref="B122:B123"/>
    <mergeCell ref="C122:C123"/>
    <mergeCell ref="D122:D123"/>
    <mergeCell ref="E122:E123"/>
    <mergeCell ref="F122:F123"/>
    <mergeCell ref="A120:A121"/>
    <mergeCell ref="B120:B121"/>
    <mergeCell ref="C120:C121"/>
    <mergeCell ref="D120:D121"/>
    <mergeCell ref="E120:E121"/>
    <mergeCell ref="F120:F121"/>
    <mergeCell ref="A118:A119"/>
    <mergeCell ref="B118:B119"/>
    <mergeCell ref="C118:C119"/>
    <mergeCell ref="D118:D119"/>
    <mergeCell ref="E118:E119"/>
    <mergeCell ref="F118:F119"/>
    <mergeCell ref="A116:A117"/>
    <mergeCell ref="B116:B117"/>
    <mergeCell ref="C116:C117"/>
    <mergeCell ref="D116:D117"/>
    <mergeCell ref="E116:E117"/>
    <mergeCell ref="F116:F117"/>
    <mergeCell ref="A114:A115"/>
    <mergeCell ref="B114:B115"/>
    <mergeCell ref="C114:C115"/>
    <mergeCell ref="D114:D115"/>
    <mergeCell ref="E114:E115"/>
    <mergeCell ref="F114:F115"/>
    <mergeCell ref="A112:A113"/>
    <mergeCell ref="B112:B113"/>
    <mergeCell ref="C112:C113"/>
    <mergeCell ref="D112:D113"/>
    <mergeCell ref="E112:E113"/>
    <mergeCell ref="F112:F113"/>
    <mergeCell ref="A110:A111"/>
    <mergeCell ref="B110:B111"/>
    <mergeCell ref="C110:C111"/>
    <mergeCell ref="D110:D111"/>
    <mergeCell ref="E110:E111"/>
    <mergeCell ref="F110:F111"/>
    <mergeCell ref="A108:A109"/>
    <mergeCell ref="B108:B109"/>
    <mergeCell ref="C108:C109"/>
    <mergeCell ref="D108:D109"/>
    <mergeCell ref="E108:E109"/>
    <mergeCell ref="F108:F109"/>
    <mergeCell ref="A106:A107"/>
    <mergeCell ref="B106:B107"/>
    <mergeCell ref="C106:C107"/>
    <mergeCell ref="D106:D107"/>
    <mergeCell ref="E106:E107"/>
    <mergeCell ref="F106:F107"/>
    <mergeCell ref="A104:A105"/>
    <mergeCell ref="B104:B105"/>
    <mergeCell ref="C104:C105"/>
    <mergeCell ref="D104:D105"/>
    <mergeCell ref="E104:E105"/>
    <mergeCell ref="F104:F105"/>
    <mergeCell ref="A102:A103"/>
    <mergeCell ref="B102:B103"/>
    <mergeCell ref="C102:C103"/>
    <mergeCell ref="D102:D103"/>
    <mergeCell ref="E102:E103"/>
    <mergeCell ref="F102:F103"/>
    <mergeCell ref="A100:A101"/>
    <mergeCell ref="B100:B101"/>
    <mergeCell ref="C100:C101"/>
    <mergeCell ref="D100:D101"/>
    <mergeCell ref="E100:E101"/>
    <mergeCell ref="F100:F101"/>
    <mergeCell ref="A98:A99"/>
    <mergeCell ref="B98:B99"/>
    <mergeCell ref="C98:C99"/>
    <mergeCell ref="D98:D99"/>
    <mergeCell ref="E98:E99"/>
    <mergeCell ref="F98:F99"/>
    <mergeCell ref="A96:A97"/>
    <mergeCell ref="B96:B97"/>
    <mergeCell ref="C96:C97"/>
    <mergeCell ref="D96:D97"/>
    <mergeCell ref="E96:E97"/>
    <mergeCell ref="F96:F97"/>
    <mergeCell ref="A94:A95"/>
    <mergeCell ref="B94:B95"/>
    <mergeCell ref="C94:C95"/>
    <mergeCell ref="D94:D95"/>
    <mergeCell ref="E94:E95"/>
    <mergeCell ref="F94:F95"/>
    <mergeCell ref="A92:A93"/>
    <mergeCell ref="B92:B93"/>
    <mergeCell ref="C92:C93"/>
    <mergeCell ref="D92:D93"/>
    <mergeCell ref="E92:E93"/>
    <mergeCell ref="F92:F93"/>
    <mergeCell ref="A90:A91"/>
    <mergeCell ref="B90:B91"/>
    <mergeCell ref="C90:C91"/>
    <mergeCell ref="D90:D91"/>
    <mergeCell ref="E90:E91"/>
    <mergeCell ref="F90:F91"/>
    <mergeCell ref="A88:A89"/>
    <mergeCell ref="B88:B89"/>
    <mergeCell ref="C88:C89"/>
    <mergeCell ref="D88:D89"/>
    <mergeCell ref="E88:E89"/>
    <mergeCell ref="F88:F89"/>
    <mergeCell ref="A86:A87"/>
    <mergeCell ref="B86:B87"/>
    <mergeCell ref="C86:C87"/>
    <mergeCell ref="D86:D87"/>
    <mergeCell ref="E86:E87"/>
    <mergeCell ref="F86:F87"/>
    <mergeCell ref="A84:A85"/>
    <mergeCell ref="B84:B85"/>
    <mergeCell ref="C84:C85"/>
    <mergeCell ref="D84:D85"/>
    <mergeCell ref="E84:E85"/>
    <mergeCell ref="F84:F85"/>
    <mergeCell ref="A82:A83"/>
    <mergeCell ref="B82:B83"/>
    <mergeCell ref="C82:C83"/>
    <mergeCell ref="D82:D83"/>
    <mergeCell ref="E82:E83"/>
    <mergeCell ref="F82:F83"/>
    <mergeCell ref="A80:A81"/>
    <mergeCell ref="B80:B81"/>
    <mergeCell ref="C80:C81"/>
    <mergeCell ref="D80:D81"/>
    <mergeCell ref="E80:E81"/>
    <mergeCell ref="F80:F81"/>
    <mergeCell ref="A78:A79"/>
    <mergeCell ref="B78:B79"/>
    <mergeCell ref="C78:C79"/>
    <mergeCell ref="D78:D79"/>
    <mergeCell ref="E78:E79"/>
    <mergeCell ref="F78:F79"/>
    <mergeCell ref="A76:A77"/>
    <mergeCell ref="B76:B77"/>
    <mergeCell ref="C76:C77"/>
    <mergeCell ref="D76:D77"/>
    <mergeCell ref="E76:E77"/>
    <mergeCell ref="F76:F77"/>
    <mergeCell ref="A74:A75"/>
    <mergeCell ref="B74:B75"/>
    <mergeCell ref="C74:C75"/>
    <mergeCell ref="D74:D75"/>
    <mergeCell ref="E74:E75"/>
    <mergeCell ref="F74:F75"/>
    <mergeCell ref="A72:A73"/>
    <mergeCell ref="B72:B73"/>
    <mergeCell ref="C72:C73"/>
    <mergeCell ref="D72:D73"/>
    <mergeCell ref="E72:E73"/>
    <mergeCell ref="F72:F73"/>
    <mergeCell ref="A70:A71"/>
    <mergeCell ref="B70:B71"/>
    <mergeCell ref="C70:C71"/>
    <mergeCell ref="D70:D71"/>
    <mergeCell ref="E70:E71"/>
    <mergeCell ref="F70:F71"/>
    <mergeCell ref="A68:A69"/>
    <mergeCell ref="B68:B69"/>
    <mergeCell ref="C68:C69"/>
    <mergeCell ref="D68:D69"/>
    <mergeCell ref="E68:E69"/>
    <mergeCell ref="F68:F69"/>
    <mergeCell ref="A66:A67"/>
    <mergeCell ref="B66:B67"/>
    <mergeCell ref="C66:C67"/>
    <mergeCell ref="D66:D67"/>
    <mergeCell ref="E66:E67"/>
    <mergeCell ref="F66:F67"/>
    <mergeCell ref="A64:A65"/>
    <mergeCell ref="B64:B65"/>
    <mergeCell ref="C64:C65"/>
    <mergeCell ref="D64:D65"/>
    <mergeCell ref="E64:E65"/>
    <mergeCell ref="F64:F65"/>
    <mergeCell ref="A62:A63"/>
    <mergeCell ref="B62:B63"/>
    <mergeCell ref="C62:C63"/>
    <mergeCell ref="D62:D63"/>
    <mergeCell ref="E62:E63"/>
    <mergeCell ref="F62:F63"/>
    <mergeCell ref="A60:A61"/>
    <mergeCell ref="B60:B61"/>
    <mergeCell ref="C60:C61"/>
    <mergeCell ref="D60:D61"/>
    <mergeCell ref="E60:E61"/>
    <mergeCell ref="F60:F61"/>
    <mergeCell ref="A58:A59"/>
    <mergeCell ref="B58:B59"/>
    <mergeCell ref="C58:C59"/>
    <mergeCell ref="D58:D59"/>
    <mergeCell ref="E58:E59"/>
    <mergeCell ref="F58:F59"/>
    <mergeCell ref="A56:A57"/>
    <mergeCell ref="B56:B57"/>
    <mergeCell ref="C56:C57"/>
    <mergeCell ref="D56:D57"/>
    <mergeCell ref="E56:E57"/>
    <mergeCell ref="F56:F57"/>
    <mergeCell ref="A54:A55"/>
    <mergeCell ref="B54:B55"/>
    <mergeCell ref="C54:C55"/>
    <mergeCell ref="D54:D55"/>
    <mergeCell ref="E54:E55"/>
    <mergeCell ref="F54:F55"/>
    <mergeCell ref="A52:A53"/>
    <mergeCell ref="B52:B53"/>
    <mergeCell ref="C52:C53"/>
    <mergeCell ref="D52:D53"/>
    <mergeCell ref="E52:E53"/>
    <mergeCell ref="F52:F53"/>
    <mergeCell ref="A50:A51"/>
    <mergeCell ref="B50:B51"/>
    <mergeCell ref="C50:C51"/>
    <mergeCell ref="D50:D51"/>
    <mergeCell ref="E50:E51"/>
    <mergeCell ref="F50:F51"/>
    <mergeCell ref="A48:A49"/>
    <mergeCell ref="B48:B49"/>
    <mergeCell ref="C48:C49"/>
    <mergeCell ref="D48:D49"/>
    <mergeCell ref="E48:E49"/>
    <mergeCell ref="F48:F49"/>
    <mergeCell ref="A46:A47"/>
    <mergeCell ref="B46:B47"/>
    <mergeCell ref="C46:C47"/>
    <mergeCell ref="D46:D47"/>
    <mergeCell ref="E46:E47"/>
    <mergeCell ref="F46:F47"/>
    <mergeCell ref="A44:A45"/>
    <mergeCell ref="B44:B45"/>
    <mergeCell ref="C44:C45"/>
    <mergeCell ref="D44:D45"/>
    <mergeCell ref="E44:E45"/>
    <mergeCell ref="F44:F45"/>
    <mergeCell ref="A42:A43"/>
    <mergeCell ref="B42:B43"/>
    <mergeCell ref="C42:C43"/>
    <mergeCell ref="D42:D43"/>
    <mergeCell ref="E42:E43"/>
    <mergeCell ref="F42:F43"/>
    <mergeCell ref="A40:A41"/>
    <mergeCell ref="B40:B41"/>
    <mergeCell ref="C40:C41"/>
    <mergeCell ref="D40:D41"/>
    <mergeCell ref="E40:E41"/>
    <mergeCell ref="F40:F41"/>
    <mergeCell ref="A38:A39"/>
    <mergeCell ref="B38:B39"/>
    <mergeCell ref="C38:C39"/>
    <mergeCell ref="D38:D39"/>
    <mergeCell ref="E38:E39"/>
    <mergeCell ref="F38:F39"/>
    <mergeCell ref="A36:A37"/>
    <mergeCell ref="B36:B37"/>
    <mergeCell ref="C36:C37"/>
    <mergeCell ref="D36:D37"/>
    <mergeCell ref="E36:E37"/>
    <mergeCell ref="F36:F37"/>
    <mergeCell ref="A34:A35"/>
    <mergeCell ref="B34:B35"/>
    <mergeCell ref="C34:C35"/>
    <mergeCell ref="D34:D35"/>
    <mergeCell ref="E34:E35"/>
    <mergeCell ref="F34:F35"/>
    <mergeCell ref="A32:A33"/>
    <mergeCell ref="B32:B33"/>
    <mergeCell ref="C32:C33"/>
    <mergeCell ref="D32:D33"/>
    <mergeCell ref="E32:E33"/>
    <mergeCell ref="F32:F33"/>
    <mergeCell ref="A30:A31"/>
    <mergeCell ref="B30:B31"/>
    <mergeCell ref="C30:C31"/>
    <mergeCell ref="D30:D31"/>
    <mergeCell ref="E30:E31"/>
    <mergeCell ref="F30:F31"/>
    <mergeCell ref="A28:A29"/>
    <mergeCell ref="B28:B29"/>
    <mergeCell ref="C28:C29"/>
    <mergeCell ref="D28:D29"/>
    <mergeCell ref="E28:E29"/>
    <mergeCell ref="F28:F29"/>
    <mergeCell ref="A26:A27"/>
    <mergeCell ref="B26:B27"/>
    <mergeCell ref="C26:C27"/>
    <mergeCell ref="D26:D27"/>
    <mergeCell ref="E26:E27"/>
    <mergeCell ref="F26:F27"/>
    <mergeCell ref="A24:A25"/>
    <mergeCell ref="B24:B25"/>
    <mergeCell ref="C24:C25"/>
    <mergeCell ref="D24:D25"/>
    <mergeCell ref="E24:E25"/>
    <mergeCell ref="F24:F25"/>
    <mergeCell ref="A22:A23"/>
    <mergeCell ref="B22:B23"/>
    <mergeCell ref="C22:C23"/>
    <mergeCell ref="D22:D23"/>
    <mergeCell ref="E22:E23"/>
    <mergeCell ref="F22:F23"/>
    <mergeCell ref="A20:A21"/>
    <mergeCell ref="B20:B21"/>
    <mergeCell ref="C20:C21"/>
    <mergeCell ref="D20:D21"/>
    <mergeCell ref="E20:E21"/>
    <mergeCell ref="F20:F21"/>
    <mergeCell ref="A18:A19"/>
    <mergeCell ref="B18:B19"/>
    <mergeCell ref="C18:C19"/>
    <mergeCell ref="D18:D19"/>
    <mergeCell ref="E18:E19"/>
    <mergeCell ref="F18:F19"/>
    <mergeCell ref="A16:A17"/>
    <mergeCell ref="B16:B17"/>
    <mergeCell ref="C16:C17"/>
    <mergeCell ref="D16:D17"/>
    <mergeCell ref="E16:E17"/>
    <mergeCell ref="F16:F17"/>
    <mergeCell ref="A8:A9"/>
    <mergeCell ref="B8:B9"/>
    <mergeCell ref="C8:C9"/>
    <mergeCell ref="D8:D9"/>
    <mergeCell ref="E8:E9"/>
    <mergeCell ref="F8:F9"/>
    <mergeCell ref="B1:L1"/>
    <mergeCell ref="B2:L2"/>
    <mergeCell ref="A6:A7"/>
    <mergeCell ref="B6:B7"/>
    <mergeCell ref="C6:C7"/>
    <mergeCell ref="D6:D7"/>
    <mergeCell ref="E6:E7"/>
    <mergeCell ref="F6:F7"/>
    <mergeCell ref="A14:A15"/>
    <mergeCell ref="B14:B15"/>
    <mergeCell ref="C14:C15"/>
    <mergeCell ref="D14:D15"/>
    <mergeCell ref="E14:E15"/>
    <mergeCell ref="F14:F15"/>
    <mergeCell ref="A12:A13"/>
    <mergeCell ref="B12:B13"/>
    <mergeCell ref="C12:C13"/>
    <mergeCell ref="D12:D13"/>
    <mergeCell ref="E12:E13"/>
    <mergeCell ref="F12:F13"/>
    <mergeCell ref="A10:A11"/>
    <mergeCell ref="B10:B11"/>
    <mergeCell ref="C10:C11"/>
    <mergeCell ref="D10:D11"/>
    <mergeCell ref="E10:E11"/>
    <mergeCell ref="F10:F11"/>
    <mergeCell ref="N170:N171"/>
    <mergeCell ref="O170:O171"/>
    <mergeCell ref="P170:P171"/>
    <mergeCell ref="Q170:Q171"/>
    <mergeCell ref="R170:R171"/>
    <mergeCell ref="S170:S171"/>
    <mergeCell ref="AA170:AA171"/>
    <mergeCell ref="AB170:AB171"/>
    <mergeCell ref="AC170:AC171"/>
    <mergeCell ref="AD170:AD171"/>
    <mergeCell ref="AE170:AE171"/>
    <mergeCell ref="AF170:AF171"/>
    <mergeCell ref="AN170:AN171"/>
    <mergeCell ref="AO170:AO171"/>
    <mergeCell ref="AP170:AP171"/>
    <mergeCell ref="AQ170:AQ171"/>
    <mergeCell ref="AR170:AR171"/>
    <mergeCell ref="AS170:AS171"/>
    <mergeCell ref="BA170:BA171"/>
    <mergeCell ref="BB170:BB171"/>
    <mergeCell ref="BC170:BC171"/>
    <mergeCell ref="BD170:BD171"/>
    <mergeCell ref="BE170:BE171"/>
    <mergeCell ref="BF170:BF171"/>
    <mergeCell ref="BN170:BN171"/>
    <mergeCell ref="BO170:BO171"/>
    <mergeCell ref="BP170:BP171"/>
    <mergeCell ref="BQ170:BQ171"/>
    <mergeCell ref="BR170:BR171"/>
    <mergeCell ref="BS170:BS171"/>
    <mergeCell ref="CA170:CA171"/>
    <mergeCell ref="CB170:CB171"/>
    <mergeCell ref="CC170:CC171"/>
    <mergeCell ref="CD170:CD171"/>
    <mergeCell ref="CE170:CE171"/>
    <mergeCell ref="CF170:CF171"/>
    <mergeCell ref="CN170:CN171"/>
    <mergeCell ref="CO170:CO171"/>
    <mergeCell ref="CP170:CP171"/>
    <mergeCell ref="CQ170:CQ171"/>
    <mergeCell ref="CR170:CR171"/>
    <mergeCell ref="CS170:CS171"/>
    <mergeCell ref="DA170:DA171"/>
    <mergeCell ref="DB170:DB171"/>
    <mergeCell ref="DC170:DC171"/>
    <mergeCell ref="DD170:DD171"/>
    <mergeCell ref="DE170:DE171"/>
    <mergeCell ref="DF170:DF171"/>
    <mergeCell ref="DN170:DN171"/>
    <mergeCell ref="DO170:DO171"/>
    <mergeCell ref="DP170:DP171"/>
    <mergeCell ref="DQ170:DQ171"/>
    <mergeCell ref="DR170:DR171"/>
    <mergeCell ref="DS170:DS171"/>
    <mergeCell ref="EA170:EA171"/>
    <mergeCell ref="EB170:EB171"/>
    <mergeCell ref="EC170:EC171"/>
    <mergeCell ref="ED170:ED171"/>
    <mergeCell ref="EE170:EE171"/>
    <mergeCell ref="EF170:EF171"/>
    <mergeCell ref="EN170:EN171"/>
    <mergeCell ref="EO170:EO171"/>
    <mergeCell ref="EP170:EP171"/>
    <mergeCell ref="EQ170:EQ171"/>
    <mergeCell ref="ER170:ER171"/>
    <mergeCell ref="ES170:ES171"/>
    <mergeCell ref="FA170:FA171"/>
    <mergeCell ref="FB170:FB171"/>
    <mergeCell ref="FC170:FC171"/>
    <mergeCell ref="FD170:FD171"/>
    <mergeCell ref="FE170:FE171"/>
    <mergeCell ref="FF170:FF171"/>
    <mergeCell ref="FN170:FN171"/>
    <mergeCell ref="FO170:FO171"/>
    <mergeCell ref="FP170:FP171"/>
    <mergeCell ref="FQ170:FQ171"/>
    <mergeCell ref="FR170:FR171"/>
    <mergeCell ref="FS170:FS171"/>
    <mergeCell ref="GA170:GA171"/>
    <mergeCell ref="GB170:GB171"/>
    <mergeCell ref="GC170:GC171"/>
    <mergeCell ref="GD170:GD171"/>
    <mergeCell ref="GE170:GE171"/>
    <mergeCell ref="GF170:GF171"/>
    <mergeCell ref="GN170:GN171"/>
    <mergeCell ref="GO170:GO171"/>
    <mergeCell ref="GP170:GP171"/>
    <mergeCell ref="GQ170:GQ171"/>
    <mergeCell ref="GR170:GR171"/>
    <mergeCell ref="GS170:GS171"/>
    <mergeCell ref="HA170:HA171"/>
    <mergeCell ref="HB170:HB171"/>
    <mergeCell ref="HC170:HC171"/>
    <mergeCell ref="HD170:HD171"/>
    <mergeCell ref="HE170:HE171"/>
    <mergeCell ref="HF170:HF171"/>
    <mergeCell ref="HN170:HN171"/>
    <mergeCell ref="HO170:HO171"/>
    <mergeCell ref="HP170:HP171"/>
    <mergeCell ref="HQ170:HQ171"/>
    <mergeCell ref="HR170:HR171"/>
    <mergeCell ref="HS170:HS171"/>
    <mergeCell ref="IA170:IA171"/>
    <mergeCell ref="IB170:IB171"/>
    <mergeCell ref="IC170:IC171"/>
    <mergeCell ref="ID170:ID171"/>
    <mergeCell ref="IE170:IE171"/>
    <mergeCell ref="IF170:IF171"/>
    <mergeCell ref="IN170:IN171"/>
    <mergeCell ref="IO170:IO171"/>
    <mergeCell ref="IP170:IP171"/>
    <mergeCell ref="IQ170:IQ171"/>
    <mergeCell ref="IR170:IR171"/>
    <mergeCell ref="IS170:IS171"/>
    <mergeCell ref="JA170:JA171"/>
    <mergeCell ref="JB170:JB171"/>
    <mergeCell ref="JC170:JC171"/>
    <mergeCell ref="JD170:JD171"/>
    <mergeCell ref="JE170:JE171"/>
    <mergeCell ref="JF170:JF171"/>
    <mergeCell ref="JN170:JN171"/>
    <mergeCell ref="JO170:JO171"/>
    <mergeCell ref="JP170:JP171"/>
    <mergeCell ref="JQ170:JQ171"/>
    <mergeCell ref="JR170:JR171"/>
    <mergeCell ref="JS170:JS171"/>
    <mergeCell ref="KA170:KA171"/>
    <mergeCell ref="KB170:KB171"/>
    <mergeCell ref="KC170:KC171"/>
    <mergeCell ref="KD170:KD171"/>
    <mergeCell ref="KE170:KE171"/>
    <mergeCell ref="KF170:KF171"/>
    <mergeCell ref="KN170:KN171"/>
    <mergeCell ref="KO170:KO171"/>
    <mergeCell ref="KP170:KP171"/>
    <mergeCell ref="KQ170:KQ171"/>
    <mergeCell ref="KR170:KR171"/>
    <mergeCell ref="KS170:KS171"/>
    <mergeCell ref="LA170:LA171"/>
    <mergeCell ref="LB170:LB171"/>
    <mergeCell ref="LC170:LC171"/>
    <mergeCell ref="LD170:LD171"/>
    <mergeCell ref="LE170:LE171"/>
    <mergeCell ref="LF170:LF171"/>
    <mergeCell ref="LN170:LN171"/>
    <mergeCell ref="LO170:LO171"/>
    <mergeCell ref="LP170:LP171"/>
    <mergeCell ref="LQ170:LQ171"/>
    <mergeCell ref="LR170:LR171"/>
    <mergeCell ref="LS170:LS171"/>
    <mergeCell ref="MA170:MA171"/>
    <mergeCell ref="MB170:MB171"/>
    <mergeCell ref="MC170:MC171"/>
    <mergeCell ref="MD170:MD171"/>
    <mergeCell ref="ME170:ME171"/>
    <mergeCell ref="MF170:MF171"/>
    <mergeCell ref="MN170:MN171"/>
    <mergeCell ref="MO170:MO171"/>
    <mergeCell ref="MP170:MP171"/>
    <mergeCell ref="MQ170:MQ171"/>
    <mergeCell ref="MR170:MR171"/>
    <mergeCell ref="MS170:MS171"/>
    <mergeCell ref="NA170:NA171"/>
    <mergeCell ref="NB170:NB171"/>
    <mergeCell ref="NC170:NC171"/>
    <mergeCell ref="ND170:ND171"/>
    <mergeCell ref="NE170:NE171"/>
    <mergeCell ref="NF170:NF171"/>
    <mergeCell ref="NN170:NN171"/>
    <mergeCell ref="NO170:NO171"/>
    <mergeCell ref="NP170:NP171"/>
    <mergeCell ref="NQ170:NQ171"/>
    <mergeCell ref="NR170:NR171"/>
    <mergeCell ref="NS170:NS171"/>
    <mergeCell ref="OA170:OA171"/>
    <mergeCell ref="OB170:OB171"/>
    <mergeCell ref="OC170:OC171"/>
    <mergeCell ref="OD170:OD171"/>
    <mergeCell ref="OE170:OE171"/>
    <mergeCell ref="OF170:OF171"/>
    <mergeCell ref="ON170:ON171"/>
    <mergeCell ref="OO170:OO171"/>
    <mergeCell ref="OP170:OP171"/>
    <mergeCell ref="OQ170:OQ171"/>
    <mergeCell ref="OR170:OR171"/>
    <mergeCell ref="OS170:OS171"/>
    <mergeCell ref="PA170:PA171"/>
    <mergeCell ref="PB170:PB171"/>
    <mergeCell ref="PC170:PC171"/>
    <mergeCell ref="PD170:PD171"/>
    <mergeCell ref="PE170:PE171"/>
    <mergeCell ref="PF170:PF171"/>
    <mergeCell ref="PN170:PN171"/>
    <mergeCell ref="PO170:PO171"/>
    <mergeCell ref="PP170:PP171"/>
    <mergeCell ref="PQ170:PQ171"/>
    <mergeCell ref="PR170:PR171"/>
    <mergeCell ref="PS170:PS171"/>
    <mergeCell ref="QA170:QA171"/>
    <mergeCell ref="QB170:QB171"/>
    <mergeCell ref="QC170:QC171"/>
    <mergeCell ref="QD170:QD171"/>
    <mergeCell ref="QE170:QE171"/>
    <mergeCell ref="QF170:QF171"/>
    <mergeCell ref="QN170:QN171"/>
    <mergeCell ref="QO170:QO171"/>
    <mergeCell ref="QP170:QP171"/>
    <mergeCell ref="QQ170:QQ171"/>
    <mergeCell ref="QR170:QR171"/>
    <mergeCell ref="QS170:QS171"/>
    <mergeCell ref="RA170:RA171"/>
    <mergeCell ref="RB170:RB171"/>
    <mergeCell ref="RC170:RC171"/>
    <mergeCell ref="RD170:RD171"/>
    <mergeCell ref="RE170:RE171"/>
    <mergeCell ref="RF170:RF171"/>
    <mergeCell ref="RN170:RN171"/>
    <mergeCell ref="RO170:RO171"/>
    <mergeCell ref="RP170:RP171"/>
    <mergeCell ref="RQ170:RQ171"/>
    <mergeCell ref="RR170:RR171"/>
    <mergeCell ref="RS170:RS171"/>
    <mergeCell ref="SA170:SA171"/>
    <mergeCell ref="SB170:SB171"/>
    <mergeCell ref="SC170:SC171"/>
    <mergeCell ref="SD170:SD171"/>
    <mergeCell ref="SE170:SE171"/>
    <mergeCell ref="SF170:SF171"/>
    <mergeCell ref="SN170:SN171"/>
    <mergeCell ref="SO170:SO171"/>
    <mergeCell ref="SP170:SP171"/>
    <mergeCell ref="SQ170:SQ171"/>
    <mergeCell ref="SR170:SR171"/>
    <mergeCell ref="SS170:SS171"/>
    <mergeCell ref="TA170:TA171"/>
    <mergeCell ref="TB170:TB171"/>
    <mergeCell ref="TC170:TC171"/>
    <mergeCell ref="TD170:TD171"/>
    <mergeCell ref="TE170:TE171"/>
    <mergeCell ref="TF170:TF171"/>
    <mergeCell ref="TN170:TN171"/>
    <mergeCell ref="TO170:TO171"/>
    <mergeCell ref="TP170:TP171"/>
    <mergeCell ref="TQ170:TQ171"/>
    <mergeCell ref="TR170:TR171"/>
    <mergeCell ref="TS170:TS171"/>
    <mergeCell ref="UA170:UA171"/>
    <mergeCell ref="UB170:UB171"/>
    <mergeCell ref="UC170:UC171"/>
    <mergeCell ref="UD170:UD171"/>
    <mergeCell ref="UE170:UE171"/>
    <mergeCell ref="UF170:UF171"/>
    <mergeCell ref="UN170:UN171"/>
    <mergeCell ref="UO170:UO171"/>
    <mergeCell ref="UP170:UP171"/>
    <mergeCell ref="UQ170:UQ171"/>
    <mergeCell ref="UR170:UR171"/>
    <mergeCell ref="US170:US171"/>
    <mergeCell ref="VA170:VA171"/>
    <mergeCell ref="VB170:VB171"/>
    <mergeCell ref="VC170:VC171"/>
    <mergeCell ref="VD170:VD171"/>
    <mergeCell ref="VE170:VE171"/>
    <mergeCell ref="VF170:VF171"/>
    <mergeCell ref="VN170:VN171"/>
    <mergeCell ref="VO170:VO171"/>
    <mergeCell ref="VP170:VP171"/>
    <mergeCell ref="VQ170:VQ171"/>
    <mergeCell ref="VR170:VR171"/>
    <mergeCell ref="VS170:VS171"/>
    <mergeCell ref="WA170:WA171"/>
    <mergeCell ref="WB170:WB171"/>
    <mergeCell ref="WC170:WC171"/>
    <mergeCell ref="WD170:WD171"/>
    <mergeCell ref="WE170:WE171"/>
    <mergeCell ref="WF170:WF171"/>
    <mergeCell ref="WN170:WN171"/>
    <mergeCell ref="WO170:WO171"/>
    <mergeCell ref="WP170:WP171"/>
    <mergeCell ref="WQ170:WQ171"/>
    <mergeCell ref="WR170:WR171"/>
    <mergeCell ref="WS170:WS171"/>
    <mergeCell ref="XA170:XA171"/>
    <mergeCell ref="XB170:XB171"/>
    <mergeCell ref="XC170:XC171"/>
    <mergeCell ref="XD170:XD171"/>
    <mergeCell ref="XE170:XE171"/>
    <mergeCell ref="XF170:XF171"/>
    <mergeCell ref="XN170:XN171"/>
    <mergeCell ref="XO170:XO171"/>
    <mergeCell ref="XP170:XP171"/>
    <mergeCell ref="XQ170:XQ171"/>
    <mergeCell ref="XR170:XR171"/>
    <mergeCell ref="XS170:XS171"/>
    <mergeCell ref="YA170:YA171"/>
    <mergeCell ref="YB170:YB171"/>
    <mergeCell ref="YC170:YC171"/>
    <mergeCell ref="YD170:YD171"/>
    <mergeCell ref="YE170:YE171"/>
    <mergeCell ref="YF170:YF171"/>
    <mergeCell ref="YN170:YN171"/>
    <mergeCell ref="YO170:YO171"/>
    <mergeCell ref="YP170:YP171"/>
    <mergeCell ref="YQ170:YQ171"/>
    <mergeCell ref="YR170:YR171"/>
    <mergeCell ref="YS170:YS171"/>
    <mergeCell ref="ZA170:ZA171"/>
    <mergeCell ref="ZB170:ZB171"/>
    <mergeCell ref="ZC170:ZC171"/>
    <mergeCell ref="ZD170:ZD171"/>
    <mergeCell ref="ZE170:ZE171"/>
    <mergeCell ref="ZF170:ZF171"/>
    <mergeCell ref="ZN170:ZN171"/>
    <mergeCell ref="ZO170:ZO171"/>
    <mergeCell ref="ZP170:ZP171"/>
    <mergeCell ref="ZQ170:ZQ171"/>
    <mergeCell ref="ZR170:ZR171"/>
    <mergeCell ref="ZS170:ZS171"/>
    <mergeCell ref="AAA170:AAA171"/>
    <mergeCell ref="AAB170:AAB171"/>
    <mergeCell ref="AAC170:AAC171"/>
    <mergeCell ref="AAD170:AAD171"/>
    <mergeCell ref="AAE170:AAE171"/>
    <mergeCell ref="AAF170:AAF171"/>
    <mergeCell ref="AAN170:AAN171"/>
    <mergeCell ref="AAO170:AAO171"/>
    <mergeCell ref="AAP170:AAP171"/>
    <mergeCell ref="AAQ170:AAQ171"/>
    <mergeCell ref="AAR170:AAR171"/>
    <mergeCell ref="AAS170:AAS171"/>
    <mergeCell ref="ABA170:ABA171"/>
    <mergeCell ref="ABB170:ABB171"/>
    <mergeCell ref="ABC170:ABC171"/>
    <mergeCell ref="ABD170:ABD171"/>
    <mergeCell ref="ABE170:ABE171"/>
    <mergeCell ref="ABF170:ABF171"/>
    <mergeCell ref="ABN170:ABN171"/>
    <mergeCell ref="ABO170:ABO171"/>
    <mergeCell ref="ABP170:ABP171"/>
    <mergeCell ref="ABQ170:ABQ171"/>
    <mergeCell ref="ABR170:ABR171"/>
    <mergeCell ref="ABS170:ABS171"/>
    <mergeCell ref="ACA170:ACA171"/>
    <mergeCell ref="ACB170:ACB171"/>
    <mergeCell ref="ACC170:ACC171"/>
    <mergeCell ref="ACD170:ACD171"/>
    <mergeCell ref="ACE170:ACE171"/>
    <mergeCell ref="ACF170:ACF171"/>
    <mergeCell ref="ACN170:ACN171"/>
    <mergeCell ref="ACO170:ACO171"/>
    <mergeCell ref="ACP170:ACP171"/>
    <mergeCell ref="ACQ170:ACQ171"/>
    <mergeCell ref="ACR170:ACR171"/>
    <mergeCell ref="ACS170:ACS171"/>
    <mergeCell ref="ADA170:ADA171"/>
    <mergeCell ref="ADB170:ADB171"/>
    <mergeCell ref="ADC170:ADC171"/>
    <mergeCell ref="ADD170:ADD171"/>
    <mergeCell ref="ADE170:ADE171"/>
    <mergeCell ref="ADF170:ADF171"/>
    <mergeCell ref="ADN170:ADN171"/>
    <mergeCell ref="ADO170:ADO171"/>
    <mergeCell ref="ADP170:ADP171"/>
    <mergeCell ref="ADQ170:ADQ171"/>
    <mergeCell ref="ADR170:ADR171"/>
    <mergeCell ref="ADS170:ADS171"/>
    <mergeCell ref="AEA170:AEA171"/>
    <mergeCell ref="AEB170:AEB171"/>
    <mergeCell ref="AEC170:AEC171"/>
    <mergeCell ref="AED170:AED171"/>
    <mergeCell ref="AEE170:AEE171"/>
    <mergeCell ref="AEF170:AEF171"/>
    <mergeCell ref="AEN170:AEN171"/>
    <mergeCell ref="AEO170:AEO171"/>
    <mergeCell ref="AEP170:AEP171"/>
    <mergeCell ref="AEQ170:AEQ171"/>
    <mergeCell ref="AER170:AER171"/>
    <mergeCell ref="AES170:AES171"/>
    <mergeCell ref="AFA170:AFA171"/>
    <mergeCell ref="AFB170:AFB171"/>
    <mergeCell ref="AFC170:AFC171"/>
    <mergeCell ref="AFD170:AFD171"/>
    <mergeCell ref="AFE170:AFE171"/>
    <mergeCell ref="AFF170:AFF171"/>
    <mergeCell ref="AFN170:AFN171"/>
    <mergeCell ref="AFO170:AFO171"/>
    <mergeCell ref="AFP170:AFP171"/>
    <mergeCell ref="AFQ170:AFQ171"/>
    <mergeCell ref="AFR170:AFR171"/>
    <mergeCell ref="AFS170:AFS171"/>
    <mergeCell ref="AGA170:AGA171"/>
    <mergeCell ref="AGB170:AGB171"/>
    <mergeCell ref="AGC170:AGC171"/>
    <mergeCell ref="AGD170:AGD171"/>
    <mergeCell ref="AGE170:AGE171"/>
    <mergeCell ref="AGF170:AGF171"/>
    <mergeCell ref="AGN170:AGN171"/>
    <mergeCell ref="AGO170:AGO171"/>
    <mergeCell ref="AGP170:AGP171"/>
    <mergeCell ref="AGQ170:AGQ171"/>
    <mergeCell ref="AGR170:AGR171"/>
    <mergeCell ref="AGS170:AGS171"/>
    <mergeCell ref="AHA170:AHA171"/>
    <mergeCell ref="AHB170:AHB171"/>
    <mergeCell ref="AHC170:AHC171"/>
    <mergeCell ref="AHD170:AHD171"/>
    <mergeCell ref="AHE170:AHE171"/>
    <mergeCell ref="AHF170:AHF171"/>
    <mergeCell ref="AHN170:AHN171"/>
    <mergeCell ref="AHO170:AHO171"/>
    <mergeCell ref="AHP170:AHP171"/>
    <mergeCell ref="AHQ170:AHQ171"/>
    <mergeCell ref="AHR170:AHR171"/>
    <mergeCell ref="AHS170:AHS171"/>
    <mergeCell ref="AIA170:AIA171"/>
    <mergeCell ref="AIB170:AIB171"/>
    <mergeCell ref="AIC170:AIC171"/>
    <mergeCell ref="AID170:AID171"/>
    <mergeCell ref="AIE170:AIE171"/>
    <mergeCell ref="AIF170:AIF171"/>
    <mergeCell ref="AIN170:AIN171"/>
    <mergeCell ref="AIO170:AIO171"/>
    <mergeCell ref="AIP170:AIP171"/>
    <mergeCell ref="AIQ170:AIQ171"/>
    <mergeCell ref="AIR170:AIR171"/>
    <mergeCell ref="AIS170:AIS171"/>
    <mergeCell ref="AJA170:AJA171"/>
    <mergeCell ref="AJB170:AJB171"/>
    <mergeCell ref="AJC170:AJC171"/>
    <mergeCell ref="AJD170:AJD171"/>
    <mergeCell ref="AJE170:AJE171"/>
    <mergeCell ref="AJF170:AJF171"/>
    <mergeCell ref="AJN170:AJN171"/>
    <mergeCell ref="AJO170:AJO171"/>
    <mergeCell ref="AJP170:AJP171"/>
    <mergeCell ref="AJQ170:AJQ171"/>
    <mergeCell ref="AJR170:AJR171"/>
    <mergeCell ref="AJS170:AJS171"/>
    <mergeCell ref="AKA170:AKA171"/>
    <mergeCell ref="AKB170:AKB171"/>
    <mergeCell ref="AKC170:AKC171"/>
    <mergeCell ref="AKD170:AKD171"/>
    <mergeCell ref="AKE170:AKE171"/>
    <mergeCell ref="AKF170:AKF171"/>
    <mergeCell ref="AKN170:AKN171"/>
    <mergeCell ref="AKO170:AKO171"/>
    <mergeCell ref="AKP170:AKP171"/>
    <mergeCell ref="AKQ170:AKQ171"/>
    <mergeCell ref="AKR170:AKR171"/>
    <mergeCell ref="AKS170:AKS171"/>
    <mergeCell ref="ALA170:ALA171"/>
    <mergeCell ref="ALB170:ALB171"/>
    <mergeCell ref="ALC170:ALC171"/>
    <mergeCell ref="ALD170:ALD171"/>
    <mergeCell ref="ALE170:ALE171"/>
    <mergeCell ref="ALF170:ALF171"/>
    <mergeCell ref="ALN170:ALN171"/>
    <mergeCell ref="ALO170:ALO171"/>
    <mergeCell ref="ALP170:ALP171"/>
    <mergeCell ref="ALQ170:ALQ171"/>
    <mergeCell ref="ALR170:ALR171"/>
    <mergeCell ref="ALS170:ALS171"/>
    <mergeCell ref="AMA170:AMA171"/>
    <mergeCell ref="AMB170:AMB171"/>
    <mergeCell ref="AMC170:AMC171"/>
    <mergeCell ref="AMD170:AMD171"/>
    <mergeCell ref="AME170:AME171"/>
    <mergeCell ref="AMF170:AMF171"/>
    <mergeCell ref="AMN170:AMN171"/>
    <mergeCell ref="AMO170:AMO171"/>
    <mergeCell ref="AMP170:AMP171"/>
    <mergeCell ref="AMQ170:AMQ171"/>
    <mergeCell ref="AMR170:AMR171"/>
    <mergeCell ref="AMS170:AMS171"/>
    <mergeCell ref="ANA170:ANA171"/>
    <mergeCell ref="ANB170:ANB171"/>
    <mergeCell ref="ANC170:ANC171"/>
    <mergeCell ref="AND170:AND171"/>
    <mergeCell ref="ANE170:ANE171"/>
    <mergeCell ref="ANF170:ANF171"/>
    <mergeCell ref="ANN170:ANN171"/>
    <mergeCell ref="ANO170:ANO171"/>
    <mergeCell ref="ANP170:ANP171"/>
    <mergeCell ref="ANQ170:ANQ171"/>
    <mergeCell ref="ANR170:ANR171"/>
    <mergeCell ref="ANS170:ANS171"/>
    <mergeCell ref="AOA170:AOA171"/>
    <mergeCell ref="AOB170:AOB171"/>
    <mergeCell ref="AOC170:AOC171"/>
    <mergeCell ref="AOD170:AOD171"/>
    <mergeCell ref="AOE170:AOE171"/>
    <mergeCell ref="AOF170:AOF171"/>
    <mergeCell ref="AON170:AON171"/>
    <mergeCell ref="AOO170:AOO171"/>
    <mergeCell ref="AOP170:AOP171"/>
    <mergeCell ref="AOQ170:AOQ171"/>
    <mergeCell ref="AOR170:AOR171"/>
    <mergeCell ref="AOS170:AOS171"/>
    <mergeCell ref="APA170:APA171"/>
    <mergeCell ref="APB170:APB171"/>
    <mergeCell ref="APC170:APC171"/>
    <mergeCell ref="APD170:APD171"/>
    <mergeCell ref="APE170:APE171"/>
    <mergeCell ref="APF170:APF171"/>
    <mergeCell ref="APN170:APN171"/>
    <mergeCell ref="APO170:APO171"/>
    <mergeCell ref="APP170:APP171"/>
    <mergeCell ref="APQ170:APQ171"/>
    <mergeCell ref="APR170:APR171"/>
    <mergeCell ref="APS170:APS171"/>
    <mergeCell ref="AQA170:AQA171"/>
    <mergeCell ref="AQB170:AQB171"/>
    <mergeCell ref="AQC170:AQC171"/>
    <mergeCell ref="AQD170:AQD171"/>
    <mergeCell ref="AQE170:AQE171"/>
    <mergeCell ref="AQF170:AQF171"/>
    <mergeCell ref="AQN170:AQN171"/>
    <mergeCell ref="AQO170:AQO171"/>
    <mergeCell ref="AQP170:AQP171"/>
    <mergeCell ref="AQQ170:AQQ171"/>
    <mergeCell ref="AQR170:AQR171"/>
    <mergeCell ref="AQS170:AQS171"/>
    <mergeCell ref="ARA170:ARA171"/>
    <mergeCell ref="ARB170:ARB171"/>
    <mergeCell ref="ARC170:ARC171"/>
    <mergeCell ref="ARD170:ARD171"/>
    <mergeCell ref="ARE170:ARE171"/>
    <mergeCell ref="ARF170:ARF171"/>
    <mergeCell ref="ARN170:ARN171"/>
    <mergeCell ref="ARO170:ARO171"/>
    <mergeCell ref="ARP170:ARP171"/>
    <mergeCell ref="ARQ170:ARQ171"/>
    <mergeCell ref="ARR170:ARR171"/>
    <mergeCell ref="ARS170:ARS171"/>
    <mergeCell ref="ASA170:ASA171"/>
    <mergeCell ref="ASB170:ASB171"/>
    <mergeCell ref="ASC170:ASC171"/>
    <mergeCell ref="ASD170:ASD171"/>
    <mergeCell ref="ASE170:ASE171"/>
    <mergeCell ref="ASF170:ASF171"/>
    <mergeCell ref="ASN170:ASN171"/>
    <mergeCell ref="ASO170:ASO171"/>
    <mergeCell ref="ASP170:ASP171"/>
    <mergeCell ref="ASQ170:ASQ171"/>
    <mergeCell ref="ASR170:ASR171"/>
    <mergeCell ref="ASS170:ASS171"/>
    <mergeCell ref="ATA170:ATA171"/>
    <mergeCell ref="ATB170:ATB171"/>
    <mergeCell ref="ATC170:ATC171"/>
    <mergeCell ref="ATD170:ATD171"/>
    <mergeCell ref="ATE170:ATE171"/>
    <mergeCell ref="ATF170:ATF171"/>
    <mergeCell ref="ATN170:ATN171"/>
    <mergeCell ref="ATO170:ATO171"/>
    <mergeCell ref="ATP170:ATP171"/>
    <mergeCell ref="ATQ170:ATQ171"/>
    <mergeCell ref="ATR170:ATR171"/>
    <mergeCell ref="ATS170:ATS171"/>
    <mergeCell ref="AUA170:AUA171"/>
    <mergeCell ref="AUB170:AUB171"/>
    <mergeCell ref="AUC170:AUC171"/>
    <mergeCell ref="AUD170:AUD171"/>
    <mergeCell ref="AUE170:AUE171"/>
    <mergeCell ref="AUF170:AUF171"/>
    <mergeCell ref="AUN170:AUN171"/>
    <mergeCell ref="AUO170:AUO171"/>
    <mergeCell ref="AUP170:AUP171"/>
    <mergeCell ref="AUQ170:AUQ171"/>
    <mergeCell ref="AUR170:AUR171"/>
    <mergeCell ref="AUS170:AUS171"/>
    <mergeCell ref="AVA170:AVA171"/>
    <mergeCell ref="AVB170:AVB171"/>
    <mergeCell ref="AVC170:AVC171"/>
    <mergeCell ref="AVD170:AVD171"/>
    <mergeCell ref="AVE170:AVE171"/>
    <mergeCell ref="AVF170:AVF171"/>
    <mergeCell ref="AVN170:AVN171"/>
    <mergeCell ref="AVO170:AVO171"/>
    <mergeCell ref="AVP170:AVP171"/>
    <mergeCell ref="AVQ170:AVQ171"/>
    <mergeCell ref="AVR170:AVR171"/>
    <mergeCell ref="AVS170:AVS171"/>
    <mergeCell ref="AWA170:AWA171"/>
    <mergeCell ref="AWB170:AWB171"/>
    <mergeCell ref="AWC170:AWC171"/>
    <mergeCell ref="AWD170:AWD171"/>
    <mergeCell ref="AWE170:AWE171"/>
    <mergeCell ref="AWF170:AWF171"/>
    <mergeCell ref="AWN170:AWN171"/>
    <mergeCell ref="AWO170:AWO171"/>
    <mergeCell ref="AWP170:AWP171"/>
    <mergeCell ref="AWQ170:AWQ171"/>
    <mergeCell ref="AWR170:AWR171"/>
    <mergeCell ref="AWS170:AWS171"/>
    <mergeCell ref="AXA170:AXA171"/>
    <mergeCell ref="AXB170:AXB171"/>
    <mergeCell ref="AXC170:AXC171"/>
    <mergeCell ref="AXD170:AXD171"/>
    <mergeCell ref="AXE170:AXE171"/>
    <mergeCell ref="AXF170:AXF171"/>
    <mergeCell ref="AXN170:AXN171"/>
    <mergeCell ref="AXO170:AXO171"/>
    <mergeCell ref="AXP170:AXP171"/>
    <mergeCell ref="AXQ170:AXQ171"/>
    <mergeCell ref="AXR170:AXR171"/>
    <mergeCell ref="AXS170:AXS171"/>
    <mergeCell ref="AYA170:AYA171"/>
    <mergeCell ref="AYB170:AYB171"/>
    <mergeCell ref="AYC170:AYC171"/>
    <mergeCell ref="AYD170:AYD171"/>
    <mergeCell ref="AYE170:AYE171"/>
    <mergeCell ref="AYF170:AYF171"/>
    <mergeCell ref="AYN170:AYN171"/>
    <mergeCell ref="AYO170:AYO171"/>
    <mergeCell ref="AYP170:AYP171"/>
    <mergeCell ref="AYQ170:AYQ171"/>
    <mergeCell ref="AYR170:AYR171"/>
    <mergeCell ref="AYS170:AYS171"/>
    <mergeCell ref="AZA170:AZA171"/>
    <mergeCell ref="AZB170:AZB171"/>
    <mergeCell ref="AZC170:AZC171"/>
    <mergeCell ref="AZD170:AZD171"/>
    <mergeCell ref="AZE170:AZE171"/>
    <mergeCell ref="AZF170:AZF171"/>
    <mergeCell ref="AZN170:AZN171"/>
    <mergeCell ref="AZO170:AZO171"/>
    <mergeCell ref="AZP170:AZP171"/>
    <mergeCell ref="AZQ170:AZQ171"/>
    <mergeCell ref="AZR170:AZR171"/>
    <mergeCell ref="AZS170:AZS171"/>
    <mergeCell ref="BAA170:BAA171"/>
    <mergeCell ref="BAB170:BAB171"/>
    <mergeCell ref="BAC170:BAC171"/>
    <mergeCell ref="BAD170:BAD171"/>
    <mergeCell ref="BAE170:BAE171"/>
    <mergeCell ref="BAF170:BAF171"/>
    <mergeCell ref="BAN170:BAN171"/>
    <mergeCell ref="BAO170:BAO171"/>
    <mergeCell ref="BAP170:BAP171"/>
    <mergeCell ref="BAQ170:BAQ171"/>
    <mergeCell ref="BAR170:BAR171"/>
    <mergeCell ref="BAS170:BAS171"/>
    <mergeCell ref="BBA170:BBA171"/>
    <mergeCell ref="BBB170:BBB171"/>
    <mergeCell ref="BBC170:BBC171"/>
    <mergeCell ref="BBD170:BBD171"/>
    <mergeCell ref="BBE170:BBE171"/>
    <mergeCell ref="BBF170:BBF171"/>
    <mergeCell ref="BBN170:BBN171"/>
    <mergeCell ref="BBO170:BBO171"/>
    <mergeCell ref="BBP170:BBP171"/>
    <mergeCell ref="BBQ170:BBQ171"/>
    <mergeCell ref="BBR170:BBR171"/>
    <mergeCell ref="BBS170:BBS171"/>
    <mergeCell ref="BCA170:BCA171"/>
    <mergeCell ref="BCB170:BCB171"/>
    <mergeCell ref="BCC170:BCC171"/>
    <mergeCell ref="BCD170:BCD171"/>
    <mergeCell ref="BCE170:BCE171"/>
    <mergeCell ref="BCF170:BCF171"/>
    <mergeCell ref="BCN170:BCN171"/>
    <mergeCell ref="BCO170:BCO171"/>
    <mergeCell ref="BCP170:BCP171"/>
    <mergeCell ref="BCQ170:BCQ171"/>
    <mergeCell ref="BCR170:BCR171"/>
    <mergeCell ref="BCS170:BCS171"/>
    <mergeCell ref="BDA170:BDA171"/>
    <mergeCell ref="BDB170:BDB171"/>
    <mergeCell ref="BDC170:BDC171"/>
    <mergeCell ref="BDD170:BDD171"/>
    <mergeCell ref="BDE170:BDE171"/>
    <mergeCell ref="BDF170:BDF171"/>
    <mergeCell ref="BDN170:BDN171"/>
    <mergeCell ref="BDO170:BDO171"/>
    <mergeCell ref="BDP170:BDP171"/>
    <mergeCell ref="BDQ170:BDQ171"/>
    <mergeCell ref="BDR170:BDR171"/>
    <mergeCell ref="BDS170:BDS171"/>
    <mergeCell ref="BEA170:BEA171"/>
    <mergeCell ref="BEB170:BEB171"/>
    <mergeCell ref="BEC170:BEC171"/>
    <mergeCell ref="BED170:BED171"/>
    <mergeCell ref="BEE170:BEE171"/>
    <mergeCell ref="BEF170:BEF171"/>
    <mergeCell ref="BEN170:BEN171"/>
    <mergeCell ref="BEO170:BEO171"/>
    <mergeCell ref="BEP170:BEP171"/>
    <mergeCell ref="BEQ170:BEQ171"/>
    <mergeCell ref="BER170:BER171"/>
    <mergeCell ref="BES170:BES171"/>
    <mergeCell ref="BFA170:BFA171"/>
    <mergeCell ref="BFB170:BFB171"/>
    <mergeCell ref="BFC170:BFC171"/>
    <mergeCell ref="BFD170:BFD171"/>
    <mergeCell ref="BFE170:BFE171"/>
    <mergeCell ref="BFF170:BFF171"/>
    <mergeCell ref="BFN170:BFN171"/>
    <mergeCell ref="BFO170:BFO171"/>
    <mergeCell ref="BFP170:BFP171"/>
    <mergeCell ref="BFQ170:BFQ171"/>
    <mergeCell ref="BFR170:BFR171"/>
    <mergeCell ref="BFS170:BFS171"/>
    <mergeCell ref="BGA170:BGA171"/>
    <mergeCell ref="BGB170:BGB171"/>
    <mergeCell ref="BGC170:BGC171"/>
    <mergeCell ref="BGD170:BGD171"/>
    <mergeCell ref="BGE170:BGE171"/>
    <mergeCell ref="BGF170:BGF171"/>
    <mergeCell ref="BGN170:BGN171"/>
    <mergeCell ref="BGO170:BGO171"/>
    <mergeCell ref="BGP170:BGP171"/>
    <mergeCell ref="BGQ170:BGQ171"/>
    <mergeCell ref="BGR170:BGR171"/>
    <mergeCell ref="BGS170:BGS171"/>
    <mergeCell ref="BHA170:BHA171"/>
    <mergeCell ref="BHB170:BHB171"/>
    <mergeCell ref="BHC170:BHC171"/>
    <mergeCell ref="BHD170:BHD171"/>
    <mergeCell ref="BHE170:BHE171"/>
    <mergeCell ref="BHF170:BHF171"/>
    <mergeCell ref="BHN170:BHN171"/>
    <mergeCell ref="BHO170:BHO171"/>
    <mergeCell ref="BHP170:BHP171"/>
    <mergeCell ref="BHQ170:BHQ171"/>
    <mergeCell ref="BHR170:BHR171"/>
    <mergeCell ref="BHS170:BHS171"/>
    <mergeCell ref="BIA170:BIA171"/>
    <mergeCell ref="BIB170:BIB171"/>
    <mergeCell ref="BIC170:BIC171"/>
    <mergeCell ref="BID170:BID171"/>
    <mergeCell ref="BIE170:BIE171"/>
    <mergeCell ref="BIF170:BIF171"/>
    <mergeCell ref="BIN170:BIN171"/>
    <mergeCell ref="BIO170:BIO171"/>
    <mergeCell ref="BIP170:BIP171"/>
    <mergeCell ref="BIQ170:BIQ171"/>
    <mergeCell ref="BIR170:BIR171"/>
    <mergeCell ref="BIS170:BIS171"/>
    <mergeCell ref="BJA170:BJA171"/>
    <mergeCell ref="BJB170:BJB171"/>
    <mergeCell ref="BJC170:BJC171"/>
    <mergeCell ref="BJD170:BJD171"/>
    <mergeCell ref="BJE170:BJE171"/>
    <mergeCell ref="BJF170:BJF171"/>
    <mergeCell ref="BJN170:BJN171"/>
    <mergeCell ref="BJO170:BJO171"/>
    <mergeCell ref="BJP170:BJP171"/>
    <mergeCell ref="BJQ170:BJQ171"/>
    <mergeCell ref="BJR170:BJR171"/>
    <mergeCell ref="BJS170:BJS171"/>
    <mergeCell ref="BKA170:BKA171"/>
    <mergeCell ref="BKB170:BKB171"/>
    <mergeCell ref="BKC170:BKC171"/>
    <mergeCell ref="BKD170:BKD171"/>
    <mergeCell ref="BKE170:BKE171"/>
    <mergeCell ref="BKF170:BKF171"/>
    <mergeCell ref="BKN170:BKN171"/>
    <mergeCell ref="BKO170:BKO171"/>
    <mergeCell ref="BKP170:BKP171"/>
    <mergeCell ref="BKQ170:BKQ171"/>
    <mergeCell ref="BKR170:BKR171"/>
    <mergeCell ref="BKS170:BKS171"/>
    <mergeCell ref="BLA170:BLA171"/>
    <mergeCell ref="BLB170:BLB171"/>
    <mergeCell ref="BLC170:BLC171"/>
    <mergeCell ref="BLD170:BLD171"/>
    <mergeCell ref="BLE170:BLE171"/>
    <mergeCell ref="BLF170:BLF171"/>
    <mergeCell ref="BLN170:BLN171"/>
    <mergeCell ref="BLO170:BLO171"/>
    <mergeCell ref="BLP170:BLP171"/>
    <mergeCell ref="BLQ170:BLQ171"/>
    <mergeCell ref="BLR170:BLR171"/>
    <mergeCell ref="BLS170:BLS171"/>
    <mergeCell ref="BMA170:BMA171"/>
    <mergeCell ref="BMB170:BMB171"/>
    <mergeCell ref="BMC170:BMC171"/>
    <mergeCell ref="BMD170:BMD171"/>
    <mergeCell ref="BME170:BME171"/>
    <mergeCell ref="BMF170:BMF171"/>
    <mergeCell ref="BMN170:BMN171"/>
    <mergeCell ref="BMO170:BMO171"/>
    <mergeCell ref="BMP170:BMP171"/>
    <mergeCell ref="BMQ170:BMQ171"/>
    <mergeCell ref="BMR170:BMR171"/>
    <mergeCell ref="BMS170:BMS171"/>
    <mergeCell ref="BNA170:BNA171"/>
    <mergeCell ref="BNB170:BNB171"/>
    <mergeCell ref="BNC170:BNC171"/>
    <mergeCell ref="BND170:BND171"/>
    <mergeCell ref="BNE170:BNE171"/>
    <mergeCell ref="BNF170:BNF171"/>
    <mergeCell ref="BNN170:BNN171"/>
    <mergeCell ref="BNO170:BNO171"/>
    <mergeCell ref="BNP170:BNP171"/>
    <mergeCell ref="BNQ170:BNQ171"/>
    <mergeCell ref="BNR170:BNR171"/>
    <mergeCell ref="BNS170:BNS171"/>
    <mergeCell ref="BOA170:BOA171"/>
    <mergeCell ref="BOB170:BOB171"/>
    <mergeCell ref="BOC170:BOC171"/>
    <mergeCell ref="BOD170:BOD171"/>
    <mergeCell ref="BOE170:BOE171"/>
    <mergeCell ref="BOF170:BOF171"/>
    <mergeCell ref="BON170:BON171"/>
    <mergeCell ref="BOO170:BOO171"/>
    <mergeCell ref="BOP170:BOP171"/>
    <mergeCell ref="BOQ170:BOQ171"/>
    <mergeCell ref="BOR170:BOR171"/>
    <mergeCell ref="BOS170:BOS171"/>
    <mergeCell ref="BPA170:BPA171"/>
    <mergeCell ref="BPB170:BPB171"/>
    <mergeCell ref="BPC170:BPC171"/>
    <mergeCell ref="BPD170:BPD171"/>
    <mergeCell ref="BPE170:BPE171"/>
    <mergeCell ref="BPF170:BPF171"/>
    <mergeCell ref="BPN170:BPN171"/>
    <mergeCell ref="BPO170:BPO171"/>
    <mergeCell ref="BPP170:BPP171"/>
    <mergeCell ref="BPQ170:BPQ171"/>
    <mergeCell ref="BPR170:BPR171"/>
    <mergeCell ref="BPS170:BPS171"/>
    <mergeCell ref="BQA170:BQA171"/>
    <mergeCell ref="BQB170:BQB171"/>
    <mergeCell ref="BQC170:BQC171"/>
    <mergeCell ref="BQD170:BQD171"/>
    <mergeCell ref="BQE170:BQE171"/>
    <mergeCell ref="BQF170:BQF171"/>
    <mergeCell ref="BQN170:BQN171"/>
    <mergeCell ref="BQO170:BQO171"/>
    <mergeCell ref="BQP170:BQP171"/>
    <mergeCell ref="BQQ170:BQQ171"/>
    <mergeCell ref="BQR170:BQR171"/>
    <mergeCell ref="BQS170:BQS171"/>
    <mergeCell ref="BRA170:BRA171"/>
    <mergeCell ref="BRB170:BRB171"/>
    <mergeCell ref="BRC170:BRC171"/>
    <mergeCell ref="BRD170:BRD171"/>
    <mergeCell ref="BRE170:BRE171"/>
    <mergeCell ref="BRF170:BRF171"/>
    <mergeCell ref="BRN170:BRN171"/>
    <mergeCell ref="BRO170:BRO171"/>
    <mergeCell ref="BRP170:BRP171"/>
    <mergeCell ref="BRQ170:BRQ171"/>
    <mergeCell ref="BRR170:BRR171"/>
    <mergeCell ref="BRS170:BRS171"/>
    <mergeCell ref="BSA170:BSA171"/>
    <mergeCell ref="BSB170:BSB171"/>
    <mergeCell ref="BSC170:BSC171"/>
    <mergeCell ref="BSD170:BSD171"/>
    <mergeCell ref="BSE170:BSE171"/>
    <mergeCell ref="BSF170:BSF171"/>
    <mergeCell ref="BSN170:BSN171"/>
    <mergeCell ref="BSO170:BSO171"/>
    <mergeCell ref="BSP170:BSP171"/>
    <mergeCell ref="BSQ170:BSQ171"/>
    <mergeCell ref="BSR170:BSR171"/>
    <mergeCell ref="BSS170:BSS171"/>
    <mergeCell ref="BTA170:BTA171"/>
    <mergeCell ref="BTB170:BTB171"/>
    <mergeCell ref="BTC170:BTC171"/>
    <mergeCell ref="BTD170:BTD171"/>
    <mergeCell ref="BTE170:BTE171"/>
    <mergeCell ref="BTF170:BTF171"/>
    <mergeCell ref="BTN170:BTN171"/>
    <mergeCell ref="BTO170:BTO171"/>
    <mergeCell ref="BTP170:BTP171"/>
    <mergeCell ref="BTQ170:BTQ171"/>
    <mergeCell ref="BTR170:BTR171"/>
    <mergeCell ref="BTS170:BTS171"/>
    <mergeCell ref="BUA170:BUA171"/>
    <mergeCell ref="BUB170:BUB171"/>
    <mergeCell ref="BUC170:BUC171"/>
    <mergeCell ref="BUD170:BUD171"/>
    <mergeCell ref="BUE170:BUE171"/>
    <mergeCell ref="BUF170:BUF171"/>
    <mergeCell ref="BUN170:BUN171"/>
    <mergeCell ref="BUO170:BUO171"/>
    <mergeCell ref="BUP170:BUP171"/>
    <mergeCell ref="BUQ170:BUQ171"/>
    <mergeCell ref="BUR170:BUR171"/>
    <mergeCell ref="BUS170:BUS171"/>
    <mergeCell ref="BVA170:BVA171"/>
    <mergeCell ref="BVB170:BVB171"/>
    <mergeCell ref="BVC170:BVC171"/>
    <mergeCell ref="BVD170:BVD171"/>
    <mergeCell ref="BVE170:BVE171"/>
    <mergeCell ref="BVF170:BVF171"/>
    <mergeCell ref="BVN170:BVN171"/>
    <mergeCell ref="BVO170:BVO171"/>
    <mergeCell ref="BVP170:BVP171"/>
    <mergeCell ref="BVQ170:BVQ171"/>
    <mergeCell ref="BVR170:BVR171"/>
    <mergeCell ref="BVS170:BVS171"/>
    <mergeCell ref="BWA170:BWA171"/>
    <mergeCell ref="BWB170:BWB171"/>
    <mergeCell ref="BWC170:BWC171"/>
    <mergeCell ref="BWD170:BWD171"/>
    <mergeCell ref="BWE170:BWE171"/>
    <mergeCell ref="BWF170:BWF171"/>
    <mergeCell ref="BWN170:BWN171"/>
    <mergeCell ref="BWO170:BWO171"/>
    <mergeCell ref="BWP170:BWP171"/>
    <mergeCell ref="BWQ170:BWQ171"/>
    <mergeCell ref="BWR170:BWR171"/>
    <mergeCell ref="BWS170:BWS171"/>
    <mergeCell ref="BXA170:BXA171"/>
    <mergeCell ref="BXB170:BXB171"/>
    <mergeCell ref="BXC170:BXC171"/>
    <mergeCell ref="BXD170:BXD171"/>
    <mergeCell ref="BXE170:BXE171"/>
    <mergeCell ref="BXF170:BXF171"/>
    <mergeCell ref="BXN170:BXN171"/>
    <mergeCell ref="BXO170:BXO171"/>
    <mergeCell ref="BXP170:BXP171"/>
    <mergeCell ref="BXQ170:BXQ171"/>
    <mergeCell ref="BXR170:BXR171"/>
    <mergeCell ref="BXS170:BXS171"/>
    <mergeCell ref="BYA170:BYA171"/>
    <mergeCell ref="BYB170:BYB171"/>
    <mergeCell ref="BYC170:BYC171"/>
    <mergeCell ref="BYD170:BYD171"/>
    <mergeCell ref="BYE170:BYE171"/>
    <mergeCell ref="BYF170:BYF171"/>
    <mergeCell ref="BYN170:BYN171"/>
    <mergeCell ref="BYO170:BYO171"/>
    <mergeCell ref="BYP170:BYP171"/>
    <mergeCell ref="BYQ170:BYQ171"/>
    <mergeCell ref="BYR170:BYR171"/>
    <mergeCell ref="BYS170:BYS171"/>
    <mergeCell ref="BZA170:BZA171"/>
    <mergeCell ref="BZB170:BZB171"/>
    <mergeCell ref="BZC170:BZC171"/>
    <mergeCell ref="BZD170:BZD171"/>
    <mergeCell ref="BZE170:BZE171"/>
    <mergeCell ref="BZF170:BZF171"/>
    <mergeCell ref="BZN170:BZN171"/>
    <mergeCell ref="BZO170:BZO171"/>
    <mergeCell ref="BZP170:BZP171"/>
    <mergeCell ref="BZQ170:BZQ171"/>
    <mergeCell ref="BZR170:BZR171"/>
    <mergeCell ref="BZS170:BZS171"/>
    <mergeCell ref="CAA170:CAA171"/>
    <mergeCell ref="CAB170:CAB171"/>
    <mergeCell ref="CAC170:CAC171"/>
    <mergeCell ref="CAD170:CAD171"/>
    <mergeCell ref="CAE170:CAE171"/>
    <mergeCell ref="CAF170:CAF171"/>
    <mergeCell ref="CAN170:CAN171"/>
    <mergeCell ref="CAO170:CAO171"/>
    <mergeCell ref="CAP170:CAP171"/>
    <mergeCell ref="CAQ170:CAQ171"/>
    <mergeCell ref="CAR170:CAR171"/>
    <mergeCell ref="CAS170:CAS171"/>
    <mergeCell ref="CBA170:CBA171"/>
    <mergeCell ref="CBB170:CBB171"/>
    <mergeCell ref="CBC170:CBC171"/>
    <mergeCell ref="CBD170:CBD171"/>
    <mergeCell ref="CBE170:CBE171"/>
    <mergeCell ref="CBF170:CBF171"/>
    <mergeCell ref="CBN170:CBN171"/>
    <mergeCell ref="CBO170:CBO171"/>
    <mergeCell ref="CBP170:CBP171"/>
    <mergeCell ref="CBQ170:CBQ171"/>
    <mergeCell ref="CBR170:CBR171"/>
    <mergeCell ref="CBS170:CBS171"/>
    <mergeCell ref="CCA170:CCA171"/>
    <mergeCell ref="CCB170:CCB171"/>
    <mergeCell ref="CCC170:CCC171"/>
    <mergeCell ref="CCD170:CCD171"/>
    <mergeCell ref="CCE170:CCE171"/>
    <mergeCell ref="CCF170:CCF171"/>
    <mergeCell ref="CCN170:CCN171"/>
    <mergeCell ref="CCO170:CCO171"/>
    <mergeCell ref="CCP170:CCP171"/>
    <mergeCell ref="CCQ170:CCQ171"/>
    <mergeCell ref="CCR170:CCR171"/>
    <mergeCell ref="CCS170:CCS171"/>
    <mergeCell ref="CDA170:CDA171"/>
    <mergeCell ref="CDB170:CDB171"/>
    <mergeCell ref="CDC170:CDC171"/>
    <mergeCell ref="CDD170:CDD171"/>
    <mergeCell ref="CDE170:CDE171"/>
    <mergeCell ref="CDF170:CDF171"/>
    <mergeCell ref="CDN170:CDN171"/>
    <mergeCell ref="CDO170:CDO171"/>
    <mergeCell ref="CDP170:CDP171"/>
    <mergeCell ref="CDQ170:CDQ171"/>
    <mergeCell ref="CDR170:CDR171"/>
    <mergeCell ref="CDS170:CDS171"/>
    <mergeCell ref="CEA170:CEA171"/>
    <mergeCell ref="CEB170:CEB171"/>
    <mergeCell ref="CEC170:CEC171"/>
    <mergeCell ref="CED170:CED171"/>
    <mergeCell ref="CEE170:CEE171"/>
    <mergeCell ref="CEF170:CEF171"/>
    <mergeCell ref="CEN170:CEN171"/>
    <mergeCell ref="CEO170:CEO171"/>
    <mergeCell ref="CEP170:CEP171"/>
    <mergeCell ref="CEQ170:CEQ171"/>
    <mergeCell ref="CER170:CER171"/>
    <mergeCell ref="CES170:CES171"/>
    <mergeCell ref="CFA170:CFA171"/>
    <mergeCell ref="CFB170:CFB171"/>
    <mergeCell ref="CFC170:CFC171"/>
    <mergeCell ref="CFD170:CFD171"/>
    <mergeCell ref="CFE170:CFE171"/>
    <mergeCell ref="CFF170:CFF171"/>
    <mergeCell ref="CFN170:CFN171"/>
    <mergeCell ref="CFO170:CFO171"/>
    <mergeCell ref="CFP170:CFP171"/>
    <mergeCell ref="CFQ170:CFQ171"/>
    <mergeCell ref="CFR170:CFR171"/>
    <mergeCell ref="CFS170:CFS171"/>
    <mergeCell ref="CGA170:CGA171"/>
    <mergeCell ref="CGB170:CGB171"/>
    <mergeCell ref="CGC170:CGC171"/>
    <mergeCell ref="CGD170:CGD171"/>
    <mergeCell ref="CGE170:CGE171"/>
    <mergeCell ref="CGF170:CGF171"/>
    <mergeCell ref="CGN170:CGN171"/>
    <mergeCell ref="CGO170:CGO171"/>
    <mergeCell ref="CGP170:CGP171"/>
    <mergeCell ref="CGQ170:CGQ171"/>
    <mergeCell ref="CGR170:CGR171"/>
    <mergeCell ref="CGS170:CGS171"/>
    <mergeCell ref="CHA170:CHA171"/>
    <mergeCell ref="CHB170:CHB171"/>
    <mergeCell ref="CHC170:CHC171"/>
    <mergeCell ref="CHD170:CHD171"/>
    <mergeCell ref="CHE170:CHE171"/>
    <mergeCell ref="CHF170:CHF171"/>
    <mergeCell ref="CHN170:CHN171"/>
    <mergeCell ref="CHO170:CHO171"/>
    <mergeCell ref="CHP170:CHP171"/>
    <mergeCell ref="CHQ170:CHQ171"/>
    <mergeCell ref="CHR170:CHR171"/>
    <mergeCell ref="CHS170:CHS171"/>
    <mergeCell ref="CIA170:CIA171"/>
    <mergeCell ref="CIB170:CIB171"/>
    <mergeCell ref="CIC170:CIC171"/>
    <mergeCell ref="CID170:CID171"/>
    <mergeCell ref="CIE170:CIE171"/>
    <mergeCell ref="CIF170:CIF171"/>
    <mergeCell ref="CIN170:CIN171"/>
    <mergeCell ref="CIO170:CIO171"/>
    <mergeCell ref="CIP170:CIP171"/>
    <mergeCell ref="CIQ170:CIQ171"/>
    <mergeCell ref="CIR170:CIR171"/>
    <mergeCell ref="CIS170:CIS171"/>
    <mergeCell ref="CJA170:CJA171"/>
    <mergeCell ref="CJB170:CJB171"/>
    <mergeCell ref="CJC170:CJC171"/>
    <mergeCell ref="CJD170:CJD171"/>
    <mergeCell ref="CJE170:CJE171"/>
    <mergeCell ref="CJF170:CJF171"/>
    <mergeCell ref="CJN170:CJN171"/>
    <mergeCell ref="CJO170:CJO171"/>
    <mergeCell ref="CJP170:CJP171"/>
    <mergeCell ref="CJQ170:CJQ171"/>
    <mergeCell ref="CJR170:CJR171"/>
    <mergeCell ref="CJS170:CJS171"/>
    <mergeCell ref="CKA170:CKA171"/>
    <mergeCell ref="CKB170:CKB171"/>
    <mergeCell ref="CKC170:CKC171"/>
    <mergeCell ref="CKD170:CKD171"/>
    <mergeCell ref="CKE170:CKE171"/>
    <mergeCell ref="CKF170:CKF171"/>
    <mergeCell ref="CKN170:CKN171"/>
    <mergeCell ref="CKO170:CKO171"/>
    <mergeCell ref="CKP170:CKP171"/>
    <mergeCell ref="CKQ170:CKQ171"/>
    <mergeCell ref="CKR170:CKR171"/>
    <mergeCell ref="CKS170:CKS171"/>
    <mergeCell ref="CLA170:CLA171"/>
    <mergeCell ref="CLB170:CLB171"/>
    <mergeCell ref="CLC170:CLC171"/>
    <mergeCell ref="CLD170:CLD171"/>
    <mergeCell ref="CLE170:CLE171"/>
    <mergeCell ref="CLF170:CLF171"/>
    <mergeCell ref="CLN170:CLN171"/>
    <mergeCell ref="CLO170:CLO171"/>
    <mergeCell ref="CLP170:CLP171"/>
    <mergeCell ref="CLQ170:CLQ171"/>
    <mergeCell ref="CLR170:CLR171"/>
    <mergeCell ref="CLS170:CLS171"/>
    <mergeCell ref="CMA170:CMA171"/>
    <mergeCell ref="CMB170:CMB171"/>
    <mergeCell ref="CMC170:CMC171"/>
    <mergeCell ref="CMD170:CMD171"/>
    <mergeCell ref="CME170:CME171"/>
    <mergeCell ref="CMF170:CMF171"/>
    <mergeCell ref="CMN170:CMN171"/>
    <mergeCell ref="CMO170:CMO171"/>
    <mergeCell ref="CMP170:CMP171"/>
    <mergeCell ref="CMQ170:CMQ171"/>
    <mergeCell ref="CMR170:CMR171"/>
    <mergeCell ref="CMS170:CMS171"/>
    <mergeCell ref="CNA170:CNA171"/>
    <mergeCell ref="CNB170:CNB171"/>
    <mergeCell ref="CNC170:CNC171"/>
    <mergeCell ref="CND170:CND171"/>
    <mergeCell ref="CNE170:CNE171"/>
    <mergeCell ref="CNF170:CNF171"/>
    <mergeCell ref="CNN170:CNN171"/>
    <mergeCell ref="CNO170:CNO171"/>
    <mergeCell ref="CNP170:CNP171"/>
    <mergeCell ref="CNQ170:CNQ171"/>
    <mergeCell ref="CNR170:CNR171"/>
    <mergeCell ref="CNS170:CNS171"/>
    <mergeCell ref="COA170:COA171"/>
    <mergeCell ref="COB170:COB171"/>
    <mergeCell ref="COC170:COC171"/>
    <mergeCell ref="COD170:COD171"/>
    <mergeCell ref="COE170:COE171"/>
    <mergeCell ref="COF170:COF171"/>
    <mergeCell ref="CON170:CON171"/>
    <mergeCell ref="COO170:COO171"/>
    <mergeCell ref="COP170:COP171"/>
    <mergeCell ref="COQ170:COQ171"/>
    <mergeCell ref="COR170:COR171"/>
    <mergeCell ref="COS170:COS171"/>
    <mergeCell ref="CPA170:CPA171"/>
    <mergeCell ref="CPB170:CPB171"/>
    <mergeCell ref="CPC170:CPC171"/>
    <mergeCell ref="CPD170:CPD171"/>
    <mergeCell ref="CPE170:CPE171"/>
    <mergeCell ref="CPF170:CPF171"/>
    <mergeCell ref="CPN170:CPN171"/>
    <mergeCell ref="CPO170:CPO171"/>
    <mergeCell ref="CPP170:CPP171"/>
    <mergeCell ref="CPQ170:CPQ171"/>
    <mergeCell ref="CPR170:CPR171"/>
    <mergeCell ref="CPS170:CPS171"/>
    <mergeCell ref="CQA170:CQA171"/>
    <mergeCell ref="CQB170:CQB171"/>
    <mergeCell ref="CQC170:CQC171"/>
    <mergeCell ref="CQD170:CQD171"/>
    <mergeCell ref="CQE170:CQE171"/>
    <mergeCell ref="CQF170:CQF171"/>
    <mergeCell ref="CQN170:CQN171"/>
    <mergeCell ref="CQO170:CQO171"/>
    <mergeCell ref="CQP170:CQP171"/>
    <mergeCell ref="CQQ170:CQQ171"/>
    <mergeCell ref="CQR170:CQR171"/>
    <mergeCell ref="CQS170:CQS171"/>
    <mergeCell ref="CRA170:CRA171"/>
    <mergeCell ref="CRB170:CRB171"/>
    <mergeCell ref="CRC170:CRC171"/>
    <mergeCell ref="CRD170:CRD171"/>
    <mergeCell ref="CRE170:CRE171"/>
    <mergeCell ref="CRF170:CRF171"/>
    <mergeCell ref="CRN170:CRN171"/>
    <mergeCell ref="CRO170:CRO171"/>
    <mergeCell ref="CRP170:CRP171"/>
    <mergeCell ref="CRQ170:CRQ171"/>
    <mergeCell ref="CRR170:CRR171"/>
    <mergeCell ref="CRS170:CRS171"/>
    <mergeCell ref="CSA170:CSA171"/>
    <mergeCell ref="CSB170:CSB171"/>
    <mergeCell ref="CSC170:CSC171"/>
    <mergeCell ref="CSD170:CSD171"/>
    <mergeCell ref="CSE170:CSE171"/>
    <mergeCell ref="CSF170:CSF171"/>
    <mergeCell ref="CSN170:CSN171"/>
    <mergeCell ref="CSO170:CSO171"/>
    <mergeCell ref="CSP170:CSP171"/>
    <mergeCell ref="CSQ170:CSQ171"/>
    <mergeCell ref="CSR170:CSR171"/>
    <mergeCell ref="CSS170:CSS171"/>
    <mergeCell ref="CTA170:CTA171"/>
    <mergeCell ref="CTB170:CTB171"/>
    <mergeCell ref="CTC170:CTC171"/>
    <mergeCell ref="CTD170:CTD171"/>
    <mergeCell ref="CTE170:CTE171"/>
    <mergeCell ref="CTF170:CTF171"/>
    <mergeCell ref="CTN170:CTN171"/>
    <mergeCell ref="CTO170:CTO171"/>
    <mergeCell ref="CTP170:CTP171"/>
    <mergeCell ref="CTQ170:CTQ171"/>
    <mergeCell ref="CTR170:CTR171"/>
    <mergeCell ref="CTS170:CTS171"/>
    <mergeCell ref="CUA170:CUA171"/>
    <mergeCell ref="CUB170:CUB171"/>
    <mergeCell ref="CUC170:CUC171"/>
    <mergeCell ref="CUD170:CUD171"/>
    <mergeCell ref="CUE170:CUE171"/>
    <mergeCell ref="CUF170:CUF171"/>
    <mergeCell ref="CUN170:CUN171"/>
    <mergeCell ref="CUO170:CUO171"/>
    <mergeCell ref="CUP170:CUP171"/>
    <mergeCell ref="CUQ170:CUQ171"/>
    <mergeCell ref="CUR170:CUR171"/>
    <mergeCell ref="CUS170:CUS171"/>
    <mergeCell ref="CVA170:CVA171"/>
    <mergeCell ref="CVB170:CVB171"/>
    <mergeCell ref="CVC170:CVC171"/>
    <mergeCell ref="CVD170:CVD171"/>
    <mergeCell ref="CVE170:CVE171"/>
    <mergeCell ref="CVF170:CVF171"/>
    <mergeCell ref="CVN170:CVN171"/>
    <mergeCell ref="CVO170:CVO171"/>
    <mergeCell ref="CVP170:CVP171"/>
    <mergeCell ref="CVQ170:CVQ171"/>
    <mergeCell ref="CVR170:CVR171"/>
    <mergeCell ref="CVS170:CVS171"/>
    <mergeCell ref="CWA170:CWA171"/>
    <mergeCell ref="CWB170:CWB171"/>
    <mergeCell ref="CWC170:CWC171"/>
    <mergeCell ref="CWD170:CWD171"/>
    <mergeCell ref="CWE170:CWE171"/>
    <mergeCell ref="CWF170:CWF171"/>
    <mergeCell ref="CWN170:CWN171"/>
    <mergeCell ref="CWO170:CWO171"/>
    <mergeCell ref="CWP170:CWP171"/>
    <mergeCell ref="CWQ170:CWQ171"/>
    <mergeCell ref="CWR170:CWR171"/>
    <mergeCell ref="CWS170:CWS171"/>
    <mergeCell ref="CXA170:CXA171"/>
    <mergeCell ref="CXB170:CXB171"/>
    <mergeCell ref="CXC170:CXC171"/>
    <mergeCell ref="CXD170:CXD171"/>
    <mergeCell ref="CXE170:CXE171"/>
    <mergeCell ref="CXF170:CXF171"/>
    <mergeCell ref="CXN170:CXN171"/>
    <mergeCell ref="CXO170:CXO171"/>
    <mergeCell ref="CXP170:CXP171"/>
    <mergeCell ref="CXQ170:CXQ171"/>
    <mergeCell ref="CXR170:CXR171"/>
    <mergeCell ref="CXS170:CXS171"/>
    <mergeCell ref="CYA170:CYA171"/>
    <mergeCell ref="CYB170:CYB171"/>
    <mergeCell ref="CYC170:CYC171"/>
    <mergeCell ref="CYD170:CYD171"/>
    <mergeCell ref="CYE170:CYE171"/>
    <mergeCell ref="CYF170:CYF171"/>
    <mergeCell ref="CYN170:CYN171"/>
    <mergeCell ref="CYO170:CYO171"/>
    <mergeCell ref="CYP170:CYP171"/>
    <mergeCell ref="CYQ170:CYQ171"/>
    <mergeCell ref="CYR170:CYR171"/>
    <mergeCell ref="CYS170:CYS171"/>
    <mergeCell ref="CZA170:CZA171"/>
    <mergeCell ref="CZB170:CZB171"/>
    <mergeCell ref="CZC170:CZC171"/>
    <mergeCell ref="CZD170:CZD171"/>
    <mergeCell ref="CZE170:CZE171"/>
    <mergeCell ref="CZF170:CZF171"/>
    <mergeCell ref="CZN170:CZN171"/>
    <mergeCell ref="CZO170:CZO171"/>
    <mergeCell ref="CZP170:CZP171"/>
    <mergeCell ref="CZQ170:CZQ171"/>
    <mergeCell ref="CZR170:CZR171"/>
    <mergeCell ref="CZS170:CZS171"/>
    <mergeCell ref="DAA170:DAA171"/>
    <mergeCell ref="DAB170:DAB171"/>
    <mergeCell ref="DAC170:DAC171"/>
    <mergeCell ref="DAD170:DAD171"/>
    <mergeCell ref="DAE170:DAE171"/>
    <mergeCell ref="DAF170:DAF171"/>
    <mergeCell ref="DAN170:DAN171"/>
    <mergeCell ref="DAO170:DAO171"/>
    <mergeCell ref="DAP170:DAP171"/>
    <mergeCell ref="DAQ170:DAQ171"/>
    <mergeCell ref="DAR170:DAR171"/>
    <mergeCell ref="DAS170:DAS171"/>
    <mergeCell ref="DBA170:DBA171"/>
    <mergeCell ref="DBB170:DBB171"/>
    <mergeCell ref="DBC170:DBC171"/>
    <mergeCell ref="DBD170:DBD171"/>
    <mergeCell ref="DBE170:DBE171"/>
    <mergeCell ref="DBF170:DBF171"/>
    <mergeCell ref="DBN170:DBN171"/>
    <mergeCell ref="DBO170:DBO171"/>
    <mergeCell ref="DBP170:DBP171"/>
    <mergeCell ref="DBQ170:DBQ171"/>
    <mergeCell ref="DBR170:DBR171"/>
    <mergeCell ref="DBS170:DBS171"/>
    <mergeCell ref="DCA170:DCA171"/>
    <mergeCell ref="DCB170:DCB171"/>
    <mergeCell ref="DCC170:DCC171"/>
    <mergeCell ref="DCD170:DCD171"/>
    <mergeCell ref="DCE170:DCE171"/>
    <mergeCell ref="DCF170:DCF171"/>
    <mergeCell ref="DCN170:DCN171"/>
    <mergeCell ref="DCO170:DCO171"/>
    <mergeCell ref="DCP170:DCP171"/>
    <mergeCell ref="DCQ170:DCQ171"/>
    <mergeCell ref="DCR170:DCR171"/>
    <mergeCell ref="DCS170:DCS171"/>
    <mergeCell ref="DDA170:DDA171"/>
    <mergeCell ref="DDB170:DDB171"/>
    <mergeCell ref="DDC170:DDC171"/>
    <mergeCell ref="DDD170:DDD171"/>
    <mergeCell ref="DDE170:DDE171"/>
    <mergeCell ref="DDF170:DDF171"/>
    <mergeCell ref="DDN170:DDN171"/>
    <mergeCell ref="DDO170:DDO171"/>
    <mergeCell ref="DDP170:DDP171"/>
    <mergeCell ref="DDQ170:DDQ171"/>
    <mergeCell ref="DDR170:DDR171"/>
    <mergeCell ref="DDS170:DDS171"/>
    <mergeCell ref="DEA170:DEA171"/>
    <mergeCell ref="DEB170:DEB171"/>
    <mergeCell ref="DEC170:DEC171"/>
    <mergeCell ref="DED170:DED171"/>
    <mergeCell ref="DEE170:DEE171"/>
    <mergeCell ref="DEF170:DEF171"/>
    <mergeCell ref="DEN170:DEN171"/>
    <mergeCell ref="DEO170:DEO171"/>
    <mergeCell ref="DEP170:DEP171"/>
    <mergeCell ref="DEQ170:DEQ171"/>
    <mergeCell ref="DER170:DER171"/>
    <mergeCell ref="DES170:DES171"/>
    <mergeCell ref="DFA170:DFA171"/>
    <mergeCell ref="DFB170:DFB171"/>
    <mergeCell ref="DFC170:DFC171"/>
    <mergeCell ref="DFD170:DFD171"/>
    <mergeCell ref="DFE170:DFE171"/>
    <mergeCell ref="DFF170:DFF171"/>
    <mergeCell ref="DFN170:DFN171"/>
    <mergeCell ref="DFO170:DFO171"/>
    <mergeCell ref="DFP170:DFP171"/>
    <mergeCell ref="DFQ170:DFQ171"/>
    <mergeCell ref="DFR170:DFR171"/>
    <mergeCell ref="DFS170:DFS171"/>
    <mergeCell ref="DGA170:DGA171"/>
    <mergeCell ref="DGB170:DGB171"/>
    <mergeCell ref="DGC170:DGC171"/>
    <mergeCell ref="DGD170:DGD171"/>
    <mergeCell ref="DGE170:DGE171"/>
    <mergeCell ref="DGF170:DGF171"/>
    <mergeCell ref="DGN170:DGN171"/>
    <mergeCell ref="DGO170:DGO171"/>
    <mergeCell ref="DGP170:DGP171"/>
    <mergeCell ref="DGQ170:DGQ171"/>
    <mergeCell ref="DGR170:DGR171"/>
    <mergeCell ref="DGS170:DGS171"/>
    <mergeCell ref="DHA170:DHA171"/>
    <mergeCell ref="DHB170:DHB171"/>
    <mergeCell ref="DHC170:DHC171"/>
    <mergeCell ref="DHD170:DHD171"/>
    <mergeCell ref="DHE170:DHE171"/>
    <mergeCell ref="DHF170:DHF171"/>
    <mergeCell ref="DHN170:DHN171"/>
    <mergeCell ref="DHO170:DHO171"/>
    <mergeCell ref="DHP170:DHP171"/>
    <mergeCell ref="DHQ170:DHQ171"/>
    <mergeCell ref="DHR170:DHR171"/>
    <mergeCell ref="DHS170:DHS171"/>
    <mergeCell ref="DIA170:DIA171"/>
    <mergeCell ref="DIB170:DIB171"/>
    <mergeCell ref="DIC170:DIC171"/>
    <mergeCell ref="DID170:DID171"/>
    <mergeCell ref="DIE170:DIE171"/>
    <mergeCell ref="DIF170:DIF171"/>
    <mergeCell ref="DIN170:DIN171"/>
    <mergeCell ref="DIO170:DIO171"/>
    <mergeCell ref="DIP170:DIP171"/>
    <mergeCell ref="DIQ170:DIQ171"/>
    <mergeCell ref="DIR170:DIR171"/>
    <mergeCell ref="DIS170:DIS171"/>
    <mergeCell ref="DJA170:DJA171"/>
    <mergeCell ref="DJB170:DJB171"/>
    <mergeCell ref="DJC170:DJC171"/>
    <mergeCell ref="DJD170:DJD171"/>
    <mergeCell ref="DJE170:DJE171"/>
    <mergeCell ref="DJF170:DJF171"/>
    <mergeCell ref="DJN170:DJN171"/>
    <mergeCell ref="DJO170:DJO171"/>
    <mergeCell ref="DJP170:DJP171"/>
    <mergeCell ref="DJQ170:DJQ171"/>
    <mergeCell ref="DJR170:DJR171"/>
    <mergeCell ref="DJS170:DJS171"/>
    <mergeCell ref="DKA170:DKA171"/>
    <mergeCell ref="DKB170:DKB171"/>
    <mergeCell ref="DKC170:DKC171"/>
    <mergeCell ref="DKD170:DKD171"/>
    <mergeCell ref="DKE170:DKE171"/>
    <mergeCell ref="DKF170:DKF171"/>
    <mergeCell ref="DKN170:DKN171"/>
    <mergeCell ref="DKO170:DKO171"/>
    <mergeCell ref="DKP170:DKP171"/>
    <mergeCell ref="DKQ170:DKQ171"/>
    <mergeCell ref="DKR170:DKR171"/>
    <mergeCell ref="DKS170:DKS171"/>
    <mergeCell ref="DLA170:DLA171"/>
    <mergeCell ref="DLB170:DLB171"/>
    <mergeCell ref="DLC170:DLC171"/>
    <mergeCell ref="DLD170:DLD171"/>
    <mergeCell ref="DLE170:DLE171"/>
    <mergeCell ref="DLF170:DLF171"/>
    <mergeCell ref="DLN170:DLN171"/>
    <mergeCell ref="DLO170:DLO171"/>
    <mergeCell ref="DLP170:DLP171"/>
    <mergeCell ref="DLQ170:DLQ171"/>
    <mergeCell ref="DLR170:DLR171"/>
    <mergeCell ref="DLS170:DLS171"/>
    <mergeCell ref="DMA170:DMA171"/>
    <mergeCell ref="DMB170:DMB171"/>
    <mergeCell ref="DMC170:DMC171"/>
    <mergeCell ref="DMD170:DMD171"/>
    <mergeCell ref="DME170:DME171"/>
    <mergeCell ref="DMF170:DMF171"/>
    <mergeCell ref="DMN170:DMN171"/>
    <mergeCell ref="DMO170:DMO171"/>
    <mergeCell ref="DMP170:DMP171"/>
    <mergeCell ref="DMQ170:DMQ171"/>
    <mergeCell ref="DMR170:DMR171"/>
    <mergeCell ref="DMS170:DMS171"/>
    <mergeCell ref="DNA170:DNA171"/>
    <mergeCell ref="DNB170:DNB171"/>
    <mergeCell ref="DNC170:DNC171"/>
    <mergeCell ref="DND170:DND171"/>
    <mergeCell ref="DNE170:DNE171"/>
    <mergeCell ref="DNF170:DNF171"/>
    <mergeCell ref="DNN170:DNN171"/>
    <mergeCell ref="DNO170:DNO171"/>
    <mergeCell ref="DNP170:DNP171"/>
    <mergeCell ref="DNQ170:DNQ171"/>
    <mergeCell ref="DNR170:DNR171"/>
    <mergeCell ref="DNS170:DNS171"/>
    <mergeCell ref="DOA170:DOA171"/>
    <mergeCell ref="DOB170:DOB171"/>
    <mergeCell ref="DOC170:DOC171"/>
    <mergeCell ref="DOD170:DOD171"/>
    <mergeCell ref="DOE170:DOE171"/>
    <mergeCell ref="DOF170:DOF171"/>
    <mergeCell ref="DON170:DON171"/>
    <mergeCell ref="DOO170:DOO171"/>
    <mergeCell ref="DOP170:DOP171"/>
    <mergeCell ref="DOQ170:DOQ171"/>
    <mergeCell ref="DOR170:DOR171"/>
    <mergeCell ref="DOS170:DOS171"/>
    <mergeCell ref="DPA170:DPA171"/>
    <mergeCell ref="DPB170:DPB171"/>
    <mergeCell ref="DPC170:DPC171"/>
    <mergeCell ref="DPD170:DPD171"/>
    <mergeCell ref="DPE170:DPE171"/>
    <mergeCell ref="DPF170:DPF171"/>
    <mergeCell ref="DPN170:DPN171"/>
    <mergeCell ref="DPO170:DPO171"/>
    <mergeCell ref="DPP170:DPP171"/>
    <mergeCell ref="DPQ170:DPQ171"/>
    <mergeCell ref="DPR170:DPR171"/>
    <mergeCell ref="DPS170:DPS171"/>
    <mergeCell ref="DQA170:DQA171"/>
    <mergeCell ref="DQB170:DQB171"/>
    <mergeCell ref="DQC170:DQC171"/>
    <mergeCell ref="DQD170:DQD171"/>
    <mergeCell ref="DQE170:DQE171"/>
    <mergeCell ref="DQF170:DQF171"/>
    <mergeCell ref="DQN170:DQN171"/>
    <mergeCell ref="DQO170:DQO171"/>
    <mergeCell ref="DQP170:DQP171"/>
    <mergeCell ref="DQQ170:DQQ171"/>
    <mergeCell ref="DQR170:DQR171"/>
    <mergeCell ref="DQS170:DQS171"/>
    <mergeCell ref="DRA170:DRA171"/>
    <mergeCell ref="DRB170:DRB171"/>
    <mergeCell ref="DRC170:DRC171"/>
    <mergeCell ref="DRD170:DRD171"/>
    <mergeCell ref="DRE170:DRE171"/>
    <mergeCell ref="DRF170:DRF171"/>
    <mergeCell ref="DRN170:DRN171"/>
    <mergeCell ref="DRO170:DRO171"/>
    <mergeCell ref="DRP170:DRP171"/>
    <mergeCell ref="DRQ170:DRQ171"/>
    <mergeCell ref="DRR170:DRR171"/>
    <mergeCell ref="DRS170:DRS171"/>
    <mergeCell ref="DSA170:DSA171"/>
    <mergeCell ref="DSB170:DSB171"/>
    <mergeCell ref="DSC170:DSC171"/>
    <mergeCell ref="DSD170:DSD171"/>
    <mergeCell ref="DSE170:DSE171"/>
    <mergeCell ref="DSF170:DSF171"/>
    <mergeCell ref="DSN170:DSN171"/>
    <mergeCell ref="DSO170:DSO171"/>
    <mergeCell ref="DSP170:DSP171"/>
    <mergeCell ref="DSQ170:DSQ171"/>
    <mergeCell ref="DSR170:DSR171"/>
    <mergeCell ref="DSS170:DSS171"/>
    <mergeCell ref="DTA170:DTA171"/>
    <mergeCell ref="DTB170:DTB171"/>
    <mergeCell ref="DTC170:DTC171"/>
    <mergeCell ref="DTD170:DTD171"/>
    <mergeCell ref="DTE170:DTE171"/>
    <mergeCell ref="DTF170:DTF171"/>
    <mergeCell ref="DTN170:DTN171"/>
    <mergeCell ref="DTO170:DTO171"/>
    <mergeCell ref="DTP170:DTP171"/>
    <mergeCell ref="DTQ170:DTQ171"/>
    <mergeCell ref="DTR170:DTR171"/>
    <mergeCell ref="DTS170:DTS171"/>
    <mergeCell ref="DUA170:DUA171"/>
    <mergeCell ref="DUB170:DUB171"/>
    <mergeCell ref="DUC170:DUC171"/>
    <mergeCell ref="DUD170:DUD171"/>
    <mergeCell ref="DUE170:DUE171"/>
    <mergeCell ref="DUF170:DUF171"/>
    <mergeCell ref="DUN170:DUN171"/>
    <mergeCell ref="DUO170:DUO171"/>
    <mergeCell ref="DUP170:DUP171"/>
    <mergeCell ref="DUQ170:DUQ171"/>
    <mergeCell ref="DUR170:DUR171"/>
    <mergeCell ref="DUS170:DUS171"/>
    <mergeCell ref="DVA170:DVA171"/>
    <mergeCell ref="DVB170:DVB171"/>
    <mergeCell ref="DVC170:DVC171"/>
    <mergeCell ref="DVD170:DVD171"/>
    <mergeCell ref="DVE170:DVE171"/>
    <mergeCell ref="DVF170:DVF171"/>
    <mergeCell ref="DVN170:DVN171"/>
    <mergeCell ref="DVO170:DVO171"/>
    <mergeCell ref="DVP170:DVP171"/>
    <mergeCell ref="DVQ170:DVQ171"/>
    <mergeCell ref="DVR170:DVR171"/>
    <mergeCell ref="DVS170:DVS171"/>
    <mergeCell ref="DWA170:DWA171"/>
    <mergeCell ref="DWB170:DWB171"/>
    <mergeCell ref="DWC170:DWC171"/>
    <mergeCell ref="DWD170:DWD171"/>
    <mergeCell ref="DWE170:DWE171"/>
    <mergeCell ref="DWF170:DWF171"/>
    <mergeCell ref="DWN170:DWN171"/>
    <mergeCell ref="DWO170:DWO171"/>
    <mergeCell ref="DWP170:DWP171"/>
    <mergeCell ref="DWQ170:DWQ171"/>
    <mergeCell ref="DWR170:DWR171"/>
    <mergeCell ref="DWS170:DWS171"/>
    <mergeCell ref="DXA170:DXA171"/>
    <mergeCell ref="DXB170:DXB171"/>
    <mergeCell ref="DXC170:DXC171"/>
    <mergeCell ref="DXD170:DXD171"/>
    <mergeCell ref="DXE170:DXE171"/>
    <mergeCell ref="DXF170:DXF171"/>
    <mergeCell ref="DXN170:DXN171"/>
    <mergeCell ref="DXO170:DXO171"/>
    <mergeCell ref="DXP170:DXP171"/>
    <mergeCell ref="DXQ170:DXQ171"/>
    <mergeCell ref="DXR170:DXR171"/>
    <mergeCell ref="DXS170:DXS171"/>
    <mergeCell ref="DYA170:DYA171"/>
    <mergeCell ref="DYB170:DYB171"/>
    <mergeCell ref="DYC170:DYC171"/>
    <mergeCell ref="DYD170:DYD171"/>
    <mergeCell ref="DYE170:DYE171"/>
    <mergeCell ref="DYF170:DYF171"/>
    <mergeCell ref="DYN170:DYN171"/>
    <mergeCell ref="DYO170:DYO171"/>
    <mergeCell ref="DYP170:DYP171"/>
    <mergeCell ref="DYQ170:DYQ171"/>
    <mergeCell ref="DYR170:DYR171"/>
    <mergeCell ref="DYS170:DYS171"/>
    <mergeCell ref="DZA170:DZA171"/>
    <mergeCell ref="DZB170:DZB171"/>
    <mergeCell ref="DZC170:DZC171"/>
    <mergeCell ref="DZD170:DZD171"/>
    <mergeCell ref="DZE170:DZE171"/>
    <mergeCell ref="DZF170:DZF171"/>
    <mergeCell ref="DZN170:DZN171"/>
    <mergeCell ref="DZO170:DZO171"/>
    <mergeCell ref="DZP170:DZP171"/>
    <mergeCell ref="DZQ170:DZQ171"/>
    <mergeCell ref="DZR170:DZR171"/>
    <mergeCell ref="DZS170:DZS171"/>
    <mergeCell ref="EAA170:EAA171"/>
    <mergeCell ref="EAB170:EAB171"/>
    <mergeCell ref="EAC170:EAC171"/>
    <mergeCell ref="EAD170:EAD171"/>
    <mergeCell ref="EAE170:EAE171"/>
    <mergeCell ref="EAF170:EAF171"/>
    <mergeCell ref="EAN170:EAN171"/>
    <mergeCell ref="EAO170:EAO171"/>
    <mergeCell ref="EAP170:EAP171"/>
    <mergeCell ref="EAQ170:EAQ171"/>
    <mergeCell ref="EAR170:EAR171"/>
    <mergeCell ref="EAS170:EAS171"/>
    <mergeCell ref="EBA170:EBA171"/>
    <mergeCell ref="EBB170:EBB171"/>
    <mergeCell ref="EBC170:EBC171"/>
    <mergeCell ref="EBD170:EBD171"/>
    <mergeCell ref="EBE170:EBE171"/>
    <mergeCell ref="EBF170:EBF171"/>
    <mergeCell ref="EBN170:EBN171"/>
    <mergeCell ref="EBO170:EBO171"/>
    <mergeCell ref="EBP170:EBP171"/>
    <mergeCell ref="EBQ170:EBQ171"/>
    <mergeCell ref="EBR170:EBR171"/>
    <mergeCell ref="EBS170:EBS171"/>
    <mergeCell ref="ECA170:ECA171"/>
    <mergeCell ref="ECB170:ECB171"/>
    <mergeCell ref="ECC170:ECC171"/>
    <mergeCell ref="ECD170:ECD171"/>
    <mergeCell ref="ECE170:ECE171"/>
    <mergeCell ref="ECF170:ECF171"/>
    <mergeCell ref="ECN170:ECN171"/>
    <mergeCell ref="ECO170:ECO171"/>
    <mergeCell ref="ECP170:ECP171"/>
    <mergeCell ref="ECQ170:ECQ171"/>
    <mergeCell ref="ECR170:ECR171"/>
    <mergeCell ref="ECS170:ECS171"/>
    <mergeCell ref="EDA170:EDA171"/>
    <mergeCell ref="EDB170:EDB171"/>
    <mergeCell ref="EDC170:EDC171"/>
    <mergeCell ref="EDD170:EDD171"/>
    <mergeCell ref="EDE170:EDE171"/>
    <mergeCell ref="EDF170:EDF171"/>
    <mergeCell ref="EDN170:EDN171"/>
    <mergeCell ref="EDO170:EDO171"/>
    <mergeCell ref="EDP170:EDP171"/>
    <mergeCell ref="EDQ170:EDQ171"/>
    <mergeCell ref="EDR170:EDR171"/>
    <mergeCell ref="EDS170:EDS171"/>
    <mergeCell ref="EEA170:EEA171"/>
    <mergeCell ref="EEB170:EEB171"/>
    <mergeCell ref="EEC170:EEC171"/>
    <mergeCell ref="EED170:EED171"/>
    <mergeCell ref="EEE170:EEE171"/>
    <mergeCell ref="EEF170:EEF171"/>
    <mergeCell ref="EEN170:EEN171"/>
    <mergeCell ref="EEO170:EEO171"/>
    <mergeCell ref="EEP170:EEP171"/>
    <mergeCell ref="EEQ170:EEQ171"/>
    <mergeCell ref="EER170:EER171"/>
    <mergeCell ref="EES170:EES171"/>
    <mergeCell ref="EFA170:EFA171"/>
    <mergeCell ref="EFB170:EFB171"/>
    <mergeCell ref="EFC170:EFC171"/>
    <mergeCell ref="EFD170:EFD171"/>
    <mergeCell ref="EFE170:EFE171"/>
    <mergeCell ref="EFF170:EFF171"/>
    <mergeCell ref="EFN170:EFN171"/>
    <mergeCell ref="EFO170:EFO171"/>
    <mergeCell ref="EFP170:EFP171"/>
    <mergeCell ref="EFQ170:EFQ171"/>
    <mergeCell ref="EFR170:EFR171"/>
    <mergeCell ref="EFS170:EFS171"/>
    <mergeCell ref="EGA170:EGA171"/>
    <mergeCell ref="EGB170:EGB171"/>
    <mergeCell ref="EGC170:EGC171"/>
    <mergeCell ref="EGD170:EGD171"/>
    <mergeCell ref="EGE170:EGE171"/>
    <mergeCell ref="EGF170:EGF171"/>
    <mergeCell ref="EGN170:EGN171"/>
    <mergeCell ref="EGO170:EGO171"/>
    <mergeCell ref="EGP170:EGP171"/>
    <mergeCell ref="EGQ170:EGQ171"/>
    <mergeCell ref="EGR170:EGR171"/>
    <mergeCell ref="EGS170:EGS171"/>
    <mergeCell ref="EHA170:EHA171"/>
    <mergeCell ref="EHB170:EHB171"/>
    <mergeCell ref="EHC170:EHC171"/>
    <mergeCell ref="EHD170:EHD171"/>
    <mergeCell ref="EHE170:EHE171"/>
    <mergeCell ref="EHF170:EHF171"/>
    <mergeCell ref="EHN170:EHN171"/>
    <mergeCell ref="EHO170:EHO171"/>
    <mergeCell ref="EHP170:EHP171"/>
    <mergeCell ref="EHQ170:EHQ171"/>
    <mergeCell ref="EHR170:EHR171"/>
    <mergeCell ref="EHS170:EHS171"/>
    <mergeCell ref="EIA170:EIA171"/>
    <mergeCell ref="EIB170:EIB171"/>
    <mergeCell ref="EIC170:EIC171"/>
    <mergeCell ref="EID170:EID171"/>
    <mergeCell ref="EIE170:EIE171"/>
    <mergeCell ref="EIF170:EIF171"/>
    <mergeCell ref="EIN170:EIN171"/>
    <mergeCell ref="EIO170:EIO171"/>
    <mergeCell ref="EIP170:EIP171"/>
    <mergeCell ref="EIQ170:EIQ171"/>
    <mergeCell ref="EIR170:EIR171"/>
    <mergeCell ref="EIS170:EIS171"/>
    <mergeCell ref="EJA170:EJA171"/>
    <mergeCell ref="EJB170:EJB171"/>
    <mergeCell ref="EJC170:EJC171"/>
    <mergeCell ref="EJD170:EJD171"/>
    <mergeCell ref="EJE170:EJE171"/>
    <mergeCell ref="EJF170:EJF171"/>
    <mergeCell ref="EJN170:EJN171"/>
    <mergeCell ref="EJO170:EJO171"/>
    <mergeCell ref="EJP170:EJP171"/>
    <mergeCell ref="EJQ170:EJQ171"/>
    <mergeCell ref="EJR170:EJR171"/>
    <mergeCell ref="EJS170:EJS171"/>
    <mergeCell ref="EKA170:EKA171"/>
    <mergeCell ref="EKB170:EKB171"/>
    <mergeCell ref="EKC170:EKC171"/>
    <mergeCell ref="EKD170:EKD171"/>
    <mergeCell ref="EKE170:EKE171"/>
    <mergeCell ref="EKF170:EKF171"/>
    <mergeCell ref="EKN170:EKN171"/>
    <mergeCell ref="EKO170:EKO171"/>
    <mergeCell ref="EKP170:EKP171"/>
    <mergeCell ref="EKQ170:EKQ171"/>
    <mergeCell ref="EKR170:EKR171"/>
    <mergeCell ref="EKS170:EKS171"/>
    <mergeCell ref="ELA170:ELA171"/>
    <mergeCell ref="ELB170:ELB171"/>
    <mergeCell ref="ELC170:ELC171"/>
    <mergeCell ref="ELD170:ELD171"/>
    <mergeCell ref="ELE170:ELE171"/>
    <mergeCell ref="ELF170:ELF171"/>
    <mergeCell ref="ELN170:ELN171"/>
    <mergeCell ref="ELO170:ELO171"/>
    <mergeCell ref="ELP170:ELP171"/>
    <mergeCell ref="ELQ170:ELQ171"/>
    <mergeCell ref="ELR170:ELR171"/>
    <mergeCell ref="ELS170:ELS171"/>
    <mergeCell ref="EMA170:EMA171"/>
    <mergeCell ref="EMB170:EMB171"/>
    <mergeCell ref="EMC170:EMC171"/>
    <mergeCell ref="EMD170:EMD171"/>
    <mergeCell ref="EME170:EME171"/>
    <mergeCell ref="EMF170:EMF171"/>
    <mergeCell ref="EMN170:EMN171"/>
    <mergeCell ref="EMO170:EMO171"/>
    <mergeCell ref="EMP170:EMP171"/>
    <mergeCell ref="EMQ170:EMQ171"/>
    <mergeCell ref="EMR170:EMR171"/>
    <mergeCell ref="EMS170:EMS171"/>
    <mergeCell ref="ENA170:ENA171"/>
    <mergeCell ref="ENB170:ENB171"/>
    <mergeCell ref="ENC170:ENC171"/>
    <mergeCell ref="END170:END171"/>
    <mergeCell ref="ENE170:ENE171"/>
    <mergeCell ref="ENF170:ENF171"/>
    <mergeCell ref="ENN170:ENN171"/>
    <mergeCell ref="ENO170:ENO171"/>
    <mergeCell ref="ENP170:ENP171"/>
    <mergeCell ref="ENQ170:ENQ171"/>
    <mergeCell ref="ENR170:ENR171"/>
    <mergeCell ref="ENS170:ENS171"/>
    <mergeCell ref="EOA170:EOA171"/>
    <mergeCell ref="EOB170:EOB171"/>
    <mergeCell ref="EOC170:EOC171"/>
    <mergeCell ref="EOD170:EOD171"/>
    <mergeCell ref="EOE170:EOE171"/>
    <mergeCell ref="EOF170:EOF171"/>
    <mergeCell ref="EON170:EON171"/>
    <mergeCell ref="EOO170:EOO171"/>
    <mergeCell ref="EOP170:EOP171"/>
    <mergeCell ref="EOQ170:EOQ171"/>
    <mergeCell ref="EOR170:EOR171"/>
    <mergeCell ref="EOS170:EOS171"/>
    <mergeCell ref="EPA170:EPA171"/>
    <mergeCell ref="EPB170:EPB171"/>
    <mergeCell ref="EPC170:EPC171"/>
    <mergeCell ref="EPD170:EPD171"/>
    <mergeCell ref="EPE170:EPE171"/>
    <mergeCell ref="EPF170:EPF171"/>
    <mergeCell ref="EPN170:EPN171"/>
    <mergeCell ref="EPO170:EPO171"/>
    <mergeCell ref="EPP170:EPP171"/>
    <mergeCell ref="EPQ170:EPQ171"/>
    <mergeCell ref="EPR170:EPR171"/>
    <mergeCell ref="EPS170:EPS171"/>
    <mergeCell ref="EQA170:EQA171"/>
    <mergeCell ref="EQB170:EQB171"/>
    <mergeCell ref="EQC170:EQC171"/>
    <mergeCell ref="EQD170:EQD171"/>
    <mergeCell ref="EQE170:EQE171"/>
    <mergeCell ref="EQF170:EQF171"/>
    <mergeCell ref="EQN170:EQN171"/>
    <mergeCell ref="EQO170:EQO171"/>
    <mergeCell ref="EQP170:EQP171"/>
    <mergeCell ref="EQQ170:EQQ171"/>
    <mergeCell ref="EQR170:EQR171"/>
    <mergeCell ref="EQS170:EQS171"/>
    <mergeCell ref="ERA170:ERA171"/>
    <mergeCell ref="ERB170:ERB171"/>
    <mergeCell ref="ERC170:ERC171"/>
    <mergeCell ref="ERD170:ERD171"/>
    <mergeCell ref="ERE170:ERE171"/>
    <mergeCell ref="ERF170:ERF171"/>
    <mergeCell ref="ERN170:ERN171"/>
    <mergeCell ref="ERO170:ERO171"/>
    <mergeCell ref="ERP170:ERP171"/>
    <mergeCell ref="ERQ170:ERQ171"/>
    <mergeCell ref="ERR170:ERR171"/>
    <mergeCell ref="ERS170:ERS171"/>
    <mergeCell ref="ESA170:ESA171"/>
    <mergeCell ref="ESB170:ESB171"/>
    <mergeCell ref="ESC170:ESC171"/>
    <mergeCell ref="ESD170:ESD171"/>
    <mergeCell ref="ESE170:ESE171"/>
    <mergeCell ref="ESF170:ESF171"/>
    <mergeCell ref="ESN170:ESN171"/>
    <mergeCell ref="ESO170:ESO171"/>
    <mergeCell ref="ESP170:ESP171"/>
    <mergeCell ref="ESQ170:ESQ171"/>
    <mergeCell ref="ESR170:ESR171"/>
    <mergeCell ref="ESS170:ESS171"/>
    <mergeCell ref="ETA170:ETA171"/>
    <mergeCell ref="ETB170:ETB171"/>
    <mergeCell ref="ETC170:ETC171"/>
    <mergeCell ref="ETD170:ETD171"/>
    <mergeCell ref="ETE170:ETE171"/>
    <mergeCell ref="ETF170:ETF171"/>
    <mergeCell ref="ETN170:ETN171"/>
    <mergeCell ref="ETO170:ETO171"/>
    <mergeCell ref="ETP170:ETP171"/>
    <mergeCell ref="ETQ170:ETQ171"/>
    <mergeCell ref="ETR170:ETR171"/>
    <mergeCell ref="ETS170:ETS171"/>
    <mergeCell ref="EUA170:EUA171"/>
    <mergeCell ref="EUB170:EUB171"/>
    <mergeCell ref="EUC170:EUC171"/>
    <mergeCell ref="EUD170:EUD171"/>
    <mergeCell ref="EUE170:EUE171"/>
    <mergeCell ref="EUF170:EUF171"/>
    <mergeCell ref="EUN170:EUN171"/>
    <mergeCell ref="EUO170:EUO171"/>
    <mergeCell ref="EUP170:EUP171"/>
    <mergeCell ref="EUQ170:EUQ171"/>
    <mergeCell ref="EUR170:EUR171"/>
    <mergeCell ref="EUS170:EUS171"/>
    <mergeCell ref="EVA170:EVA171"/>
    <mergeCell ref="EVB170:EVB171"/>
    <mergeCell ref="EVC170:EVC171"/>
    <mergeCell ref="EVD170:EVD171"/>
    <mergeCell ref="EVE170:EVE171"/>
    <mergeCell ref="EVF170:EVF171"/>
    <mergeCell ref="EVN170:EVN171"/>
    <mergeCell ref="EVO170:EVO171"/>
    <mergeCell ref="EVP170:EVP171"/>
    <mergeCell ref="EVQ170:EVQ171"/>
    <mergeCell ref="EVR170:EVR171"/>
    <mergeCell ref="EVS170:EVS171"/>
    <mergeCell ref="EWA170:EWA171"/>
    <mergeCell ref="EWB170:EWB171"/>
    <mergeCell ref="EWC170:EWC171"/>
    <mergeCell ref="EWD170:EWD171"/>
    <mergeCell ref="EWE170:EWE171"/>
    <mergeCell ref="EWF170:EWF171"/>
    <mergeCell ref="EWN170:EWN171"/>
    <mergeCell ref="EWO170:EWO171"/>
    <mergeCell ref="EWP170:EWP171"/>
    <mergeCell ref="EWQ170:EWQ171"/>
    <mergeCell ref="EWR170:EWR171"/>
    <mergeCell ref="EWS170:EWS171"/>
    <mergeCell ref="EXA170:EXA171"/>
    <mergeCell ref="EXB170:EXB171"/>
    <mergeCell ref="EXC170:EXC171"/>
    <mergeCell ref="EXD170:EXD171"/>
    <mergeCell ref="EXE170:EXE171"/>
    <mergeCell ref="EXF170:EXF171"/>
    <mergeCell ref="EXN170:EXN171"/>
    <mergeCell ref="EXO170:EXO171"/>
    <mergeCell ref="EXP170:EXP171"/>
    <mergeCell ref="EXQ170:EXQ171"/>
    <mergeCell ref="EXR170:EXR171"/>
    <mergeCell ref="EXS170:EXS171"/>
    <mergeCell ref="EYA170:EYA171"/>
    <mergeCell ref="EYB170:EYB171"/>
    <mergeCell ref="EYC170:EYC171"/>
    <mergeCell ref="EYD170:EYD171"/>
    <mergeCell ref="EYE170:EYE171"/>
    <mergeCell ref="EYF170:EYF171"/>
    <mergeCell ref="EYN170:EYN171"/>
    <mergeCell ref="EYO170:EYO171"/>
    <mergeCell ref="EYP170:EYP171"/>
    <mergeCell ref="EYQ170:EYQ171"/>
    <mergeCell ref="EYR170:EYR171"/>
    <mergeCell ref="EYS170:EYS171"/>
    <mergeCell ref="EZA170:EZA171"/>
    <mergeCell ref="EZB170:EZB171"/>
    <mergeCell ref="EZC170:EZC171"/>
    <mergeCell ref="EZD170:EZD171"/>
    <mergeCell ref="EZE170:EZE171"/>
    <mergeCell ref="EZF170:EZF171"/>
    <mergeCell ref="EZN170:EZN171"/>
    <mergeCell ref="EZO170:EZO171"/>
    <mergeCell ref="EZP170:EZP171"/>
    <mergeCell ref="EZQ170:EZQ171"/>
    <mergeCell ref="EZR170:EZR171"/>
    <mergeCell ref="EZS170:EZS171"/>
    <mergeCell ref="FAA170:FAA171"/>
    <mergeCell ref="FAB170:FAB171"/>
    <mergeCell ref="FAC170:FAC171"/>
    <mergeCell ref="FAD170:FAD171"/>
    <mergeCell ref="FAE170:FAE171"/>
    <mergeCell ref="FAF170:FAF171"/>
    <mergeCell ref="FAN170:FAN171"/>
    <mergeCell ref="FAO170:FAO171"/>
    <mergeCell ref="FAP170:FAP171"/>
    <mergeCell ref="FAQ170:FAQ171"/>
    <mergeCell ref="FAR170:FAR171"/>
    <mergeCell ref="FAS170:FAS171"/>
    <mergeCell ref="FBA170:FBA171"/>
    <mergeCell ref="FBB170:FBB171"/>
    <mergeCell ref="FBC170:FBC171"/>
    <mergeCell ref="FBD170:FBD171"/>
    <mergeCell ref="FBE170:FBE171"/>
    <mergeCell ref="FBF170:FBF171"/>
    <mergeCell ref="FBN170:FBN171"/>
    <mergeCell ref="FBO170:FBO171"/>
    <mergeCell ref="FBP170:FBP171"/>
    <mergeCell ref="FBQ170:FBQ171"/>
    <mergeCell ref="FBR170:FBR171"/>
    <mergeCell ref="FBS170:FBS171"/>
    <mergeCell ref="FCA170:FCA171"/>
    <mergeCell ref="FCB170:FCB171"/>
    <mergeCell ref="FCC170:FCC171"/>
    <mergeCell ref="FCD170:FCD171"/>
    <mergeCell ref="FCE170:FCE171"/>
    <mergeCell ref="FCF170:FCF171"/>
    <mergeCell ref="FCN170:FCN171"/>
    <mergeCell ref="FCO170:FCO171"/>
    <mergeCell ref="FCP170:FCP171"/>
    <mergeCell ref="FCQ170:FCQ171"/>
    <mergeCell ref="FCR170:FCR171"/>
    <mergeCell ref="FCS170:FCS171"/>
    <mergeCell ref="FDA170:FDA171"/>
    <mergeCell ref="FDB170:FDB171"/>
    <mergeCell ref="FDC170:FDC171"/>
    <mergeCell ref="FDD170:FDD171"/>
    <mergeCell ref="FDE170:FDE171"/>
    <mergeCell ref="FDF170:FDF171"/>
    <mergeCell ref="FDN170:FDN171"/>
    <mergeCell ref="FDO170:FDO171"/>
    <mergeCell ref="FDP170:FDP171"/>
    <mergeCell ref="FDQ170:FDQ171"/>
    <mergeCell ref="FDR170:FDR171"/>
    <mergeCell ref="FDS170:FDS171"/>
    <mergeCell ref="FEA170:FEA171"/>
    <mergeCell ref="FEB170:FEB171"/>
    <mergeCell ref="FEC170:FEC171"/>
    <mergeCell ref="FED170:FED171"/>
    <mergeCell ref="FEE170:FEE171"/>
    <mergeCell ref="FEF170:FEF171"/>
    <mergeCell ref="FEN170:FEN171"/>
    <mergeCell ref="FEO170:FEO171"/>
    <mergeCell ref="FEP170:FEP171"/>
    <mergeCell ref="FEQ170:FEQ171"/>
    <mergeCell ref="FER170:FER171"/>
    <mergeCell ref="FES170:FES171"/>
    <mergeCell ref="FFA170:FFA171"/>
    <mergeCell ref="FFB170:FFB171"/>
    <mergeCell ref="FFC170:FFC171"/>
    <mergeCell ref="FFD170:FFD171"/>
    <mergeCell ref="FFE170:FFE171"/>
    <mergeCell ref="FFF170:FFF171"/>
    <mergeCell ref="FFN170:FFN171"/>
    <mergeCell ref="FFO170:FFO171"/>
    <mergeCell ref="FFP170:FFP171"/>
    <mergeCell ref="FFQ170:FFQ171"/>
    <mergeCell ref="FFR170:FFR171"/>
    <mergeCell ref="FFS170:FFS171"/>
    <mergeCell ref="FGA170:FGA171"/>
    <mergeCell ref="FGB170:FGB171"/>
    <mergeCell ref="FGC170:FGC171"/>
    <mergeCell ref="FGD170:FGD171"/>
    <mergeCell ref="FGE170:FGE171"/>
    <mergeCell ref="FGF170:FGF171"/>
    <mergeCell ref="FGN170:FGN171"/>
    <mergeCell ref="FGO170:FGO171"/>
    <mergeCell ref="FGP170:FGP171"/>
    <mergeCell ref="FGQ170:FGQ171"/>
    <mergeCell ref="FGR170:FGR171"/>
    <mergeCell ref="FGS170:FGS171"/>
    <mergeCell ref="FHA170:FHA171"/>
    <mergeCell ref="FHB170:FHB171"/>
    <mergeCell ref="FHC170:FHC171"/>
    <mergeCell ref="FHD170:FHD171"/>
    <mergeCell ref="FHE170:FHE171"/>
    <mergeCell ref="FHF170:FHF171"/>
    <mergeCell ref="FHN170:FHN171"/>
    <mergeCell ref="FHO170:FHO171"/>
    <mergeCell ref="FHP170:FHP171"/>
    <mergeCell ref="FHQ170:FHQ171"/>
    <mergeCell ref="FHR170:FHR171"/>
    <mergeCell ref="FHS170:FHS171"/>
    <mergeCell ref="FIA170:FIA171"/>
    <mergeCell ref="FIB170:FIB171"/>
    <mergeCell ref="FIC170:FIC171"/>
    <mergeCell ref="FID170:FID171"/>
    <mergeCell ref="FIE170:FIE171"/>
    <mergeCell ref="FIF170:FIF171"/>
    <mergeCell ref="FIN170:FIN171"/>
    <mergeCell ref="FIO170:FIO171"/>
    <mergeCell ref="FIP170:FIP171"/>
    <mergeCell ref="FIQ170:FIQ171"/>
    <mergeCell ref="FIR170:FIR171"/>
    <mergeCell ref="FIS170:FIS171"/>
    <mergeCell ref="FJA170:FJA171"/>
    <mergeCell ref="FJB170:FJB171"/>
    <mergeCell ref="FJC170:FJC171"/>
    <mergeCell ref="FJD170:FJD171"/>
    <mergeCell ref="FJE170:FJE171"/>
    <mergeCell ref="FJF170:FJF171"/>
    <mergeCell ref="FJN170:FJN171"/>
    <mergeCell ref="FJO170:FJO171"/>
    <mergeCell ref="FJP170:FJP171"/>
    <mergeCell ref="FJQ170:FJQ171"/>
    <mergeCell ref="FJR170:FJR171"/>
    <mergeCell ref="FJS170:FJS171"/>
    <mergeCell ref="FKA170:FKA171"/>
    <mergeCell ref="FKB170:FKB171"/>
    <mergeCell ref="FKC170:FKC171"/>
    <mergeCell ref="FKD170:FKD171"/>
    <mergeCell ref="FKE170:FKE171"/>
    <mergeCell ref="FKF170:FKF171"/>
    <mergeCell ref="FKN170:FKN171"/>
    <mergeCell ref="FKO170:FKO171"/>
    <mergeCell ref="FKP170:FKP171"/>
    <mergeCell ref="FKQ170:FKQ171"/>
    <mergeCell ref="FKR170:FKR171"/>
    <mergeCell ref="FKS170:FKS171"/>
    <mergeCell ref="FLA170:FLA171"/>
    <mergeCell ref="FLB170:FLB171"/>
    <mergeCell ref="FLC170:FLC171"/>
    <mergeCell ref="FLD170:FLD171"/>
    <mergeCell ref="FLE170:FLE171"/>
    <mergeCell ref="FLF170:FLF171"/>
    <mergeCell ref="FLN170:FLN171"/>
    <mergeCell ref="FLO170:FLO171"/>
    <mergeCell ref="FLP170:FLP171"/>
    <mergeCell ref="FLQ170:FLQ171"/>
    <mergeCell ref="FLR170:FLR171"/>
    <mergeCell ref="FLS170:FLS171"/>
    <mergeCell ref="FMA170:FMA171"/>
    <mergeCell ref="FMB170:FMB171"/>
    <mergeCell ref="FMC170:FMC171"/>
    <mergeCell ref="FMD170:FMD171"/>
    <mergeCell ref="FME170:FME171"/>
    <mergeCell ref="FMF170:FMF171"/>
    <mergeCell ref="FMN170:FMN171"/>
    <mergeCell ref="FMO170:FMO171"/>
    <mergeCell ref="FMP170:FMP171"/>
    <mergeCell ref="FMQ170:FMQ171"/>
    <mergeCell ref="FMR170:FMR171"/>
    <mergeCell ref="FMS170:FMS171"/>
    <mergeCell ref="FNA170:FNA171"/>
    <mergeCell ref="FNB170:FNB171"/>
    <mergeCell ref="FNC170:FNC171"/>
    <mergeCell ref="FND170:FND171"/>
    <mergeCell ref="FNE170:FNE171"/>
    <mergeCell ref="FNF170:FNF171"/>
    <mergeCell ref="FNN170:FNN171"/>
    <mergeCell ref="FNO170:FNO171"/>
    <mergeCell ref="FNP170:FNP171"/>
    <mergeCell ref="FNQ170:FNQ171"/>
    <mergeCell ref="FNR170:FNR171"/>
    <mergeCell ref="FNS170:FNS171"/>
    <mergeCell ref="FOA170:FOA171"/>
    <mergeCell ref="FOB170:FOB171"/>
    <mergeCell ref="FOC170:FOC171"/>
    <mergeCell ref="FOD170:FOD171"/>
    <mergeCell ref="FOE170:FOE171"/>
    <mergeCell ref="FOF170:FOF171"/>
    <mergeCell ref="FON170:FON171"/>
    <mergeCell ref="FOO170:FOO171"/>
    <mergeCell ref="FOP170:FOP171"/>
    <mergeCell ref="FOQ170:FOQ171"/>
    <mergeCell ref="FOR170:FOR171"/>
    <mergeCell ref="FOS170:FOS171"/>
    <mergeCell ref="FPA170:FPA171"/>
    <mergeCell ref="FPB170:FPB171"/>
    <mergeCell ref="FPC170:FPC171"/>
    <mergeCell ref="FPD170:FPD171"/>
    <mergeCell ref="FPE170:FPE171"/>
    <mergeCell ref="FPF170:FPF171"/>
    <mergeCell ref="FPN170:FPN171"/>
    <mergeCell ref="FPO170:FPO171"/>
    <mergeCell ref="FPP170:FPP171"/>
    <mergeCell ref="FPQ170:FPQ171"/>
    <mergeCell ref="FPR170:FPR171"/>
    <mergeCell ref="FPS170:FPS171"/>
    <mergeCell ref="FQA170:FQA171"/>
    <mergeCell ref="FQB170:FQB171"/>
    <mergeCell ref="FQC170:FQC171"/>
    <mergeCell ref="FQD170:FQD171"/>
    <mergeCell ref="FQE170:FQE171"/>
    <mergeCell ref="FQF170:FQF171"/>
    <mergeCell ref="FQN170:FQN171"/>
    <mergeCell ref="FQO170:FQO171"/>
    <mergeCell ref="FQP170:FQP171"/>
    <mergeCell ref="FQQ170:FQQ171"/>
    <mergeCell ref="FQR170:FQR171"/>
    <mergeCell ref="FQS170:FQS171"/>
    <mergeCell ref="FRA170:FRA171"/>
    <mergeCell ref="FRB170:FRB171"/>
    <mergeCell ref="FRC170:FRC171"/>
    <mergeCell ref="FRD170:FRD171"/>
    <mergeCell ref="FRE170:FRE171"/>
    <mergeCell ref="FRF170:FRF171"/>
    <mergeCell ref="FRN170:FRN171"/>
    <mergeCell ref="FRO170:FRO171"/>
    <mergeCell ref="FRP170:FRP171"/>
    <mergeCell ref="FRQ170:FRQ171"/>
    <mergeCell ref="FRR170:FRR171"/>
    <mergeCell ref="FRS170:FRS171"/>
    <mergeCell ref="FSA170:FSA171"/>
    <mergeCell ref="FSB170:FSB171"/>
    <mergeCell ref="FSC170:FSC171"/>
    <mergeCell ref="FSD170:FSD171"/>
    <mergeCell ref="FSE170:FSE171"/>
    <mergeCell ref="FSF170:FSF171"/>
    <mergeCell ref="FSN170:FSN171"/>
    <mergeCell ref="FSO170:FSO171"/>
    <mergeCell ref="FSP170:FSP171"/>
    <mergeCell ref="FSQ170:FSQ171"/>
    <mergeCell ref="FSR170:FSR171"/>
    <mergeCell ref="FSS170:FSS171"/>
    <mergeCell ref="FTA170:FTA171"/>
    <mergeCell ref="FTB170:FTB171"/>
    <mergeCell ref="FTC170:FTC171"/>
    <mergeCell ref="FTD170:FTD171"/>
    <mergeCell ref="FTE170:FTE171"/>
    <mergeCell ref="FTF170:FTF171"/>
    <mergeCell ref="FTN170:FTN171"/>
    <mergeCell ref="FTO170:FTO171"/>
    <mergeCell ref="FTP170:FTP171"/>
    <mergeCell ref="FTQ170:FTQ171"/>
    <mergeCell ref="FTR170:FTR171"/>
    <mergeCell ref="FTS170:FTS171"/>
    <mergeCell ref="FUA170:FUA171"/>
    <mergeCell ref="FUB170:FUB171"/>
    <mergeCell ref="FUC170:FUC171"/>
    <mergeCell ref="FUD170:FUD171"/>
    <mergeCell ref="FUE170:FUE171"/>
    <mergeCell ref="FUF170:FUF171"/>
    <mergeCell ref="FUN170:FUN171"/>
    <mergeCell ref="FUO170:FUO171"/>
    <mergeCell ref="FUP170:FUP171"/>
    <mergeCell ref="FUQ170:FUQ171"/>
    <mergeCell ref="FUR170:FUR171"/>
    <mergeCell ref="FUS170:FUS171"/>
    <mergeCell ref="FVA170:FVA171"/>
    <mergeCell ref="FVB170:FVB171"/>
    <mergeCell ref="FVC170:FVC171"/>
    <mergeCell ref="FVD170:FVD171"/>
    <mergeCell ref="FVE170:FVE171"/>
    <mergeCell ref="FVF170:FVF171"/>
    <mergeCell ref="FVN170:FVN171"/>
    <mergeCell ref="FVO170:FVO171"/>
    <mergeCell ref="FVP170:FVP171"/>
    <mergeCell ref="FVQ170:FVQ171"/>
    <mergeCell ref="FVR170:FVR171"/>
    <mergeCell ref="FVS170:FVS171"/>
    <mergeCell ref="FWA170:FWA171"/>
    <mergeCell ref="FWB170:FWB171"/>
    <mergeCell ref="FWC170:FWC171"/>
    <mergeCell ref="FWD170:FWD171"/>
    <mergeCell ref="FWE170:FWE171"/>
    <mergeCell ref="FWF170:FWF171"/>
    <mergeCell ref="FWN170:FWN171"/>
    <mergeCell ref="FWO170:FWO171"/>
    <mergeCell ref="FWP170:FWP171"/>
    <mergeCell ref="FWQ170:FWQ171"/>
    <mergeCell ref="FWR170:FWR171"/>
    <mergeCell ref="FWS170:FWS171"/>
    <mergeCell ref="FXA170:FXA171"/>
    <mergeCell ref="FXB170:FXB171"/>
    <mergeCell ref="FXC170:FXC171"/>
    <mergeCell ref="FXD170:FXD171"/>
    <mergeCell ref="FXE170:FXE171"/>
    <mergeCell ref="FXF170:FXF171"/>
    <mergeCell ref="FXN170:FXN171"/>
    <mergeCell ref="FXO170:FXO171"/>
    <mergeCell ref="FXP170:FXP171"/>
    <mergeCell ref="FXQ170:FXQ171"/>
    <mergeCell ref="FXR170:FXR171"/>
    <mergeCell ref="FXS170:FXS171"/>
    <mergeCell ref="FYA170:FYA171"/>
    <mergeCell ref="FYB170:FYB171"/>
    <mergeCell ref="FYC170:FYC171"/>
    <mergeCell ref="FYD170:FYD171"/>
    <mergeCell ref="FYE170:FYE171"/>
    <mergeCell ref="FYF170:FYF171"/>
    <mergeCell ref="FYN170:FYN171"/>
    <mergeCell ref="FYO170:FYO171"/>
    <mergeCell ref="FYP170:FYP171"/>
    <mergeCell ref="FYQ170:FYQ171"/>
    <mergeCell ref="FYR170:FYR171"/>
    <mergeCell ref="FYS170:FYS171"/>
    <mergeCell ref="FZA170:FZA171"/>
    <mergeCell ref="FZB170:FZB171"/>
    <mergeCell ref="FZC170:FZC171"/>
    <mergeCell ref="FZD170:FZD171"/>
    <mergeCell ref="FZE170:FZE171"/>
    <mergeCell ref="FZF170:FZF171"/>
    <mergeCell ref="FZN170:FZN171"/>
    <mergeCell ref="FZO170:FZO171"/>
    <mergeCell ref="FZP170:FZP171"/>
    <mergeCell ref="FZQ170:FZQ171"/>
    <mergeCell ref="FZR170:FZR171"/>
    <mergeCell ref="FZS170:FZS171"/>
    <mergeCell ref="GAA170:GAA171"/>
    <mergeCell ref="GAB170:GAB171"/>
    <mergeCell ref="GAC170:GAC171"/>
    <mergeCell ref="GAD170:GAD171"/>
    <mergeCell ref="GAE170:GAE171"/>
    <mergeCell ref="GAF170:GAF171"/>
    <mergeCell ref="GAN170:GAN171"/>
    <mergeCell ref="GAO170:GAO171"/>
    <mergeCell ref="GAP170:GAP171"/>
    <mergeCell ref="GAQ170:GAQ171"/>
    <mergeCell ref="GAR170:GAR171"/>
    <mergeCell ref="GAS170:GAS171"/>
    <mergeCell ref="GBA170:GBA171"/>
    <mergeCell ref="GBB170:GBB171"/>
    <mergeCell ref="GBC170:GBC171"/>
    <mergeCell ref="GBD170:GBD171"/>
    <mergeCell ref="GBE170:GBE171"/>
    <mergeCell ref="GBF170:GBF171"/>
    <mergeCell ref="GBN170:GBN171"/>
    <mergeCell ref="GBO170:GBO171"/>
    <mergeCell ref="GBP170:GBP171"/>
    <mergeCell ref="GBQ170:GBQ171"/>
    <mergeCell ref="GBR170:GBR171"/>
    <mergeCell ref="GBS170:GBS171"/>
    <mergeCell ref="GCA170:GCA171"/>
    <mergeCell ref="GCB170:GCB171"/>
    <mergeCell ref="GCC170:GCC171"/>
    <mergeCell ref="GCD170:GCD171"/>
    <mergeCell ref="GCE170:GCE171"/>
    <mergeCell ref="GCF170:GCF171"/>
    <mergeCell ref="GCN170:GCN171"/>
    <mergeCell ref="GCO170:GCO171"/>
    <mergeCell ref="GCP170:GCP171"/>
    <mergeCell ref="GCQ170:GCQ171"/>
    <mergeCell ref="GCR170:GCR171"/>
    <mergeCell ref="GCS170:GCS171"/>
    <mergeCell ref="GDA170:GDA171"/>
    <mergeCell ref="GDB170:GDB171"/>
    <mergeCell ref="GDC170:GDC171"/>
    <mergeCell ref="GDD170:GDD171"/>
    <mergeCell ref="GDE170:GDE171"/>
    <mergeCell ref="GDF170:GDF171"/>
    <mergeCell ref="GDN170:GDN171"/>
    <mergeCell ref="GDO170:GDO171"/>
    <mergeCell ref="GDP170:GDP171"/>
    <mergeCell ref="GDQ170:GDQ171"/>
    <mergeCell ref="GDR170:GDR171"/>
    <mergeCell ref="GDS170:GDS171"/>
    <mergeCell ref="GEA170:GEA171"/>
    <mergeCell ref="GEB170:GEB171"/>
    <mergeCell ref="GEC170:GEC171"/>
    <mergeCell ref="GED170:GED171"/>
    <mergeCell ref="GEE170:GEE171"/>
    <mergeCell ref="GEF170:GEF171"/>
    <mergeCell ref="GEN170:GEN171"/>
    <mergeCell ref="GEO170:GEO171"/>
    <mergeCell ref="GEP170:GEP171"/>
    <mergeCell ref="GEQ170:GEQ171"/>
    <mergeCell ref="GER170:GER171"/>
    <mergeCell ref="GES170:GES171"/>
    <mergeCell ref="GFA170:GFA171"/>
    <mergeCell ref="GFB170:GFB171"/>
    <mergeCell ref="GFC170:GFC171"/>
    <mergeCell ref="GFD170:GFD171"/>
    <mergeCell ref="GFE170:GFE171"/>
    <mergeCell ref="GFF170:GFF171"/>
    <mergeCell ref="GFN170:GFN171"/>
    <mergeCell ref="GFO170:GFO171"/>
    <mergeCell ref="GFP170:GFP171"/>
    <mergeCell ref="GFQ170:GFQ171"/>
    <mergeCell ref="GFR170:GFR171"/>
    <mergeCell ref="GFS170:GFS171"/>
    <mergeCell ref="GGA170:GGA171"/>
    <mergeCell ref="GGB170:GGB171"/>
    <mergeCell ref="GGC170:GGC171"/>
    <mergeCell ref="GGD170:GGD171"/>
    <mergeCell ref="GGE170:GGE171"/>
    <mergeCell ref="GGF170:GGF171"/>
    <mergeCell ref="GGN170:GGN171"/>
    <mergeCell ref="GGO170:GGO171"/>
    <mergeCell ref="GGP170:GGP171"/>
    <mergeCell ref="GGQ170:GGQ171"/>
    <mergeCell ref="GGR170:GGR171"/>
    <mergeCell ref="GGS170:GGS171"/>
    <mergeCell ref="GHA170:GHA171"/>
    <mergeCell ref="GHB170:GHB171"/>
    <mergeCell ref="GHC170:GHC171"/>
    <mergeCell ref="GHD170:GHD171"/>
    <mergeCell ref="GHE170:GHE171"/>
    <mergeCell ref="GHF170:GHF171"/>
    <mergeCell ref="GHN170:GHN171"/>
    <mergeCell ref="GHO170:GHO171"/>
    <mergeCell ref="GHP170:GHP171"/>
    <mergeCell ref="GHQ170:GHQ171"/>
    <mergeCell ref="GHR170:GHR171"/>
    <mergeCell ref="GHS170:GHS171"/>
    <mergeCell ref="GIA170:GIA171"/>
    <mergeCell ref="GIB170:GIB171"/>
    <mergeCell ref="GIC170:GIC171"/>
    <mergeCell ref="GID170:GID171"/>
    <mergeCell ref="GIE170:GIE171"/>
    <mergeCell ref="GIF170:GIF171"/>
    <mergeCell ref="GIN170:GIN171"/>
    <mergeCell ref="GIO170:GIO171"/>
    <mergeCell ref="GIP170:GIP171"/>
    <mergeCell ref="GIQ170:GIQ171"/>
    <mergeCell ref="GIR170:GIR171"/>
    <mergeCell ref="GIS170:GIS171"/>
    <mergeCell ref="GJA170:GJA171"/>
    <mergeCell ref="GJB170:GJB171"/>
    <mergeCell ref="GJC170:GJC171"/>
    <mergeCell ref="GJD170:GJD171"/>
    <mergeCell ref="GJE170:GJE171"/>
    <mergeCell ref="GJF170:GJF171"/>
    <mergeCell ref="GJN170:GJN171"/>
    <mergeCell ref="GJO170:GJO171"/>
    <mergeCell ref="GJP170:GJP171"/>
    <mergeCell ref="GJQ170:GJQ171"/>
    <mergeCell ref="GJR170:GJR171"/>
    <mergeCell ref="GJS170:GJS171"/>
    <mergeCell ref="GKA170:GKA171"/>
    <mergeCell ref="GKB170:GKB171"/>
    <mergeCell ref="GKC170:GKC171"/>
    <mergeCell ref="GKD170:GKD171"/>
    <mergeCell ref="GKE170:GKE171"/>
    <mergeCell ref="GKF170:GKF171"/>
    <mergeCell ref="GKN170:GKN171"/>
    <mergeCell ref="GKO170:GKO171"/>
    <mergeCell ref="GKP170:GKP171"/>
    <mergeCell ref="GKQ170:GKQ171"/>
    <mergeCell ref="GKR170:GKR171"/>
    <mergeCell ref="GKS170:GKS171"/>
    <mergeCell ref="GLA170:GLA171"/>
    <mergeCell ref="GLB170:GLB171"/>
    <mergeCell ref="GLC170:GLC171"/>
    <mergeCell ref="GLD170:GLD171"/>
    <mergeCell ref="GLE170:GLE171"/>
    <mergeCell ref="GLF170:GLF171"/>
    <mergeCell ref="GLN170:GLN171"/>
    <mergeCell ref="GLO170:GLO171"/>
    <mergeCell ref="GLP170:GLP171"/>
    <mergeCell ref="GLQ170:GLQ171"/>
    <mergeCell ref="GLR170:GLR171"/>
    <mergeCell ref="GLS170:GLS171"/>
    <mergeCell ref="GMA170:GMA171"/>
    <mergeCell ref="GMB170:GMB171"/>
    <mergeCell ref="GMC170:GMC171"/>
    <mergeCell ref="GMD170:GMD171"/>
    <mergeCell ref="GME170:GME171"/>
    <mergeCell ref="GMF170:GMF171"/>
    <mergeCell ref="GMN170:GMN171"/>
    <mergeCell ref="GMO170:GMO171"/>
    <mergeCell ref="GMP170:GMP171"/>
    <mergeCell ref="GMQ170:GMQ171"/>
    <mergeCell ref="GMR170:GMR171"/>
    <mergeCell ref="GMS170:GMS171"/>
    <mergeCell ref="GNA170:GNA171"/>
    <mergeCell ref="GNB170:GNB171"/>
    <mergeCell ref="GNC170:GNC171"/>
    <mergeCell ref="GND170:GND171"/>
    <mergeCell ref="GNE170:GNE171"/>
    <mergeCell ref="GNF170:GNF171"/>
    <mergeCell ref="GNN170:GNN171"/>
    <mergeCell ref="GNO170:GNO171"/>
    <mergeCell ref="GNP170:GNP171"/>
    <mergeCell ref="GNQ170:GNQ171"/>
    <mergeCell ref="GNR170:GNR171"/>
    <mergeCell ref="GNS170:GNS171"/>
    <mergeCell ref="GOA170:GOA171"/>
    <mergeCell ref="GOB170:GOB171"/>
    <mergeCell ref="GOC170:GOC171"/>
    <mergeCell ref="GOD170:GOD171"/>
    <mergeCell ref="GOE170:GOE171"/>
    <mergeCell ref="GOF170:GOF171"/>
    <mergeCell ref="GON170:GON171"/>
    <mergeCell ref="GOO170:GOO171"/>
    <mergeCell ref="GOP170:GOP171"/>
    <mergeCell ref="GOQ170:GOQ171"/>
    <mergeCell ref="GOR170:GOR171"/>
    <mergeCell ref="GOS170:GOS171"/>
    <mergeCell ref="GPA170:GPA171"/>
    <mergeCell ref="GPB170:GPB171"/>
    <mergeCell ref="GPC170:GPC171"/>
    <mergeCell ref="GPD170:GPD171"/>
    <mergeCell ref="GPE170:GPE171"/>
    <mergeCell ref="GPF170:GPF171"/>
    <mergeCell ref="GPN170:GPN171"/>
    <mergeCell ref="GPO170:GPO171"/>
    <mergeCell ref="GPP170:GPP171"/>
    <mergeCell ref="GPQ170:GPQ171"/>
    <mergeCell ref="GPR170:GPR171"/>
    <mergeCell ref="GPS170:GPS171"/>
    <mergeCell ref="GQA170:GQA171"/>
    <mergeCell ref="GQB170:GQB171"/>
    <mergeCell ref="GQC170:GQC171"/>
    <mergeCell ref="GQD170:GQD171"/>
    <mergeCell ref="GQE170:GQE171"/>
    <mergeCell ref="GQF170:GQF171"/>
    <mergeCell ref="GQN170:GQN171"/>
    <mergeCell ref="GQO170:GQO171"/>
    <mergeCell ref="GQP170:GQP171"/>
    <mergeCell ref="GQQ170:GQQ171"/>
    <mergeCell ref="GQR170:GQR171"/>
    <mergeCell ref="GQS170:GQS171"/>
    <mergeCell ref="GRA170:GRA171"/>
    <mergeCell ref="GRB170:GRB171"/>
    <mergeCell ref="GRC170:GRC171"/>
    <mergeCell ref="GRD170:GRD171"/>
    <mergeCell ref="GRE170:GRE171"/>
    <mergeCell ref="GRF170:GRF171"/>
    <mergeCell ref="GRN170:GRN171"/>
    <mergeCell ref="GRO170:GRO171"/>
    <mergeCell ref="GRP170:GRP171"/>
    <mergeCell ref="GRQ170:GRQ171"/>
    <mergeCell ref="GRR170:GRR171"/>
    <mergeCell ref="GRS170:GRS171"/>
    <mergeCell ref="GSA170:GSA171"/>
    <mergeCell ref="GSB170:GSB171"/>
    <mergeCell ref="GSC170:GSC171"/>
    <mergeCell ref="GSD170:GSD171"/>
    <mergeCell ref="GSE170:GSE171"/>
    <mergeCell ref="GSF170:GSF171"/>
    <mergeCell ref="GSN170:GSN171"/>
    <mergeCell ref="GSO170:GSO171"/>
    <mergeCell ref="GSP170:GSP171"/>
    <mergeCell ref="GSQ170:GSQ171"/>
    <mergeCell ref="GSR170:GSR171"/>
    <mergeCell ref="GSS170:GSS171"/>
    <mergeCell ref="GTA170:GTA171"/>
    <mergeCell ref="GTB170:GTB171"/>
    <mergeCell ref="GTC170:GTC171"/>
    <mergeCell ref="GTD170:GTD171"/>
    <mergeCell ref="GTE170:GTE171"/>
    <mergeCell ref="GTF170:GTF171"/>
    <mergeCell ref="GTN170:GTN171"/>
    <mergeCell ref="GTO170:GTO171"/>
    <mergeCell ref="GTP170:GTP171"/>
    <mergeCell ref="GTQ170:GTQ171"/>
    <mergeCell ref="GTR170:GTR171"/>
    <mergeCell ref="GTS170:GTS171"/>
    <mergeCell ref="GUA170:GUA171"/>
    <mergeCell ref="GUB170:GUB171"/>
    <mergeCell ref="GUC170:GUC171"/>
    <mergeCell ref="GUD170:GUD171"/>
    <mergeCell ref="GUE170:GUE171"/>
    <mergeCell ref="GUF170:GUF171"/>
    <mergeCell ref="GUN170:GUN171"/>
    <mergeCell ref="GUO170:GUO171"/>
    <mergeCell ref="GUP170:GUP171"/>
    <mergeCell ref="GUQ170:GUQ171"/>
    <mergeCell ref="GUR170:GUR171"/>
    <mergeCell ref="GUS170:GUS171"/>
    <mergeCell ref="GVA170:GVA171"/>
    <mergeCell ref="GVB170:GVB171"/>
    <mergeCell ref="GVC170:GVC171"/>
    <mergeCell ref="GVD170:GVD171"/>
    <mergeCell ref="GVE170:GVE171"/>
    <mergeCell ref="GVF170:GVF171"/>
    <mergeCell ref="GVN170:GVN171"/>
    <mergeCell ref="GVO170:GVO171"/>
    <mergeCell ref="GVP170:GVP171"/>
    <mergeCell ref="GVQ170:GVQ171"/>
    <mergeCell ref="GVR170:GVR171"/>
    <mergeCell ref="GVS170:GVS171"/>
    <mergeCell ref="GWA170:GWA171"/>
    <mergeCell ref="GWB170:GWB171"/>
    <mergeCell ref="GWC170:GWC171"/>
    <mergeCell ref="GWD170:GWD171"/>
    <mergeCell ref="GWE170:GWE171"/>
    <mergeCell ref="GWF170:GWF171"/>
    <mergeCell ref="GWN170:GWN171"/>
    <mergeCell ref="GWO170:GWO171"/>
    <mergeCell ref="GWP170:GWP171"/>
    <mergeCell ref="GWQ170:GWQ171"/>
    <mergeCell ref="GWR170:GWR171"/>
    <mergeCell ref="GWS170:GWS171"/>
    <mergeCell ref="GXA170:GXA171"/>
    <mergeCell ref="GXB170:GXB171"/>
    <mergeCell ref="GXC170:GXC171"/>
    <mergeCell ref="GXD170:GXD171"/>
    <mergeCell ref="GXE170:GXE171"/>
    <mergeCell ref="GXF170:GXF171"/>
    <mergeCell ref="GXN170:GXN171"/>
    <mergeCell ref="GXO170:GXO171"/>
    <mergeCell ref="GXP170:GXP171"/>
    <mergeCell ref="GXQ170:GXQ171"/>
    <mergeCell ref="GXR170:GXR171"/>
    <mergeCell ref="GXS170:GXS171"/>
    <mergeCell ref="GYA170:GYA171"/>
    <mergeCell ref="GYB170:GYB171"/>
    <mergeCell ref="GYC170:GYC171"/>
    <mergeCell ref="GYD170:GYD171"/>
    <mergeCell ref="GYE170:GYE171"/>
    <mergeCell ref="GYF170:GYF171"/>
    <mergeCell ref="GYN170:GYN171"/>
    <mergeCell ref="GYO170:GYO171"/>
    <mergeCell ref="GYP170:GYP171"/>
    <mergeCell ref="GYQ170:GYQ171"/>
    <mergeCell ref="GYR170:GYR171"/>
    <mergeCell ref="GYS170:GYS171"/>
    <mergeCell ref="GZA170:GZA171"/>
    <mergeCell ref="GZB170:GZB171"/>
    <mergeCell ref="GZC170:GZC171"/>
    <mergeCell ref="GZD170:GZD171"/>
    <mergeCell ref="GZE170:GZE171"/>
    <mergeCell ref="GZF170:GZF171"/>
    <mergeCell ref="GZN170:GZN171"/>
    <mergeCell ref="GZO170:GZO171"/>
    <mergeCell ref="GZP170:GZP171"/>
    <mergeCell ref="GZQ170:GZQ171"/>
    <mergeCell ref="GZR170:GZR171"/>
    <mergeCell ref="GZS170:GZS171"/>
    <mergeCell ref="HAA170:HAA171"/>
    <mergeCell ref="HAB170:HAB171"/>
    <mergeCell ref="HAC170:HAC171"/>
    <mergeCell ref="HAD170:HAD171"/>
    <mergeCell ref="HAE170:HAE171"/>
    <mergeCell ref="HAF170:HAF171"/>
    <mergeCell ref="HAN170:HAN171"/>
    <mergeCell ref="HAO170:HAO171"/>
    <mergeCell ref="HAP170:HAP171"/>
    <mergeCell ref="HAQ170:HAQ171"/>
    <mergeCell ref="HAR170:HAR171"/>
    <mergeCell ref="HAS170:HAS171"/>
    <mergeCell ref="HBA170:HBA171"/>
    <mergeCell ref="HBB170:HBB171"/>
    <mergeCell ref="HBC170:HBC171"/>
    <mergeCell ref="HBD170:HBD171"/>
    <mergeCell ref="HBE170:HBE171"/>
    <mergeCell ref="HBF170:HBF171"/>
    <mergeCell ref="HBN170:HBN171"/>
    <mergeCell ref="HBO170:HBO171"/>
    <mergeCell ref="HBP170:HBP171"/>
    <mergeCell ref="HBQ170:HBQ171"/>
    <mergeCell ref="HBR170:HBR171"/>
    <mergeCell ref="HBS170:HBS171"/>
    <mergeCell ref="HCA170:HCA171"/>
    <mergeCell ref="HCB170:HCB171"/>
    <mergeCell ref="HCC170:HCC171"/>
    <mergeCell ref="HCD170:HCD171"/>
    <mergeCell ref="HCE170:HCE171"/>
    <mergeCell ref="HCF170:HCF171"/>
    <mergeCell ref="HCN170:HCN171"/>
    <mergeCell ref="HCO170:HCO171"/>
    <mergeCell ref="HCP170:HCP171"/>
    <mergeCell ref="HCQ170:HCQ171"/>
    <mergeCell ref="HCR170:HCR171"/>
    <mergeCell ref="HCS170:HCS171"/>
    <mergeCell ref="HDA170:HDA171"/>
    <mergeCell ref="HDB170:HDB171"/>
    <mergeCell ref="HDC170:HDC171"/>
    <mergeCell ref="HDD170:HDD171"/>
    <mergeCell ref="HDE170:HDE171"/>
    <mergeCell ref="HDF170:HDF171"/>
    <mergeCell ref="HDN170:HDN171"/>
    <mergeCell ref="HDO170:HDO171"/>
    <mergeCell ref="HDP170:HDP171"/>
    <mergeCell ref="HDQ170:HDQ171"/>
    <mergeCell ref="HDR170:HDR171"/>
    <mergeCell ref="HDS170:HDS171"/>
    <mergeCell ref="HEA170:HEA171"/>
    <mergeCell ref="HEB170:HEB171"/>
    <mergeCell ref="HEC170:HEC171"/>
    <mergeCell ref="HED170:HED171"/>
    <mergeCell ref="HEE170:HEE171"/>
    <mergeCell ref="HEF170:HEF171"/>
    <mergeCell ref="HEN170:HEN171"/>
    <mergeCell ref="HEO170:HEO171"/>
    <mergeCell ref="HEP170:HEP171"/>
    <mergeCell ref="HEQ170:HEQ171"/>
    <mergeCell ref="HER170:HER171"/>
    <mergeCell ref="HES170:HES171"/>
    <mergeCell ref="HFA170:HFA171"/>
    <mergeCell ref="HFB170:HFB171"/>
    <mergeCell ref="HFC170:HFC171"/>
    <mergeCell ref="HFD170:HFD171"/>
    <mergeCell ref="HFE170:HFE171"/>
    <mergeCell ref="HFF170:HFF171"/>
    <mergeCell ref="HFN170:HFN171"/>
    <mergeCell ref="HFO170:HFO171"/>
    <mergeCell ref="HFP170:HFP171"/>
    <mergeCell ref="HFQ170:HFQ171"/>
    <mergeCell ref="HFR170:HFR171"/>
    <mergeCell ref="HFS170:HFS171"/>
    <mergeCell ref="HGA170:HGA171"/>
    <mergeCell ref="HGB170:HGB171"/>
    <mergeCell ref="HGC170:HGC171"/>
    <mergeCell ref="HGD170:HGD171"/>
    <mergeCell ref="HGE170:HGE171"/>
    <mergeCell ref="HGF170:HGF171"/>
    <mergeCell ref="HGN170:HGN171"/>
    <mergeCell ref="HGO170:HGO171"/>
    <mergeCell ref="HGP170:HGP171"/>
    <mergeCell ref="HGQ170:HGQ171"/>
    <mergeCell ref="HGR170:HGR171"/>
    <mergeCell ref="HGS170:HGS171"/>
    <mergeCell ref="HHA170:HHA171"/>
    <mergeCell ref="HHB170:HHB171"/>
    <mergeCell ref="HHC170:HHC171"/>
    <mergeCell ref="HHD170:HHD171"/>
    <mergeCell ref="HHE170:HHE171"/>
    <mergeCell ref="HHF170:HHF171"/>
    <mergeCell ref="HHN170:HHN171"/>
    <mergeCell ref="HHO170:HHO171"/>
    <mergeCell ref="HHP170:HHP171"/>
    <mergeCell ref="HHQ170:HHQ171"/>
    <mergeCell ref="HHR170:HHR171"/>
    <mergeCell ref="HHS170:HHS171"/>
    <mergeCell ref="HIA170:HIA171"/>
    <mergeCell ref="HIB170:HIB171"/>
    <mergeCell ref="HIC170:HIC171"/>
    <mergeCell ref="HID170:HID171"/>
    <mergeCell ref="HIE170:HIE171"/>
    <mergeCell ref="HIF170:HIF171"/>
    <mergeCell ref="HIN170:HIN171"/>
    <mergeCell ref="HIO170:HIO171"/>
    <mergeCell ref="HIP170:HIP171"/>
    <mergeCell ref="HIQ170:HIQ171"/>
    <mergeCell ref="HIR170:HIR171"/>
    <mergeCell ref="HIS170:HIS171"/>
    <mergeCell ref="HJA170:HJA171"/>
    <mergeCell ref="HJB170:HJB171"/>
    <mergeCell ref="HJC170:HJC171"/>
    <mergeCell ref="HJD170:HJD171"/>
    <mergeCell ref="HJE170:HJE171"/>
    <mergeCell ref="HJF170:HJF171"/>
    <mergeCell ref="HJN170:HJN171"/>
    <mergeCell ref="HJO170:HJO171"/>
    <mergeCell ref="HJP170:HJP171"/>
    <mergeCell ref="HJQ170:HJQ171"/>
    <mergeCell ref="HJR170:HJR171"/>
    <mergeCell ref="HJS170:HJS171"/>
    <mergeCell ref="HKA170:HKA171"/>
    <mergeCell ref="HKB170:HKB171"/>
    <mergeCell ref="HKC170:HKC171"/>
    <mergeCell ref="HKD170:HKD171"/>
    <mergeCell ref="HKE170:HKE171"/>
    <mergeCell ref="HKF170:HKF171"/>
    <mergeCell ref="HKN170:HKN171"/>
    <mergeCell ref="HKO170:HKO171"/>
    <mergeCell ref="HKP170:HKP171"/>
    <mergeCell ref="HKQ170:HKQ171"/>
    <mergeCell ref="HKR170:HKR171"/>
    <mergeCell ref="HKS170:HKS171"/>
    <mergeCell ref="HLA170:HLA171"/>
    <mergeCell ref="HLB170:HLB171"/>
    <mergeCell ref="HLC170:HLC171"/>
    <mergeCell ref="HLD170:HLD171"/>
    <mergeCell ref="HLE170:HLE171"/>
    <mergeCell ref="HLF170:HLF171"/>
    <mergeCell ref="HLN170:HLN171"/>
    <mergeCell ref="HLO170:HLO171"/>
    <mergeCell ref="HLP170:HLP171"/>
    <mergeCell ref="HLQ170:HLQ171"/>
    <mergeCell ref="HLR170:HLR171"/>
    <mergeCell ref="HLS170:HLS171"/>
    <mergeCell ref="HMA170:HMA171"/>
    <mergeCell ref="HMB170:HMB171"/>
    <mergeCell ref="HMC170:HMC171"/>
    <mergeCell ref="HMD170:HMD171"/>
    <mergeCell ref="HME170:HME171"/>
    <mergeCell ref="HMF170:HMF171"/>
    <mergeCell ref="HMN170:HMN171"/>
    <mergeCell ref="HMO170:HMO171"/>
    <mergeCell ref="HMP170:HMP171"/>
    <mergeCell ref="HMQ170:HMQ171"/>
    <mergeCell ref="HMR170:HMR171"/>
    <mergeCell ref="HMS170:HMS171"/>
    <mergeCell ref="HNA170:HNA171"/>
    <mergeCell ref="HNB170:HNB171"/>
    <mergeCell ref="HNC170:HNC171"/>
    <mergeCell ref="HND170:HND171"/>
    <mergeCell ref="HNE170:HNE171"/>
    <mergeCell ref="HNF170:HNF171"/>
    <mergeCell ref="HNN170:HNN171"/>
    <mergeCell ref="HNO170:HNO171"/>
    <mergeCell ref="HNP170:HNP171"/>
    <mergeCell ref="HNQ170:HNQ171"/>
    <mergeCell ref="HNR170:HNR171"/>
    <mergeCell ref="HNS170:HNS171"/>
    <mergeCell ref="HOA170:HOA171"/>
    <mergeCell ref="HOB170:HOB171"/>
    <mergeCell ref="HOC170:HOC171"/>
    <mergeCell ref="HOD170:HOD171"/>
    <mergeCell ref="HOE170:HOE171"/>
    <mergeCell ref="HOF170:HOF171"/>
    <mergeCell ref="HON170:HON171"/>
    <mergeCell ref="HOO170:HOO171"/>
    <mergeCell ref="HOP170:HOP171"/>
    <mergeCell ref="HOQ170:HOQ171"/>
    <mergeCell ref="HOR170:HOR171"/>
    <mergeCell ref="HOS170:HOS171"/>
    <mergeCell ref="HPA170:HPA171"/>
    <mergeCell ref="HPB170:HPB171"/>
    <mergeCell ref="HPC170:HPC171"/>
    <mergeCell ref="HPD170:HPD171"/>
    <mergeCell ref="HPE170:HPE171"/>
    <mergeCell ref="HPF170:HPF171"/>
    <mergeCell ref="HPN170:HPN171"/>
    <mergeCell ref="HPO170:HPO171"/>
    <mergeCell ref="HPP170:HPP171"/>
    <mergeCell ref="HPQ170:HPQ171"/>
    <mergeCell ref="HPR170:HPR171"/>
    <mergeCell ref="HPS170:HPS171"/>
    <mergeCell ref="HQA170:HQA171"/>
    <mergeCell ref="HQB170:HQB171"/>
    <mergeCell ref="HQC170:HQC171"/>
    <mergeCell ref="HQD170:HQD171"/>
    <mergeCell ref="HQE170:HQE171"/>
    <mergeCell ref="HQF170:HQF171"/>
    <mergeCell ref="HQN170:HQN171"/>
    <mergeCell ref="HQO170:HQO171"/>
    <mergeCell ref="HQP170:HQP171"/>
    <mergeCell ref="HQQ170:HQQ171"/>
    <mergeCell ref="HQR170:HQR171"/>
    <mergeCell ref="HQS170:HQS171"/>
    <mergeCell ref="HRA170:HRA171"/>
    <mergeCell ref="HRB170:HRB171"/>
    <mergeCell ref="HRC170:HRC171"/>
    <mergeCell ref="HRD170:HRD171"/>
    <mergeCell ref="HRE170:HRE171"/>
    <mergeCell ref="HRF170:HRF171"/>
    <mergeCell ref="HRN170:HRN171"/>
    <mergeCell ref="HRO170:HRO171"/>
    <mergeCell ref="HRP170:HRP171"/>
    <mergeCell ref="HRQ170:HRQ171"/>
    <mergeCell ref="HRR170:HRR171"/>
    <mergeCell ref="HRS170:HRS171"/>
    <mergeCell ref="HSA170:HSA171"/>
    <mergeCell ref="HSB170:HSB171"/>
    <mergeCell ref="HSC170:HSC171"/>
    <mergeCell ref="HSD170:HSD171"/>
    <mergeCell ref="HSE170:HSE171"/>
    <mergeCell ref="HSF170:HSF171"/>
    <mergeCell ref="HSN170:HSN171"/>
    <mergeCell ref="HSO170:HSO171"/>
    <mergeCell ref="HSP170:HSP171"/>
    <mergeCell ref="HSQ170:HSQ171"/>
    <mergeCell ref="HSR170:HSR171"/>
    <mergeCell ref="HSS170:HSS171"/>
    <mergeCell ref="HTA170:HTA171"/>
    <mergeCell ref="HTB170:HTB171"/>
    <mergeCell ref="HTC170:HTC171"/>
    <mergeCell ref="HTD170:HTD171"/>
    <mergeCell ref="HTE170:HTE171"/>
    <mergeCell ref="HTF170:HTF171"/>
    <mergeCell ref="HTN170:HTN171"/>
    <mergeCell ref="HTO170:HTO171"/>
    <mergeCell ref="HTP170:HTP171"/>
    <mergeCell ref="HTQ170:HTQ171"/>
    <mergeCell ref="HTR170:HTR171"/>
    <mergeCell ref="HTS170:HTS171"/>
    <mergeCell ref="HUA170:HUA171"/>
    <mergeCell ref="HUB170:HUB171"/>
    <mergeCell ref="HUC170:HUC171"/>
    <mergeCell ref="HUD170:HUD171"/>
    <mergeCell ref="HUE170:HUE171"/>
    <mergeCell ref="HUF170:HUF171"/>
    <mergeCell ref="HUN170:HUN171"/>
    <mergeCell ref="HUO170:HUO171"/>
    <mergeCell ref="HUP170:HUP171"/>
    <mergeCell ref="HUQ170:HUQ171"/>
    <mergeCell ref="HUR170:HUR171"/>
    <mergeCell ref="HUS170:HUS171"/>
    <mergeCell ref="HVA170:HVA171"/>
    <mergeCell ref="HVB170:HVB171"/>
    <mergeCell ref="HVC170:HVC171"/>
    <mergeCell ref="HVD170:HVD171"/>
    <mergeCell ref="HVE170:HVE171"/>
    <mergeCell ref="HVF170:HVF171"/>
    <mergeCell ref="HVN170:HVN171"/>
    <mergeCell ref="HVO170:HVO171"/>
    <mergeCell ref="HVP170:HVP171"/>
    <mergeCell ref="HVQ170:HVQ171"/>
    <mergeCell ref="HVR170:HVR171"/>
    <mergeCell ref="HVS170:HVS171"/>
    <mergeCell ref="HWA170:HWA171"/>
    <mergeCell ref="HWB170:HWB171"/>
    <mergeCell ref="HWC170:HWC171"/>
    <mergeCell ref="HWD170:HWD171"/>
    <mergeCell ref="HWE170:HWE171"/>
    <mergeCell ref="HWF170:HWF171"/>
    <mergeCell ref="HWN170:HWN171"/>
    <mergeCell ref="HWO170:HWO171"/>
    <mergeCell ref="HWP170:HWP171"/>
    <mergeCell ref="HWQ170:HWQ171"/>
    <mergeCell ref="HWR170:HWR171"/>
    <mergeCell ref="HWS170:HWS171"/>
    <mergeCell ref="HXA170:HXA171"/>
    <mergeCell ref="HXB170:HXB171"/>
    <mergeCell ref="HXC170:HXC171"/>
    <mergeCell ref="HXD170:HXD171"/>
    <mergeCell ref="HXE170:HXE171"/>
    <mergeCell ref="HXF170:HXF171"/>
    <mergeCell ref="HXN170:HXN171"/>
    <mergeCell ref="HXO170:HXO171"/>
    <mergeCell ref="HXP170:HXP171"/>
    <mergeCell ref="HXQ170:HXQ171"/>
    <mergeCell ref="HXR170:HXR171"/>
    <mergeCell ref="HXS170:HXS171"/>
    <mergeCell ref="HYA170:HYA171"/>
    <mergeCell ref="HYB170:HYB171"/>
    <mergeCell ref="HYC170:HYC171"/>
    <mergeCell ref="HYD170:HYD171"/>
    <mergeCell ref="HYE170:HYE171"/>
    <mergeCell ref="HYF170:HYF171"/>
    <mergeCell ref="HYN170:HYN171"/>
    <mergeCell ref="HYO170:HYO171"/>
    <mergeCell ref="HYP170:HYP171"/>
    <mergeCell ref="HYQ170:HYQ171"/>
    <mergeCell ref="HYR170:HYR171"/>
    <mergeCell ref="HYS170:HYS171"/>
    <mergeCell ref="HZA170:HZA171"/>
    <mergeCell ref="HZB170:HZB171"/>
    <mergeCell ref="HZC170:HZC171"/>
    <mergeCell ref="HZD170:HZD171"/>
    <mergeCell ref="HZE170:HZE171"/>
    <mergeCell ref="HZF170:HZF171"/>
    <mergeCell ref="HZN170:HZN171"/>
    <mergeCell ref="HZO170:HZO171"/>
    <mergeCell ref="HZP170:HZP171"/>
    <mergeCell ref="HZQ170:HZQ171"/>
    <mergeCell ref="HZR170:HZR171"/>
    <mergeCell ref="HZS170:HZS171"/>
    <mergeCell ref="IAA170:IAA171"/>
    <mergeCell ref="IAB170:IAB171"/>
    <mergeCell ref="IAC170:IAC171"/>
    <mergeCell ref="IAD170:IAD171"/>
    <mergeCell ref="IAE170:IAE171"/>
    <mergeCell ref="IAF170:IAF171"/>
    <mergeCell ref="IAN170:IAN171"/>
    <mergeCell ref="IAO170:IAO171"/>
    <mergeCell ref="IAP170:IAP171"/>
    <mergeCell ref="IAQ170:IAQ171"/>
    <mergeCell ref="IAR170:IAR171"/>
    <mergeCell ref="IAS170:IAS171"/>
    <mergeCell ref="IBA170:IBA171"/>
    <mergeCell ref="IBB170:IBB171"/>
    <mergeCell ref="IBC170:IBC171"/>
    <mergeCell ref="IBD170:IBD171"/>
    <mergeCell ref="IBE170:IBE171"/>
    <mergeCell ref="IBF170:IBF171"/>
    <mergeCell ref="IBN170:IBN171"/>
    <mergeCell ref="IBO170:IBO171"/>
    <mergeCell ref="IBP170:IBP171"/>
    <mergeCell ref="IBQ170:IBQ171"/>
    <mergeCell ref="IBR170:IBR171"/>
    <mergeCell ref="IBS170:IBS171"/>
    <mergeCell ref="ICA170:ICA171"/>
    <mergeCell ref="ICB170:ICB171"/>
    <mergeCell ref="ICC170:ICC171"/>
    <mergeCell ref="ICD170:ICD171"/>
    <mergeCell ref="ICE170:ICE171"/>
    <mergeCell ref="ICF170:ICF171"/>
    <mergeCell ref="ICN170:ICN171"/>
    <mergeCell ref="ICO170:ICO171"/>
    <mergeCell ref="ICP170:ICP171"/>
    <mergeCell ref="ICQ170:ICQ171"/>
    <mergeCell ref="ICR170:ICR171"/>
    <mergeCell ref="ICS170:ICS171"/>
    <mergeCell ref="IDA170:IDA171"/>
    <mergeCell ref="IDB170:IDB171"/>
    <mergeCell ref="IDC170:IDC171"/>
    <mergeCell ref="IDD170:IDD171"/>
    <mergeCell ref="IDE170:IDE171"/>
    <mergeCell ref="IDF170:IDF171"/>
    <mergeCell ref="IDN170:IDN171"/>
    <mergeCell ref="IDO170:IDO171"/>
    <mergeCell ref="IDP170:IDP171"/>
    <mergeCell ref="IDQ170:IDQ171"/>
    <mergeCell ref="IDR170:IDR171"/>
    <mergeCell ref="IDS170:IDS171"/>
    <mergeCell ref="IEA170:IEA171"/>
    <mergeCell ref="IEB170:IEB171"/>
    <mergeCell ref="IEC170:IEC171"/>
    <mergeCell ref="IED170:IED171"/>
    <mergeCell ref="IEE170:IEE171"/>
    <mergeCell ref="IEF170:IEF171"/>
    <mergeCell ref="IEN170:IEN171"/>
    <mergeCell ref="IEO170:IEO171"/>
    <mergeCell ref="IEP170:IEP171"/>
    <mergeCell ref="IEQ170:IEQ171"/>
    <mergeCell ref="IER170:IER171"/>
    <mergeCell ref="IES170:IES171"/>
    <mergeCell ref="IFA170:IFA171"/>
    <mergeCell ref="IFB170:IFB171"/>
    <mergeCell ref="IFC170:IFC171"/>
    <mergeCell ref="IFD170:IFD171"/>
    <mergeCell ref="IFE170:IFE171"/>
    <mergeCell ref="IFF170:IFF171"/>
    <mergeCell ref="IFN170:IFN171"/>
    <mergeCell ref="IFO170:IFO171"/>
    <mergeCell ref="IFP170:IFP171"/>
    <mergeCell ref="IFQ170:IFQ171"/>
    <mergeCell ref="IFR170:IFR171"/>
    <mergeCell ref="IFS170:IFS171"/>
    <mergeCell ref="IGA170:IGA171"/>
    <mergeCell ref="IGB170:IGB171"/>
    <mergeCell ref="IGC170:IGC171"/>
    <mergeCell ref="IGD170:IGD171"/>
    <mergeCell ref="IGE170:IGE171"/>
    <mergeCell ref="IGF170:IGF171"/>
    <mergeCell ref="IGN170:IGN171"/>
    <mergeCell ref="IGO170:IGO171"/>
    <mergeCell ref="IGP170:IGP171"/>
    <mergeCell ref="IGQ170:IGQ171"/>
    <mergeCell ref="IGR170:IGR171"/>
    <mergeCell ref="IGS170:IGS171"/>
    <mergeCell ref="IHA170:IHA171"/>
    <mergeCell ref="IHB170:IHB171"/>
    <mergeCell ref="IHC170:IHC171"/>
    <mergeCell ref="IHD170:IHD171"/>
    <mergeCell ref="IHE170:IHE171"/>
    <mergeCell ref="IHF170:IHF171"/>
    <mergeCell ref="IHN170:IHN171"/>
    <mergeCell ref="IHO170:IHO171"/>
    <mergeCell ref="IHP170:IHP171"/>
    <mergeCell ref="IHQ170:IHQ171"/>
    <mergeCell ref="IHR170:IHR171"/>
    <mergeCell ref="IHS170:IHS171"/>
    <mergeCell ref="IIA170:IIA171"/>
    <mergeCell ref="IIB170:IIB171"/>
    <mergeCell ref="IIC170:IIC171"/>
    <mergeCell ref="IID170:IID171"/>
    <mergeCell ref="IIE170:IIE171"/>
    <mergeCell ref="IIF170:IIF171"/>
    <mergeCell ref="IIN170:IIN171"/>
    <mergeCell ref="IIO170:IIO171"/>
    <mergeCell ref="IIP170:IIP171"/>
    <mergeCell ref="IIQ170:IIQ171"/>
    <mergeCell ref="IIR170:IIR171"/>
    <mergeCell ref="IIS170:IIS171"/>
    <mergeCell ref="IJA170:IJA171"/>
    <mergeCell ref="IJB170:IJB171"/>
    <mergeCell ref="IJC170:IJC171"/>
    <mergeCell ref="IJD170:IJD171"/>
    <mergeCell ref="IJE170:IJE171"/>
    <mergeCell ref="IJF170:IJF171"/>
    <mergeCell ref="IJN170:IJN171"/>
    <mergeCell ref="IJO170:IJO171"/>
    <mergeCell ref="IJP170:IJP171"/>
    <mergeCell ref="IJQ170:IJQ171"/>
    <mergeCell ref="IJR170:IJR171"/>
    <mergeCell ref="IJS170:IJS171"/>
    <mergeCell ref="IKA170:IKA171"/>
    <mergeCell ref="IKB170:IKB171"/>
    <mergeCell ref="IKC170:IKC171"/>
    <mergeCell ref="IKD170:IKD171"/>
    <mergeCell ref="IKE170:IKE171"/>
    <mergeCell ref="IKF170:IKF171"/>
    <mergeCell ref="IKN170:IKN171"/>
    <mergeCell ref="IKO170:IKO171"/>
    <mergeCell ref="IKP170:IKP171"/>
    <mergeCell ref="IKQ170:IKQ171"/>
    <mergeCell ref="IKR170:IKR171"/>
    <mergeCell ref="IKS170:IKS171"/>
    <mergeCell ref="ILA170:ILA171"/>
    <mergeCell ref="ILB170:ILB171"/>
    <mergeCell ref="ILC170:ILC171"/>
    <mergeCell ref="ILD170:ILD171"/>
    <mergeCell ref="ILE170:ILE171"/>
    <mergeCell ref="ILF170:ILF171"/>
    <mergeCell ref="ILN170:ILN171"/>
    <mergeCell ref="ILO170:ILO171"/>
    <mergeCell ref="ILP170:ILP171"/>
    <mergeCell ref="ILQ170:ILQ171"/>
    <mergeCell ref="ILR170:ILR171"/>
    <mergeCell ref="ILS170:ILS171"/>
    <mergeCell ref="IMA170:IMA171"/>
    <mergeCell ref="IMB170:IMB171"/>
    <mergeCell ref="IMC170:IMC171"/>
    <mergeCell ref="IMD170:IMD171"/>
    <mergeCell ref="IME170:IME171"/>
    <mergeCell ref="IMF170:IMF171"/>
    <mergeCell ref="IMN170:IMN171"/>
    <mergeCell ref="IMO170:IMO171"/>
    <mergeCell ref="IMP170:IMP171"/>
    <mergeCell ref="IMQ170:IMQ171"/>
    <mergeCell ref="IMR170:IMR171"/>
    <mergeCell ref="IMS170:IMS171"/>
    <mergeCell ref="INA170:INA171"/>
    <mergeCell ref="INB170:INB171"/>
    <mergeCell ref="INC170:INC171"/>
    <mergeCell ref="IND170:IND171"/>
    <mergeCell ref="INE170:INE171"/>
    <mergeCell ref="INF170:INF171"/>
    <mergeCell ref="INN170:INN171"/>
    <mergeCell ref="INO170:INO171"/>
    <mergeCell ref="INP170:INP171"/>
    <mergeCell ref="INQ170:INQ171"/>
    <mergeCell ref="INR170:INR171"/>
    <mergeCell ref="INS170:INS171"/>
    <mergeCell ref="IOA170:IOA171"/>
    <mergeCell ref="IOB170:IOB171"/>
    <mergeCell ref="IOC170:IOC171"/>
    <mergeCell ref="IOD170:IOD171"/>
    <mergeCell ref="IOE170:IOE171"/>
    <mergeCell ref="IOF170:IOF171"/>
    <mergeCell ref="ION170:ION171"/>
    <mergeCell ref="IOO170:IOO171"/>
    <mergeCell ref="IOP170:IOP171"/>
    <mergeCell ref="IOQ170:IOQ171"/>
    <mergeCell ref="IOR170:IOR171"/>
    <mergeCell ref="IOS170:IOS171"/>
    <mergeCell ref="IPA170:IPA171"/>
    <mergeCell ref="IPB170:IPB171"/>
    <mergeCell ref="IPC170:IPC171"/>
    <mergeCell ref="IPD170:IPD171"/>
    <mergeCell ref="IPE170:IPE171"/>
    <mergeCell ref="IPF170:IPF171"/>
    <mergeCell ref="IPN170:IPN171"/>
    <mergeCell ref="IPO170:IPO171"/>
    <mergeCell ref="IPP170:IPP171"/>
    <mergeCell ref="IPQ170:IPQ171"/>
    <mergeCell ref="IPR170:IPR171"/>
    <mergeCell ref="IPS170:IPS171"/>
    <mergeCell ref="IQA170:IQA171"/>
    <mergeCell ref="IQB170:IQB171"/>
    <mergeCell ref="IQC170:IQC171"/>
    <mergeCell ref="IQD170:IQD171"/>
    <mergeCell ref="IQE170:IQE171"/>
    <mergeCell ref="IQF170:IQF171"/>
    <mergeCell ref="IQN170:IQN171"/>
    <mergeCell ref="IQO170:IQO171"/>
    <mergeCell ref="IQP170:IQP171"/>
    <mergeCell ref="IQQ170:IQQ171"/>
    <mergeCell ref="IQR170:IQR171"/>
    <mergeCell ref="IQS170:IQS171"/>
    <mergeCell ref="IRA170:IRA171"/>
    <mergeCell ref="IRB170:IRB171"/>
    <mergeCell ref="IRC170:IRC171"/>
    <mergeCell ref="IRD170:IRD171"/>
    <mergeCell ref="IRE170:IRE171"/>
    <mergeCell ref="IRF170:IRF171"/>
    <mergeCell ref="IRN170:IRN171"/>
    <mergeCell ref="IRO170:IRO171"/>
    <mergeCell ref="IRP170:IRP171"/>
    <mergeCell ref="IRQ170:IRQ171"/>
    <mergeCell ref="IRR170:IRR171"/>
    <mergeCell ref="IRS170:IRS171"/>
    <mergeCell ref="ISA170:ISA171"/>
    <mergeCell ref="ISB170:ISB171"/>
    <mergeCell ref="ISC170:ISC171"/>
    <mergeCell ref="ISD170:ISD171"/>
    <mergeCell ref="ISE170:ISE171"/>
    <mergeCell ref="ISF170:ISF171"/>
    <mergeCell ref="ISN170:ISN171"/>
    <mergeCell ref="ISO170:ISO171"/>
    <mergeCell ref="ISP170:ISP171"/>
    <mergeCell ref="ISQ170:ISQ171"/>
    <mergeCell ref="ISR170:ISR171"/>
    <mergeCell ref="ISS170:ISS171"/>
    <mergeCell ref="ITA170:ITA171"/>
    <mergeCell ref="ITB170:ITB171"/>
    <mergeCell ref="ITC170:ITC171"/>
    <mergeCell ref="ITD170:ITD171"/>
    <mergeCell ref="ITE170:ITE171"/>
    <mergeCell ref="ITF170:ITF171"/>
    <mergeCell ref="ITN170:ITN171"/>
    <mergeCell ref="ITO170:ITO171"/>
    <mergeCell ref="ITP170:ITP171"/>
    <mergeCell ref="ITQ170:ITQ171"/>
    <mergeCell ref="ITR170:ITR171"/>
    <mergeCell ref="ITS170:ITS171"/>
    <mergeCell ref="IUA170:IUA171"/>
    <mergeCell ref="IUB170:IUB171"/>
    <mergeCell ref="IUC170:IUC171"/>
    <mergeCell ref="IUD170:IUD171"/>
    <mergeCell ref="IUE170:IUE171"/>
    <mergeCell ref="IUF170:IUF171"/>
    <mergeCell ref="IUN170:IUN171"/>
    <mergeCell ref="IUO170:IUO171"/>
    <mergeCell ref="IUP170:IUP171"/>
    <mergeCell ref="IUQ170:IUQ171"/>
    <mergeCell ref="IUR170:IUR171"/>
    <mergeCell ref="IUS170:IUS171"/>
    <mergeCell ref="IVA170:IVA171"/>
    <mergeCell ref="IVB170:IVB171"/>
    <mergeCell ref="IVC170:IVC171"/>
    <mergeCell ref="IVD170:IVD171"/>
    <mergeCell ref="IVE170:IVE171"/>
    <mergeCell ref="IVF170:IVF171"/>
    <mergeCell ref="IVN170:IVN171"/>
    <mergeCell ref="IVO170:IVO171"/>
    <mergeCell ref="IVP170:IVP171"/>
    <mergeCell ref="IVQ170:IVQ171"/>
    <mergeCell ref="IVR170:IVR171"/>
    <mergeCell ref="IVS170:IVS171"/>
    <mergeCell ref="IWA170:IWA171"/>
    <mergeCell ref="IWB170:IWB171"/>
    <mergeCell ref="IWC170:IWC171"/>
    <mergeCell ref="IWD170:IWD171"/>
    <mergeCell ref="IWE170:IWE171"/>
    <mergeCell ref="IWF170:IWF171"/>
    <mergeCell ref="IWN170:IWN171"/>
    <mergeCell ref="IWO170:IWO171"/>
    <mergeCell ref="IWP170:IWP171"/>
    <mergeCell ref="IWQ170:IWQ171"/>
    <mergeCell ref="IWR170:IWR171"/>
    <mergeCell ref="IWS170:IWS171"/>
    <mergeCell ref="IXA170:IXA171"/>
    <mergeCell ref="IXB170:IXB171"/>
    <mergeCell ref="IXC170:IXC171"/>
    <mergeCell ref="IXD170:IXD171"/>
    <mergeCell ref="IXE170:IXE171"/>
    <mergeCell ref="IXF170:IXF171"/>
    <mergeCell ref="IXN170:IXN171"/>
    <mergeCell ref="IXO170:IXO171"/>
    <mergeCell ref="IXP170:IXP171"/>
    <mergeCell ref="IXQ170:IXQ171"/>
    <mergeCell ref="IXR170:IXR171"/>
    <mergeCell ref="IXS170:IXS171"/>
    <mergeCell ref="IYA170:IYA171"/>
    <mergeCell ref="IYB170:IYB171"/>
    <mergeCell ref="IYC170:IYC171"/>
    <mergeCell ref="IYD170:IYD171"/>
    <mergeCell ref="IYE170:IYE171"/>
    <mergeCell ref="IYF170:IYF171"/>
    <mergeCell ref="IYN170:IYN171"/>
    <mergeCell ref="IYO170:IYO171"/>
    <mergeCell ref="IYP170:IYP171"/>
    <mergeCell ref="IYQ170:IYQ171"/>
    <mergeCell ref="IYR170:IYR171"/>
    <mergeCell ref="IYS170:IYS171"/>
    <mergeCell ref="IZA170:IZA171"/>
    <mergeCell ref="IZB170:IZB171"/>
    <mergeCell ref="IZC170:IZC171"/>
    <mergeCell ref="IZD170:IZD171"/>
    <mergeCell ref="IZE170:IZE171"/>
    <mergeCell ref="IZF170:IZF171"/>
    <mergeCell ref="IZN170:IZN171"/>
    <mergeCell ref="IZO170:IZO171"/>
    <mergeCell ref="IZP170:IZP171"/>
    <mergeCell ref="IZQ170:IZQ171"/>
    <mergeCell ref="IZR170:IZR171"/>
    <mergeCell ref="IZS170:IZS171"/>
    <mergeCell ref="JAA170:JAA171"/>
    <mergeCell ref="JAB170:JAB171"/>
    <mergeCell ref="JAC170:JAC171"/>
    <mergeCell ref="JAD170:JAD171"/>
    <mergeCell ref="JAE170:JAE171"/>
    <mergeCell ref="JAF170:JAF171"/>
    <mergeCell ref="JAN170:JAN171"/>
    <mergeCell ref="JAO170:JAO171"/>
    <mergeCell ref="JAP170:JAP171"/>
    <mergeCell ref="JAQ170:JAQ171"/>
    <mergeCell ref="JAR170:JAR171"/>
    <mergeCell ref="JAS170:JAS171"/>
    <mergeCell ref="JBA170:JBA171"/>
    <mergeCell ref="JBB170:JBB171"/>
    <mergeCell ref="JBC170:JBC171"/>
    <mergeCell ref="JBD170:JBD171"/>
    <mergeCell ref="JBE170:JBE171"/>
    <mergeCell ref="JBF170:JBF171"/>
    <mergeCell ref="JBN170:JBN171"/>
    <mergeCell ref="JBO170:JBO171"/>
    <mergeCell ref="JBP170:JBP171"/>
    <mergeCell ref="JBQ170:JBQ171"/>
    <mergeCell ref="JBR170:JBR171"/>
    <mergeCell ref="JBS170:JBS171"/>
    <mergeCell ref="JCA170:JCA171"/>
    <mergeCell ref="JCB170:JCB171"/>
    <mergeCell ref="JCC170:JCC171"/>
    <mergeCell ref="JCD170:JCD171"/>
    <mergeCell ref="JCE170:JCE171"/>
    <mergeCell ref="JCF170:JCF171"/>
    <mergeCell ref="JCN170:JCN171"/>
    <mergeCell ref="JCO170:JCO171"/>
    <mergeCell ref="JCP170:JCP171"/>
    <mergeCell ref="JCQ170:JCQ171"/>
    <mergeCell ref="JCR170:JCR171"/>
    <mergeCell ref="JCS170:JCS171"/>
    <mergeCell ref="JDA170:JDA171"/>
    <mergeCell ref="JDB170:JDB171"/>
    <mergeCell ref="JDC170:JDC171"/>
    <mergeCell ref="JDD170:JDD171"/>
    <mergeCell ref="JDE170:JDE171"/>
    <mergeCell ref="JDF170:JDF171"/>
    <mergeCell ref="JDN170:JDN171"/>
    <mergeCell ref="JDO170:JDO171"/>
    <mergeCell ref="JDP170:JDP171"/>
    <mergeCell ref="JDQ170:JDQ171"/>
    <mergeCell ref="JDR170:JDR171"/>
    <mergeCell ref="JDS170:JDS171"/>
    <mergeCell ref="JEA170:JEA171"/>
    <mergeCell ref="JEB170:JEB171"/>
    <mergeCell ref="JEC170:JEC171"/>
    <mergeCell ref="JED170:JED171"/>
    <mergeCell ref="JEE170:JEE171"/>
    <mergeCell ref="JEF170:JEF171"/>
    <mergeCell ref="JEN170:JEN171"/>
    <mergeCell ref="JEO170:JEO171"/>
    <mergeCell ref="JEP170:JEP171"/>
    <mergeCell ref="JEQ170:JEQ171"/>
    <mergeCell ref="JER170:JER171"/>
    <mergeCell ref="JES170:JES171"/>
    <mergeCell ref="JFA170:JFA171"/>
    <mergeCell ref="JFB170:JFB171"/>
    <mergeCell ref="JFC170:JFC171"/>
    <mergeCell ref="JFD170:JFD171"/>
    <mergeCell ref="JFE170:JFE171"/>
    <mergeCell ref="JFF170:JFF171"/>
    <mergeCell ref="JFN170:JFN171"/>
    <mergeCell ref="JFO170:JFO171"/>
    <mergeCell ref="JFP170:JFP171"/>
    <mergeCell ref="JFQ170:JFQ171"/>
    <mergeCell ref="JFR170:JFR171"/>
    <mergeCell ref="JFS170:JFS171"/>
    <mergeCell ref="JGA170:JGA171"/>
    <mergeCell ref="JGB170:JGB171"/>
    <mergeCell ref="JGC170:JGC171"/>
    <mergeCell ref="JGD170:JGD171"/>
    <mergeCell ref="JGE170:JGE171"/>
    <mergeCell ref="JGF170:JGF171"/>
    <mergeCell ref="JGN170:JGN171"/>
    <mergeCell ref="JGO170:JGO171"/>
    <mergeCell ref="JGP170:JGP171"/>
    <mergeCell ref="JGQ170:JGQ171"/>
    <mergeCell ref="JGR170:JGR171"/>
    <mergeCell ref="JGS170:JGS171"/>
    <mergeCell ref="JHA170:JHA171"/>
    <mergeCell ref="JHB170:JHB171"/>
    <mergeCell ref="JHC170:JHC171"/>
    <mergeCell ref="JHD170:JHD171"/>
    <mergeCell ref="JHE170:JHE171"/>
    <mergeCell ref="JHF170:JHF171"/>
    <mergeCell ref="JHN170:JHN171"/>
    <mergeCell ref="JHO170:JHO171"/>
    <mergeCell ref="JHP170:JHP171"/>
    <mergeCell ref="JHQ170:JHQ171"/>
    <mergeCell ref="JHR170:JHR171"/>
    <mergeCell ref="JHS170:JHS171"/>
    <mergeCell ref="JIA170:JIA171"/>
    <mergeCell ref="JIB170:JIB171"/>
    <mergeCell ref="JIC170:JIC171"/>
    <mergeCell ref="JID170:JID171"/>
    <mergeCell ref="JIE170:JIE171"/>
    <mergeCell ref="JIF170:JIF171"/>
    <mergeCell ref="JIN170:JIN171"/>
    <mergeCell ref="JIO170:JIO171"/>
    <mergeCell ref="JIP170:JIP171"/>
    <mergeCell ref="JIQ170:JIQ171"/>
    <mergeCell ref="JIR170:JIR171"/>
    <mergeCell ref="JIS170:JIS171"/>
    <mergeCell ref="JJA170:JJA171"/>
    <mergeCell ref="JJB170:JJB171"/>
    <mergeCell ref="JJC170:JJC171"/>
    <mergeCell ref="JJD170:JJD171"/>
    <mergeCell ref="JJE170:JJE171"/>
    <mergeCell ref="JJF170:JJF171"/>
    <mergeCell ref="JJN170:JJN171"/>
    <mergeCell ref="JJO170:JJO171"/>
    <mergeCell ref="JJP170:JJP171"/>
    <mergeCell ref="JJQ170:JJQ171"/>
    <mergeCell ref="JJR170:JJR171"/>
    <mergeCell ref="JJS170:JJS171"/>
    <mergeCell ref="JKA170:JKA171"/>
    <mergeCell ref="JKB170:JKB171"/>
    <mergeCell ref="JKC170:JKC171"/>
    <mergeCell ref="JKD170:JKD171"/>
    <mergeCell ref="JKE170:JKE171"/>
    <mergeCell ref="JKF170:JKF171"/>
    <mergeCell ref="JKN170:JKN171"/>
    <mergeCell ref="JKO170:JKO171"/>
    <mergeCell ref="JKP170:JKP171"/>
    <mergeCell ref="JKQ170:JKQ171"/>
    <mergeCell ref="JKR170:JKR171"/>
    <mergeCell ref="JKS170:JKS171"/>
    <mergeCell ref="JLA170:JLA171"/>
    <mergeCell ref="JLB170:JLB171"/>
    <mergeCell ref="JLC170:JLC171"/>
    <mergeCell ref="JLD170:JLD171"/>
    <mergeCell ref="JLE170:JLE171"/>
    <mergeCell ref="JLF170:JLF171"/>
    <mergeCell ref="JLN170:JLN171"/>
    <mergeCell ref="JLO170:JLO171"/>
    <mergeCell ref="JLP170:JLP171"/>
    <mergeCell ref="JLQ170:JLQ171"/>
    <mergeCell ref="JLR170:JLR171"/>
    <mergeCell ref="JLS170:JLS171"/>
    <mergeCell ref="JMA170:JMA171"/>
    <mergeCell ref="JMB170:JMB171"/>
    <mergeCell ref="JMC170:JMC171"/>
    <mergeCell ref="JMD170:JMD171"/>
    <mergeCell ref="JME170:JME171"/>
    <mergeCell ref="JMF170:JMF171"/>
    <mergeCell ref="JMN170:JMN171"/>
    <mergeCell ref="JMO170:JMO171"/>
    <mergeCell ref="JMP170:JMP171"/>
    <mergeCell ref="JMQ170:JMQ171"/>
    <mergeCell ref="JMR170:JMR171"/>
    <mergeCell ref="JMS170:JMS171"/>
    <mergeCell ref="JNA170:JNA171"/>
    <mergeCell ref="JNB170:JNB171"/>
    <mergeCell ref="JNC170:JNC171"/>
    <mergeCell ref="JND170:JND171"/>
    <mergeCell ref="JNE170:JNE171"/>
    <mergeCell ref="JNF170:JNF171"/>
    <mergeCell ref="JNN170:JNN171"/>
    <mergeCell ref="JNO170:JNO171"/>
    <mergeCell ref="JNP170:JNP171"/>
    <mergeCell ref="JNQ170:JNQ171"/>
    <mergeCell ref="JNR170:JNR171"/>
    <mergeCell ref="JNS170:JNS171"/>
    <mergeCell ref="JOA170:JOA171"/>
    <mergeCell ref="JOB170:JOB171"/>
    <mergeCell ref="JOC170:JOC171"/>
    <mergeCell ref="JOD170:JOD171"/>
    <mergeCell ref="JOE170:JOE171"/>
    <mergeCell ref="JOF170:JOF171"/>
    <mergeCell ref="JON170:JON171"/>
    <mergeCell ref="JOO170:JOO171"/>
    <mergeCell ref="JOP170:JOP171"/>
    <mergeCell ref="JOQ170:JOQ171"/>
    <mergeCell ref="JOR170:JOR171"/>
    <mergeCell ref="JOS170:JOS171"/>
    <mergeCell ref="JPA170:JPA171"/>
    <mergeCell ref="JPB170:JPB171"/>
    <mergeCell ref="JPC170:JPC171"/>
    <mergeCell ref="JPD170:JPD171"/>
    <mergeCell ref="JPE170:JPE171"/>
    <mergeCell ref="JPF170:JPF171"/>
    <mergeCell ref="JPN170:JPN171"/>
    <mergeCell ref="JPO170:JPO171"/>
    <mergeCell ref="JPP170:JPP171"/>
    <mergeCell ref="JPQ170:JPQ171"/>
    <mergeCell ref="JPR170:JPR171"/>
    <mergeCell ref="JPS170:JPS171"/>
    <mergeCell ref="JQA170:JQA171"/>
    <mergeCell ref="JQB170:JQB171"/>
    <mergeCell ref="JQC170:JQC171"/>
    <mergeCell ref="JQD170:JQD171"/>
    <mergeCell ref="JQE170:JQE171"/>
    <mergeCell ref="JQF170:JQF171"/>
    <mergeCell ref="JQN170:JQN171"/>
    <mergeCell ref="JQO170:JQO171"/>
    <mergeCell ref="JQP170:JQP171"/>
    <mergeCell ref="JQQ170:JQQ171"/>
    <mergeCell ref="JQR170:JQR171"/>
    <mergeCell ref="JQS170:JQS171"/>
    <mergeCell ref="JRA170:JRA171"/>
    <mergeCell ref="JRB170:JRB171"/>
    <mergeCell ref="JRC170:JRC171"/>
    <mergeCell ref="JRD170:JRD171"/>
    <mergeCell ref="JRE170:JRE171"/>
    <mergeCell ref="JRF170:JRF171"/>
    <mergeCell ref="JRN170:JRN171"/>
    <mergeCell ref="JRO170:JRO171"/>
    <mergeCell ref="JRP170:JRP171"/>
    <mergeCell ref="JRQ170:JRQ171"/>
    <mergeCell ref="JRR170:JRR171"/>
    <mergeCell ref="JRS170:JRS171"/>
    <mergeCell ref="JSA170:JSA171"/>
    <mergeCell ref="JSB170:JSB171"/>
    <mergeCell ref="JSC170:JSC171"/>
    <mergeCell ref="JSD170:JSD171"/>
    <mergeCell ref="JSE170:JSE171"/>
    <mergeCell ref="JSF170:JSF171"/>
    <mergeCell ref="JSN170:JSN171"/>
    <mergeCell ref="JSO170:JSO171"/>
    <mergeCell ref="JSP170:JSP171"/>
    <mergeCell ref="JSQ170:JSQ171"/>
    <mergeCell ref="JSR170:JSR171"/>
    <mergeCell ref="JSS170:JSS171"/>
    <mergeCell ref="JTA170:JTA171"/>
    <mergeCell ref="JTB170:JTB171"/>
    <mergeCell ref="JTC170:JTC171"/>
    <mergeCell ref="JTD170:JTD171"/>
    <mergeCell ref="JTE170:JTE171"/>
    <mergeCell ref="JTF170:JTF171"/>
    <mergeCell ref="JTN170:JTN171"/>
    <mergeCell ref="JTO170:JTO171"/>
    <mergeCell ref="JTP170:JTP171"/>
    <mergeCell ref="JTQ170:JTQ171"/>
    <mergeCell ref="JTR170:JTR171"/>
    <mergeCell ref="JTS170:JTS171"/>
    <mergeCell ref="JUA170:JUA171"/>
    <mergeCell ref="JUB170:JUB171"/>
    <mergeCell ref="JUC170:JUC171"/>
    <mergeCell ref="JUD170:JUD171"/>
    <mergeCell ref="JUE170:JUE171"/>
    <mergeCell ref="JUF170:JUF171"/>
    <mergeCell ref="JUN170:JUN171"/>
    <mergeCell ref="JUO170:JUO171"/>
    <mergeCell ref="JUP170:JUP171"/>
    <mergeCell ref="JUQ170:JUQ171"/>
    <mergeCell ref="JUR170:JUR171"/>
    <mergeCell ref="JUS170:JUS171"/>
    <mergeCell ref="JVA170:JVA171"/>
    <mergeCell ref="JVB170:JVB171"/>
    <mergeCell ref="JVC170:JVC171"/>
    <mergeCell ref="JVD170:JVD171"/>
    <mergeCell ref="JVE170:JVE171"/>
    <mergeCell ref="JVF170:JVF171"/>
    <mergeCell ref="JVN170:JVN171"/>
    <mergeCell ref="JVO170:JVO171"/>
    <mergeCell ref="JVP170:JVP171"/>
    <mergeCell ref="JVQ170:JVQ171"/>
    <mergeCell ref="JVR170:JVR171"/>
    <mergeCell ref="JVS170:JVS171"/>
    <mergeCell ref="JWA170:JWA171"/>
    <mergeCell ref="JWB170:JWB171"/>
    <mergeCell ref="JWC170:JWC171"/>
    <mergeCell ref="JWD170:JWD171"/>
    <mergeCell ref="JWE170:JWE171"/>
    <mergeCell ref="JWF170:JWF171"/>
    <mergeCell ref="JWN170:JWN171"/>
    <mergeCell ref="JWO170:JWO171"/>
    <mergeCell ref="JWP170:JWP171"/>
    <mergeCell ref="JWQ170:JWQ171"/>
    <mergeCell ref="JWR170:JWR171"/>
    <mergeCell ref="JWS170:JWS171"/>
    <mergeCell ref="JXA170:JXA171"/>
    <mergeCell ref="JXB170:JXB171"/>
    <mergeCell ref="JXC170:JXC171"/>
    <mergeCell ref="JXD170:JXD171"/>
    <mergeCell ref="JXE170:JXE171"/>
    <mergeCell ref="JXF170:JXF171"/>
    <mergeCell ref="JXN170:JXN171"/>
    <mergeCell ref="JXO170:JXO171"/>
    <mergeCell ref="JXP170:JXP171"/>
    <mergeCell ref="JXQ170:JXQ171"/>
    <mergeCell ref="JXR170:JXR171"/>
    <mergeCell ref="JXS170:JXS171"/>
    <mergeCell ref="JYA170:JYA171"/>
    <mergeCell ref="JYB170:JYB171"/>
    <mergeCell ref="JYC170:JYC171"/>
    <mergeCell ref="JYD170:JYD171"/>
    <mergeCell ref="JYE170:JYE171"/>
    <mergeCell ref="JYF170:JYF171"/>
    <mergeCell ref="JYN170:JYN171"/>
    <mergeCell ref="JYO170:JYO171"/>
    <mergeCell ref="JYP170:JYP171"/>
    <mergeCell ref="JYQ170:JYQ171"/>
    <mergeCell ref="JYR170:JYR171"/>
    <mergeCell ref="JYS170:JYS171"/>
    <mergeCell ref="JZA170:JZA171"/>
    <mergeCell ref="JZB170:JZB171"/>
    <mergeCell ref="JZC170:JZC171"/>
    <mergeCell ref="JZD170:JZD171"/>
    <mergeCell ref="JZE170:JZE171"/>
    <mergeCell ref="JZF170:JZF171"/>
    <mergeCell ref="JZN170:JZN171"/>
    <mergeCell ref="JZO170:JZO171"/>
    <mergeCell ref="JZP170:JZP171"/>
    <mergeCell ref="JZQ170:JZQ171"/>
    <mergeCell ref="JZR170:JZR171"/>
    <mergeCell ref="JZS170:JZS171"/>
    <mergeCell ref="KAA170:KAA171"/>
    <mergeCell ref="KAB170:KAB171"/>
    <mergeCell ref="KAC170:KAC171"/>
    <mergeCell ref="KAD170:KAD171"/>
    <mergeCell ref="KAE170:KAE171"/>
    <mergeCell ref="KAF170:KAF171"/>
    <mergeCell ref="KAN170:KAN171"/>
    <mergeCell ref="KAO170:KAO171"/>
    <mergeCell ref="KAP170:KAP171"/>
    <mergeCell ref="KAQ170:KAQ171"/>
    <mergeCell ref="KAR170:KAR171"/>
    <mergeCell ref="KAS170:KAS171"/>
    <mergeCell ref="KBA170:KBA171"/>
    <mergeCell ref="KBB170:KBB171"/>
    <mergeCell ref="KBC170:KBC171"/>
    <mergeCell ref="KBD170:KBD171"/>
    <mergeCell ref="KBE170:KBE171"/>
    <mergeCell ref="KBF170:KBF171"/>
    <mergeCell ref="KBN170:KBN171"/>
    <mergeCell ref="KBO170:KBO171"/>
    <mergeCell ref="KBP170:KBP171"/>
    <mergeCell ref="KBQ170:KBQ171"/>
    <mergeCell ref="KBR170:KBR171"/>
    <mergeCell ref="KBS170:KBS171"/>
    <mergeCell ref="KCA170:KCA171"/>
    <mergeCell ref="KCB170:KCB171"/>
    <mergeCell ref="KCC170:KCC171"/>
    <mergeCell ref="KCD170:KCD171"/>
    <mergeCell ref="KCE170:KCE171"/>
    <mergeCell ref="KCF170:KCF171"/>
    <mergeCell ref="KCN170:KCN171"/>
    <mergeCell ref="KCO170:KCO171"/>
    <mergeCell ref="KCP170:KCP171"/>
    <mergeCell ref="KCQ170:KCQ171"/>
    <mergeCell ref="KCR170:KCR171"/>
    <mergeCell ref="KCS170:KCS171"/>
    <mergeCell ref="KDA170:KDA171"/>
    <mergeCell ref="KDB170:KDB171"/>
    <mergeCell ref="KDC170:KDC171"/>
    <mergeCell ref="KDD170:KDD171"/>
    <mergeCell ref="KDE170:KDE171"/>
    <mergeCell ref="KDF170:KDF171"/>
    <mergeCell ref="KDN170:KDN171"/>
    <mergeCell ref="KDO170:KDO171"/>
    <mergeCell ref="KDP170:KDP171"/>
    <mergeCell ref="KDQ170:KDQ171"/>
    <mergeCell ref="KDR170:KDR171"/>
    <mergeCell ref="KDS170:KDS171"/>
    <mergeCell ref="KEA170:KEA171"/>
    <mergeCell ref="KEB170:KEB171"/>
    <mergeCell ref="KEC170:KEC171"/>
    <mergeCell ref="KED170:KED171"/>
    <mergeCell ref="KEE170:KEE171"/>
    <mergeCell ref="KEF170:KEF171"/>
    <mergeCell ref="KEN170:KEN171"/>
    <mergeCell ref="KEO170:KEO171"/>
    <mergeCell ref="KEP170:KEP171"/>
    <mergeCell ref="KEQ170:KEQ171"/>
    <mergeCell ref="KER170:KER171"/>
    <mergeCell ref="KES170:KES171"/>
    <mergeCell ref="KFA170:KFA171"/>
    <mergeCell ref="KFB170:KFB171"/>
    <mergeCell ref="KFC170:KFC171"/>
    <mergeCell ref="KFD170:KFD171"/>
    <mergeCell ref="KFE170:KFE171"/>
    <mergeCell ref="KFF170:KFF171"/>
    <mergeCell ref="KFN170:KFN171"/>
    <mergeCell ref="KFO170:KFO171"/>
    <mergeCell ref="KFP170:KFP171"/>
    <mergeCell ref="KFQ170:KFQ171"/>
    <mergeCell ref="KFR170:KFR171"/>
    <mergeCell ref="KFS170:KFS171"/>
    <mergeCell ref="KGA170:KGA171"/>
    <mergeCell ref="KGB170:KGB171"/>
    <mergeCell ref="KGC170:KGC171"/>
    <mergeCell ref="KGD170:KGD171"/>
    <mergeCell ref="KGE170:KGE171"/>
    <mergeCell ref="KGF170:KGF171"/>
    <mergeCell ref="KGN170:KGN171"/>
    <mergeCell ref="KGO170:KGO171"/>
    <mergeCell ref="KGP170:KGP171"/>
    <mergeCell ref="KGQ170:KGQ171"/>
    <mergeCell ref="KGR170:KGR171"/>
    <mergeCell ref="KGS170:KGS171"/>
    <mergeCell ref="KHA170:KHA171"/>
    <mergeCell ref="KHB170:KHB171"/>
    <mergeCell ref="KHC170:KHC171"/>
    <mergeCell ref="KHD170:KHD171"/>
    <mergeCell ref="KHE170:KHE171"/>
    <mergeCell ref="KHF170:KHF171"/>
    <mergeCell ref="KHN170:KHN171"/>
    <mergeCell ref="KHO170:KHO171"/>
    <mergeCell ref="KHP170:KHP171"/>
    <mergeCell ref="KHQ170:KHQ171"/>
    <mergeCell ref="KHR170:KHR171"/>
    <mergeCell ref="KHS170:KHS171"/>
    <mergeCell ref="KIA170:KIA171"/>
    <mergeCell ref="KIB170:KIB171"/>
    <mergeCell ref="KIC170:KIC171"/>
    <mergeCell ref="KID170:KID171"/>
    <mergeCell ref="KIE170:KIE171"/>
    <mergeCell ref="KIF170:KIF171"/>
    <mergeCell ref="KIN170:KIN171"/>
    <mergeCell ref="KIO170:KIO171"/>
    <mergeCell ref="KIP170:KIP171"/>
    <mergeCell ref="KIQ170:KIQ171"/>
    <mergeCell ref="KIR170:KIR171"/>
    <mergeCell ref="KIS170:KIS171"/>
    <mergeCell ref="KJA170:KJA171"/>
    <mergeCell ref="KJB170:KJB171"/>
    <mergeCell ref="KJC170:KJC171"/>
    <mergeCell ref="KJD170:KJD171"/>
    <mergeCell ref="KJE170:KJE171"/>
    <mergeCell ref="KJF170:KJF171"/>
    <mergeCell ref="KJN170:KJN171"/>
    <mergeCell ref="KJO170:KJO171"/>
    <mergeCell ref="KJP170:KJP171"/>
    <mergeCell ref="KJQ170:KJQ171"/>
    <mergeCell ref="KJR170:KJR171"/>
    <mergeCell ref="KJS170:KJS171"/>
    <mergeCell ref="KKA170:KKA171"/>
    <mergeCell ref="KKB170:KKB171"/>
    <mergeCell ref="KKC170:KKC171"/>
    <mergeCell ref="KKD170:KKD171"/>
    <mergeCell ref="KKE170:KKE171"/>
    <mergeCell ref="KKF170:KKF171"/>
    <mergeCell ref="KKN170:KKN171"/>
    <mergeCell ref="KKO170:KKO171"/>
    <mergeCell ref="KKP170:KKP171"/>
    <mergeCell ref="KKQ170:KKQ171"/>
    <mergeCell ref="KKR170:KKR171"/>
    <mergeCell ref="KKS170:KKS171"/>
    <mergeCell ref="KLA170:KLA171"/>
    <mergeCell ref="KLB170:KLB171"/>
    <mergeCell ref="KLC170:KLC171"/>
    <mergeCell ref="KLD170:KLD171"/>
    <mergeCell ref="KLE170:KLE171"/>
    <mergeCell ref="KLF170:KLF171"/>
    <mergeCell ref="KLN170:KLN171"/>
    <mergeCell ref="KLO170:KLO171"/>
    <mergeCell ref="KLP170:KLP171"/>
    <mergeCell ref="KLQ170:KLQ171"/>
    <mergeCell ref="KLR170:KLR171"/>
    <mergeCell ref="KLS170:KLS171"/>
    <mergeCell ref="KMA170:KMA171"/>
    <mergeCell ref="KMB170:KMB171"/>
    <mergeCell ref="KMC170:KMC171"/>
    <mergeCell ref="KMD170:KMD171"/>
    <mergeCell ref="KME170:KME171"/>
    <mergeCell ref="KMF170:KMF171"/>
    <mergeCell ref="KMN170:KMN171"/>
    <mergeCell ref="KMO170:KMO171"/>
    <mergeCell ref="KMP170:KMP171"/>
    <mergeCell ref="KMQ170:KMQ171"/>
    <mergeCell ref="KMR170:KMR171"/>
    <mergeCell ref="KMS170:KMS171"/>
    <mergeCell ref="KNA170:KNA171"/>
    <mergeCell ref="KNB170:KNB171"/>
    <mergeCell ref="KNC170:KNC171"/>
    <mergeCell ref="KND170:KND171"/>
    <mergeCell ref="KNE170:KNE171"/>
    <mergeCell ref="KNF170:KNF171"/>
    <mergeCell ref="KNN170:KNN171"/>
    <mergeCell ref="KNO170:KNO171"/>
    <mergeCell ref="KNP170:KNP171"/>
    <mergeCell ref="KNQ170:KNQ171"/>
    <mergeCell ref="KNR170:KNR171"/>
    <mergeCell ref="KNS170:KNS171"/>
    <mergeCell ref="KOA170:KOA171"/>
    <mergeCell ref="KOB170:KOB171"/>
    <mergeCell ref="KOC170:KOC171"/>
    <mergeCell ref="KOD170:KOD171"/>
    <mergeCell ref="KOE170:KOE171"/>
    <mergeCell ref="KOF170:KOF171"/>
    <mergeCell ref="KON170:KON171"/>
    <mergeCell ref="KOO170:KOO171"/>
    <mergeCell ref="KOP170:KOP171"/>
    <mergeCell ref="KOQ170:KOQ171"/>
    <mergeCell ref="KOR170:KOR171"/>
    <mergeCell ref="KOS170:KOS171"/>
    <mergeCell ref="KPA170:KPA171"/>
    <mergeCell ref="KPB170:KPB171"/>
    <mergeCell ref="KPC170:KPC171"/>
    <mergeCell ref="KPD170:KPD171"/>
    <mergeCell ref="KPE170:KPE171"/>
    <mergeCell ref="KPF170:KPF171"/>
    <mergeCell ref="KPN170:KPN171"/>
    <mergeCell ref="KPO170:KPO171"/>
    <mergeCell ref="KPP170:KPP171"/>
    <mergeCell ref="KPQ170:KPQ171"/>
    <mergeCell ref="KPR170:KPR171"/>
    <mergeCell ref="KPS170:KPS171"/>
    <mergeCell ref="KQA170:KQA171"/>
    <mergeCell ref="KQB170:KQB171"/>
    <mergeCell ref="KQC170:KQC171"/>
    <mergeCell ref="KQD170:KQD171"/>
    <mergeCell ref="KQE170:KQE171"/>
    <mergeCell ref="KQF170:KQF171"/>
    <mergeCell ref="KQN170:KQN171"/>
    <mergeCell ref="KQO170:KQO171"/>
    <mergeCell ref="KQP170:KQP171"/>
    <mergeCell ref="KQQ170:KQQ171"/>
    <mergeCell ref="KQR170:KQR171"/>
    <mergeCell ref="KQS170:KQS171"/>
    <mergeCell ref="KRA170:KRA171"/>
    <mergeCell ref="KRB170:KRB171"/>
    <mergeCell ref="KRC170:KRC171"/>
    <mergeCell ref="KRD170:KRD171"/>
    <mergeCell ref="KRE170:KRE171"/>
    <mergeCell ref="KRF170:KRF171"/>
    <mergeCell ref="KRN170:KRN171"/>
    <mergeCell ref="KRO170:KRO171"/>
    <mergeCell ref="KRP170:KRP171"/>
    <mergeCell ref="KRQ170:KRQ171"/>
    <mergeCell ref="KRR170:KRR171"/>
    <mergeCell ref="KRS170:KRS171"/>
    <mergeCell ref="KSA170:KSA171"/>
    <mergeCell ref="KSB170:KSB171"/>
    <mergeCell ref="KSC170:KSC171"/>
    <mergeCell ref="KSD170:KSD171"/>
    <mergeCell ref="KSE170:KSE171"/>
    <mergeCell ref="KSF170:KSF171"/>
    <mergeCell ref="KSN170:KSN171"/>
    <mergeCell ref="KSO170:KSO171"/>
    <mergeCell ref="KSP170:KSP171"/>
    <mergeCell ref="KSQ170:KSQ171"/>
    <mergeCell ref="KSR170:KSR171"/>
    <mergeCell ref="KSS170:KSS171"/>
    <mergeCell ref="KTA170:KTA171"/>
    <mergeCell ref="KTB170:KTB171"/>
    <mergeCell ref="KTC170:KTC171"/>
    <mergeCell ref="KTD170:KTD171"/>
    <mergeCell ref="KTE170:KTE171"/>
    <mergeCell ref="KTF170:KTF171"/>
    <mergeCell ref="KTN170:KTN171"/>
    <mergeCell ref="KTO170:KTO171"/>
    <mergeCell ref="KTP170:KTP171"/>
    <mergeCell ref="KTQ170:KTQ171"/>
    <mergeCell ref="KTR170:KTR171"/>
    <mergeCell ref="KTS170:KTS171"/>
    <mergeCell ref="KUA170:KUA171"/>
    <mergeCell ref="KUB170:KUB171"/>
    <mergeCell ref="KUC170:KUC171"/>
    <mergeCell ref="KUD170:KUD171"/>
    <mergeCell ref="KUE170:KUE171"/>
    <mergeCell ref="KUF170:KUF171"/>
    <mergeCell ref="KUN170:KUN171"/>
    <mergeCell ref="KUO170:KUO171"/>
    <mergeCell ref="KUP170:KUP171"/>
    <mergeCell ref="KUQ170:KUQ171"/>
    <mergeCell ref="KUR170:KUR171"/>
    <mergeCell ref="KUS170:KUS171"/>
    <mergeCell ref="KVA170:KVA171"/>
    <mergeCell ref="KVB170:KVB171"/>
    <mergeCell ref="KVC170:KVC171"/>
    <mergeCell ref="KVD170:KVD171"/>
    <mergeCell ref="KVE170:KVE171"/>
    <mergeCell ref="KVF170:KVF171"/>
    <mergeCell ref="KVN170:KVN171"/>
    <mergeCell ref="KVO170:KVO171"/>
    <mergeCell ref="KVP170:KVP171"/>
    <mergeCell ref="KVQ170:KVQ171"/>
    <mergeCell ref="KVR170:KVR171"/>
    <mergeCell ref="KVS170:KVS171"/>
    <mergeCell ref="KWA170:KWA171"/>
    <mergeCell ref="KWB170:KWB171"/>
    <mergeCell ref="KWC170:KWC171"/>
    <mergeCell ref="KWD170:KWD171"/>
    <mergeCell ref="KWE170:KWE171"/>
    <mergeCell ref="KWF170:KWF171"/>
    <mergeCell ref="KWN170:KWN171"/>
    <mergeCell ref="KWO170:KWO171"/>
    <mergeCell ref="KWP170:KWP171"/>
    <mergeCell ref="KWQ170:KWQ171"/>
    <mergeCell ref="KWR170:KWR171"/>
    <mergeCell ref="KWS170:KWS171"/>
    <mergeCell ref="KXA170:KXA171"/>
    <mergeCell ref="KXB170:KXB171"/>
    <mergeCell ref="KXC170:KXC171"/>
    <mergeCell ref="KXD170:KXD171"/>
    <mergeCell ref="KXE170:KXE171"/>
    <mergeCell ref="KXF170:KXF171"/>
    <mergeCell ref="KXN170:KXN171"/>
    <mergeCell ref="KXO170:KXO171"/>
    <mergeCell ref="KXP170:KXP171"/>
    <mergeCell ref="KXQ170:KXQ171"/>
    <mergeCell ref="KXR170:KXR171"/>
    <mergeCell ref="KXS170:KXS171"/>
    <mergeCell ref="KYA170:KYA171"/>
    <mergeCell ref="KYB170:KYB171"/>
    <mergeCell ref="KYC170:KYC171"/>
    <mergeCell ref="KYD170:KYD171"/>
    <mergeCell ref="KYE170:KYE171"/>
    <mergeCell ref="KYF170:KYF171"/>
    <mergeCell ref="KYN170:KYN171"/>
    <mergeCell ref="KYO170:KYO171"/>
    <mergeCell ref="KYP170:KYP171"/>
    <mergeCell ref="KYQ170:KYQ171"/>
    <mergeCell ref="KYR170:KYR171"/>
    <mergeCell ref="KYS170:KYS171"/>
    <mergeCell ref="KZA170:KZA171"/>
    <mergeCell ref="KZB170:KZB171"/>
    <mergeCell ref="KZC170:KZC171"/>
    <mergeCell ref="KZD170:KZD171"/>
    <mergeCell ref="KZE170:KZE171"/>
    <mergeCell ref="KZF170:KZF171"/>
    <mergeCell ref="KZN170:KZN171"/>
    <mergeCell ref="KZO170:KZO171"/>
    <mergeCell ref="KZP170:KZP171"/>
    <mergeCell ref="KZQ170:KZQ171"/>
    <mergeCell ref="KZR170:KZR171"/>
    <mergeCell ref="KZS170:KZS171"/>
    <mergeCell ref="LAA170:LAA171"/>
    <mergeCell ref="LAB170:LAB171"/>
    <mergeCell ref="LAC170:LAC171"/>
    <mergeCell ref="LAD170:LAD171"/>
    <mergeCell ref="LAE170:LAE171"/>
    <mergeCell ref="LAF170:LAF171"/>
    <mergeCell ref="LAN170:LAN171"/>
    <mergeCell ref="LAO170:LAO171"/>
    <mergeCell ref="LAP170:LAP171"/>
    <mergeCell ref="LAQ170:LAQ171"/>
    <mergeCell ref="LAR170:LAR171"/>
    <mergeCell ref="LAS170:LAS171"/>
    <mergeCell ref="LBA170:LBA171"/>
    <mergeCell ref="LBB170:LBB171"/>
    <mergeCell ref="LBC170:LBC171"/>
    <mergeCell ref="LBD170:LBD171"/>
    <mergeCell ref="LBE170:LBE171"/>
    <mergeCell ref="LBF170:LBF171"/>
    <mergeCell ref="LBN170:LBN171"/>
    <mergeCell ref="LBO170:LBO171"/>
    <mergeCell ref="LBP170:LBP171"/>
    <mergeCell ref="LBQ170:LBQ171"/>
    <mergeCell ref="LBR170:LBR171"/>
    <mergeCell ref="LBS170:LBS171"/>
    <mergeCell ref="LCA170:LCA171"/>
    <mergeCell ref="LCB170:LCB171"/>
    <mergeCell ref="LCC170:LCC171"/>
    <mergeCell ref="LCD170:LCD171"/>
    <mergeCell ref="LCE170:LCE171"/>
    <mergeCell ref="LCF170:LCF171"/>
    <mergeCell ref="LCN170:LCN171"/>
    <mergeCell ref="LCO170:LCO171"/>
    <mergeCell ref="LCP170:LCP171"/>
    <mergeCell ref="LCQ170:LCQ171"/>
    <mergeCell ref="LCR170:LCR171"/>
    <mergeCell ref="LCS170:LCS171"/>
    <mergeCell ref="LDA170:LDA171"/>
    <mergeCell ref="LDB170:LDB171"/>
    <mergeCell ref="LDC170:LDC171"/>
    <mergeCell ref="LDD170:LDD171"/>
    <mergeCell ref="LDE170:LDE171"/>
    <mergeCell ref="LDF170:LDF171"/>
    <mergeCell ref="LDN170:LDN171"/>
    <mergeCell ref="LDO170:LDO171"/>
    <mergeCell ref="LDP170:LDP171"/>
    <mergeCell ref="LDQ170:LDQ171"/>
    <mergeCell ref="LDR170:LDR171"/>
    <mergeCell ref="LDS170:LDS171"/>
    <mergeCell ref="LEA170:LEA171"/>
    <mergeCell ref="LEB170:LEB171"/>
    <mergeCell ref="LEC170:LEC171"/>
    <mergeCell ref="LED170:LED171"/>
    <mergeCell ref="LEE170:LEE171"/>
    <mergeCell ref="LEF170:LEF171"/>
    <mergeCell ref="LEN170:LEN171"/>
    <mergeCell ref="LEO170:LEO171"/>
    <mergeCell ref="LEP170:LEP171"/>
    <mergeCell ref="LEQ170:LEQ171"/>
    <mergeCell ref="LER170:LER171"/>
    <mergeCell ref="LES170:LES171"/>
    <mergeCell ref="LFA170:LFA171"/>
    <mergeCell ref="LFB170:LFB171"/>
    <mergeCell ref="LFC170:LFC171"/>
    <mergeCell ref="LFD170:LFD171"/>
    <mergeCell ref="LFE170:LFE171"/>
    <mergeCell ref="LFF170:LFF171"/>
    <mergeCell ref="LFN170:LFN171"/>
    <mergeCell ref="LFO170:LFO171"/>
    <mergeCell ref="LFP170:LFP171"/>
    <mergeCell ref="LFQ170:LFQ171"/>
    <mergeCell ref="LFR170:LFR171"/>
    <mergeCell ref="LFS170:LFS171"/>
    <mergeCell ref="LGA170:LGA171"/>
    <mergeCell ref="LGB170:LGB171"/>
    <mergeCell ref="LGC170:LGC171"/>
    <mergeCell ref="LGD170:LGD171"/>
    <mergeCell ref="LGE170:LGE171"/>
    <mergeCell ref="LGF170:LGF171"/>
    <mergeCell ref="LGN170:LGN171"/>
    <mergeCell ref="LGO170:LGO171"/>
    <mergeCell ref="LGP170:LGP171"/>
    <mergeCell ref="LGQ170:LGQ171"/>
    <mergeCell ref="LGR170:LGR171"/>
    <mergeCell ref="LGS170:LGS171"/>
    <mergeCell ref="LHA170:LHA171"/>
    <mergeCell ref="LHB170:LHB171"/>
    <mergeCell ref="LHC170:LHC171"/>
    <mergeCell ref="LHD170:LHD171"/>
    <mergeCell ref="LHE170:LHE171"/>
    <mergeCell ref="LHF170:LHF171"/>
    <mergeCell ref="LHN170:LHN171"/>
    <mergeCell ref="LHO170:LHO171"/>
    <mergeCell ref="LHP170:LHP171"/>
    <mergeCell ref="LHQ170:LHQ171"/>
    <mergeCell ref="LHR170:LHR171"/>
    <mergeCell ref="LHS170:LHS171"/>
    <mergeCell ref="LIA170:LIA171"/>
    <mergeCell ref="LIB170:LIB171"/>
    <mergeCell ref="LIC170:LIC171"/>
    <mergeCell ref="LID170:LID171"/>
    <mergeCell ref="LIE170:LIE171"/>
    <mergeCell ref="LIF170:LIF171"/>
    <mergeCell ref="LIN170:LIN171"/>
    <mergeCell ref="LIO170:LIO171"/>
    <mergeCell ref="LIP170:LIP171"/>
    <mergeCell ref="LIQ170:LIQ171"/>
    <mergeCell ref="LIR170:LIR171"/>
    <mergeCell ref="LIS170:LIS171"/>
    <mergeCell ref="LJA170:LJA171"/>
    <mergeCell ref="LJB170:LJB171"/>
    <mergeCell ref="LJC170:LJC171"/>
    <mergeCell ref="LJD170:LJD171"/>
    <mergeCell ref="LJE170:LJE171"/>
    <mergeCell ref="LJF170:LJF171"/>
    <mergeCell ref="LJN170:LJN171"/>
    <mergeCell ref="LJO170:LJO171"/>
    <mergeCell ref="LJP170:LJP171"/>
    <mergeCell ref="LJQ170:LJQ171"/>
    <mergeCell ref="LJR170:LJR171"/>
    <mergeCell ref="LJS170:LJS171"/>
    <mergeCell ref="LKA170:LKA171"/>
    <mergeCell ref="LKB170:LKB171"/>
    <mergeCell ref="LKC170:LKC171"/>
    <mergeCell ref="LKD170:LKD171"/>
    <mergeCell ref="LKE170:LKE171"/>
    <mergeCell ref="LKF170:LKF171"/>
    <mergeCell ref="LKN170:LKN171"/>
    <mergeCell ref="LKO170:LKO171"/>
    <mergeCell ref="LKP170:LKP171"/>
    <mergeCell ref="LKQ170:LKQ171"/>
    <mergeCell ref="LKR170:LKR171"/>
    <mergeCell ref="LKS170:LKS171"/>
    <mergeCell ref="LLA170:LLA171"/>
    <mergeCell ref="LLB170:LLB171"/>
    <mergeCell ref="LLC170:LLC171"/>
    <mergeCell ref="LLD170:LLD171"/>
    <mergeCell ref="LLE170:LLE171"/>
    <mergeCell ref="LLF170:LLF171"/>
    <mergeCell ref="LLN170:LLN171"/>
    <mergeCell ref="LLO170:LLO171"/>
    <mergeCell ref="LLP170:LLP171"/>
    <mergeCell ref="LLQ170:LLQ171"/>
    <mergeCell ref="LLR170:LLR171"/>
    <mergeCell ref="LLS170:LLS171"/>
    <mergeCell ref="LMA170:LMA171"/>
    <mergeCell ref="LMB170:LMB171"/>
    <mergeCell ref="LMC170:LMC171"/>
    <mergeCell ref="LMD170:LMD171"/>
    <mergeCell ref="LME170:LME171"/>
    <mergeCell ref="LMF170:LMF171"/>
    <mergeCell ref="LMN170:LMN171"/>
    <mergeCell ref="LMO170:LMO171"/>
    <mergeCell ref="LMP170:LMP171"/>
    <mergeCell ref="LMQ170:LMQ171"/>
    <mergeCell ref="LMR170:LMR171"/>
    <mergeCell ref="LMS170:LMS171"/>
    <mergeCell ref="LNA170:LNA171"/>
    <mergeCell ref="LNB170:LNB171"/>
    <mergeCell ref="LNC170:LNC171"/>
    <mergeCell ref="LND170:LND171"/>
    <mergeCell ref="LNE170:LNE171"/>
    <mergeCell ref="LNF170:LNF171"/>
    <mergeCell ref="LNN170:LNN171"/>
    <mergeCell ref="LNO170:LNO171"/>
    <mergeCell ref="LNP170:LNP171"/>
    <mergeCell ref="LNQ170:LNQ171"/>
    <mergeCell ref="LNR170:LNR171"/>
    <mergeCell ref="LNS170:LNS171"/>
    <mergeCell ref="LOA170:LOA171"/>
    <mergeCell ref="LOB170:LOB171"/>
    <mergeCell ref="LOC170:LOC171"/>
    <mergeCell ref="LOD170:LOD171"/>
    <mergeCell ref="LOE170:LOE171"/>
    <mergeCell ref="LOF170:LOF171"/>
    <mergeCell ref="LON170:LON171"/>
    <mergeCell ref="LOO170:LOO171"/>
    <mergeCell ref="LOP170:LOP171"/>
    <mergeCell ref="LOQ170:LOQ171"/>
    <mergeCell ref="LOR170:LOR171"/>
    <mergeCell ref="LOS170:LOS171"/>
    <mergeCell ref="LPA170:LPA171"/>
    <mergeCell ref="LPB170:LPB171"/>
    <mergeCell ref="LPC170:LPC171"/>
    <mergeCell ref="LPD170:LPD171"/>
    <mergeCell ref="LPE170:LPE171"/>
    <mergeCell ref="LPF170:LPF171"/>
    <mergeCell ref="LPN170:LPN171"/>
    <mergeCell ref="LPO170:LPO171"/>
    <mergeCell ref="LPP170:LPP171"/>
    <mergeCell ref="LPQ170:LPQ171"/>
    <mergeCell ref="LPR170:LPR171"/>
    <mergeCell ref="LPS170:LPS171"/>
    <mergeCell ref="LQA170:LQA171"/>
    <mergeCell ref="LQB170:LQB171"/>
    <mergeCell ref="LQC170:LQC171"/>
    <mergeCell ref="LQD170:LQD171"/>
    <mergeCell ref="LQE170:LQE171"/>
    <mergeCell ref="LQF170:LQF171"/>
    <mergeCell ref="LQN170:LQN171"/>
    <mergeCell ref="LQO170:LQO171"/>
    <mergeCell ref="LQP170:LQP171"/>
    <mergeCell ref="LQQ170:LQQ171"/>
    <mergeCell ref="LQR170:LQR171"/>
    <mergeCell ref="LQS170:LQS171"/>
    <mergeCell ref="LRA170:LRA171"/>
    <mergeCell ref="LRB170:LRB171"/>
    <mergeCell ref="LRC170:LRC171"/>
    <mergeCell ref="LRD170:LRD171"/>
    <mergeCell ref="LRE170:LRE171"/>
    <mergeCell ref="LRF170:LRF171"/>
    <mergeCell ref="LRN170:LRN171"/>
    <mergeCell ref="LRO170:LRO171"/>
    <mergeCell ref="LRP170:LRP171"/>
    <mergeCell ref="LRQ170:LRQ171"/>
    <mergeCell ref="LRR170:LRR171"/>
    <mergeCell ref="LRS170:LRS171"/>
    <mergeCell ref="LSA170:LSA171"/>
    <mergeCell ref="LSB170:LSB171"/>
    <mergeCell ref="LSC170:LSC171"/>
    <mergeCell ref="LSD170:LSD171"/>
    <mergeCell ref="LSE170:LSE171"/>
    <mergeCell ref="LSF170:LSF171"/>
    <mergeCell ref="LSN170:LSN171"/>
    <mergeCell ref="LSO170:LSO171"/>
    <mergeCell ref="LSP170:LSP171"/>
    <mergeCell ref="LSQ170:LSQ171"/>
    <mergeCell ref="LSR170:LSR171"/>
    <mergeCell ref="LSS170:LSS171"/>
    <mergeCell ref="LTA170:LTA171"/>
    <mergeCell ref="LTB170:LTB171"/>
    <mergeCell ref="LTC170:LTC171"/>
    <mergeCell ref="LTD170:LTD171"/>
    <mergeCell ref="LTE170:LTE171"/>
    <mergeCell ref="LTF170:LTF171"/>
    <mergeCell ref="LTN170:LTN171"/>
    <mergeCell ref="LTO170:LTO171"/>
    <mergeCell ref="LTP170:LTP171"/>
    <mergeCell ref="LTQ170:LTQ171"/>
    <mergeCell ref="LTR170:LTR171"/>
    <mergeCell ref="LTS170:LTS171"/>
    <mergeCell ref="LUA170:LUA171"/>
    <mergeCell ref="LUB170:LUB171"/>
    <mergeCell ref="LUC170:LUC171"/>
    <mergeCell ref="LUD170:LUD171"/>
    <mergeCell ref="LUE170:LUE171"/>
    <mergeCell ref="LUF170:LUF171"/>
    <mergeCell ref="LUN170:LUN171"/>
    <mergeCell ref="LUO170:LUO171"/>
    <mergeCell ref="LUP170:LUP171"/>
    <mergeCell ref="LUQ170:LUQ171"/>
    <mergeCell ref="LUR170:LUR171"/>
    <mergeCell ref="LUS170:LUS171"/>
    <mergeCell ref="LVA170:LVA171"/>
    <mergeCell ref="LVB170:LVB171"/>
    <mergeCell ref="LVC170:LVC171"/>
    <mergeCell ref="LVD170:LVD171"/>
    <mergeCell ref="LVE170:LVE171"/>
    <mergeCell ref="LVF170:LVF171"/>
    <mergeCell ref="LVN170:LVN171"/>
    <mergeCell ref="LVO170:LVO171"/>
    <mergeCell ref="LVP170:LVP171"/>
    <mergeCell ref="LVQ170:LVQ171"/>
    <mergeCell ref="LVR170:LVR171"/>
    <mergeCell ref="LVS170:LVS171"/>
    <mergeCell ref="LWA170:LWA171"/>
    <mergeCell ref="LWB170:LWB171"/>
    <mergeCell ref="LWC170:LWC171"/>
    <mergeCell ref="LWD170:LWD171"/>
    <mergeCell ref="LWE170:LWE171"/>
    <mergeCell ref="LWF170:LWF171"/>
    <mergeCell ref="LWN170:LWN171"/>
    <mergeCell ref="LWO170:LWO171"/>
    <mergeCell ref="LWP170:LWP171"/>
    <mergeCell ref="LWQ170:LWQ171"/>
    <mergeCell ref="LWR170:LWR171"/>
    <mergeCell ref="LWS170:LWS171"/>
    <mergeCell ref="LXA170:LXA171"/>
    <mergeCell ref="LXB170:LXB171"/>
    <mergeCell ref="LXC170:LXC171"/>
    <mergeCell ref="LXD170:LXD171"/>
    <mergeCell ref="LXE170:LXE171"/>
    <mergeCell ref="LXF170:LXF171"/>
    <mergeCell ref="LXN170:LXN171"/>
    <mergeCell ref="LXO170:LXO171"/>
    <mergeCell ref="LXP170:LXP171"/>
    <mergeCell ref="LXQ170:LXQ171"/>
    <mergeCell ref="LXR170:LXR171"/>
    <mergeCell ref="LXS170:LXS171"/>
    <mergeCell ref="LYA170:LYA171"/>
    <mergeCell ref="LYB170:LYB171"/>
    <mergeCell ref="LYC170:LYC171"/>
    <mergeCell ref="LYD170:LYD171"/>
    <mergeCell ref="LYE170:LYE171"/>
    <mergeCell ref="LYF170:LYF171"/>
    <mergeCell ref="LYN170:LYN171"/>
    <mergeCell ref="LYO170:LYO171"/>
    <mergeCell ref="LYP170:LYP171"/>
    <mergeCell ref="LYQ170:LYQ171"/>
    <mergeCell ref="LYR170:LYR171"/>
    <mergeCell ref="LYS170:LYS171"/>
    <mergeCell ref="LZA170:LZA171"/>
    <mergeCell ref="LZB170:LZB171"/>
    <mergeCell ref="LZC170:LZC171"/>
    <mergeCell ref="LZD170:LZD171"/>
    <mergeCell ref="LZE170:LZE171"/>
    <mergeCell ref="LZF170:LZF171"/>
    <mergeCell ref="LZN170:LZN171"/>
    <mergeCell ref="LZO170:LZO171"/>
    <mergeCell ref="LZP170:LZP171"/>
    <mergeCell ref="LZQ170:LZQ171"/>
    <mergeCell ref="LZR170:LZR171"/>
    <mergeCell ref="LZS170:LZS171"/>
    <mergeCell ref="MAA170:MAA171"/>
    <mergeCell ref="MAB170:MAB171"/>
    <mergeCell ref="MAC170:MAC171"/>
    <mergeCell ref="MAD170:MAD171"/>
    <mergeCell ref="MAE170:MAE171"/>
    <mergeCell ref="MAF170:MAF171"/>
    <mergeCell ref="MAN170:MAN171"/>
    <mergeCell ref="MAO170:MAO171"/>
    <mergeCell ref="MAP170:MAP171"/>
    <mergeCell ref="MAQ170:MAQ171"/>
    <mergeCell ref="MAR170:MAR171"/>
    <mergeCell ref="MAS170:MAS171"/>
    <mergeCell ref="MBA170:MBA171"/>
    <mergeCell ref="MBB170:MBB171"/>
    <mergeCell ref="MBC170:MBC171"/>
    <mergeCell ref="MBD170:MBD171"/>
    <mergeCell ref="MBE170:MBE171"/>
    <mergeCell ref="MBF170:MBF171"/>
    <mergeCell ref="MBN170:MBN171"/>
    <mergeCell ref="MBO170:MBO171"/>
    <mergeCell ref="MBP170:MBP171"/>
    <mergeCell ref="MBQ170:MBQ171"/>
    <mergeCell ref="MBR170:MBR171"/>
    <mergeCell ref="MBS170:MBS171"/>
    <mergeCell ref="MCA170:MCA171"/>
    <mergeCell ref="MCB170:MCB171"/>
    <mergeCell ref="MCC170:MCC171"/>
    <mergeCell ref="MCD170:MCD171"/>
    <mergeCell ref="MCE170:MCE171"/>
    <mergeCell ref="MCF170:MCF171"/>
    <mergeCell ref="MCN170:MCN171"/>
    <mergeCell ref="MCO170:MCO171"/>
    <mergeCell ref="MCP170:MCP171"/>
    <mergeCell ref="MCQ170:MCQ171"/>
    <mergeCell ref="MCR170:MCR171"/>
    <mergeCell ref="MCS170:MCS171"/>
    <mergeCell ref="MDA170:MDA171"/>
    <mergeCell ref="MDB170:MDB171"/>
    <mergeCell ref="MDC170:MDC171"/>
    <mergeCell ref="MDD170:MDD171"/>
    <mergeCell ref="MDE170:MDE171"/>
    <mergeCell ref="MDF170:MDF171"/>
    <mergeCell ref="MDN170:MDN171"/>
    <mergeCell ref="MDO170:MDO171"/>
    <mergeCell ref="MDP170:MDP171"/>
    <mergeCell ref="MDQ170:MDQ171"/>
    <mergeCell ref="MDR170:MDR171"/>
    <mergeCell ref="MDS170:MDS171"/>
    <mergeCell ref="MEA170:MEA171"/>
    <mergeCell ref="MEB170:MEB171"/>
    <mergeCell ref="MEC170:MEC171"/>
    <mergeCell ref="MED170:MED171"/>
    <mergeCell ref="MEE170:MEE171"/>
    <mergeCell ref="MEF170:MEF171"/>
    <mergeCell ref="MEN170:MEN171"/>
    <mergeCell ref="MEO170:MEO171"/>
    <mergeCell ref="MEP170:MEP171"/>
    <mergeCell ref="MEQ170:MEQ171"/>
    <mergeCell ref="MER170:MER171"/>
    <mergeCell ref="MES170:MES171"/>
    <mergeCell ref="MFA170:MFA171"/>
    <mergeCell ref="MFB170:MFB171"/>
    <mergeCell ref="MFC170:MFC171"/>
    <mergeCell ref="MFD170:MFD171"/>
    <mergeCell ref="MFE170:MFE171"/>
    <mergeCell ref="MFF170:MFF171"/>
    <mergeCell ref="MFN170:MFN171"/>
    <mergeCell ref="MFO170:MFO171"/>
    <mergeCell ref="MFP170:MFP171"/>
    <mergeCell ref="MFQ170:MFQ171"/>
    <mergeCell ref="MFR170:MFR171"/>
    <mergeCell ref="MFS170:MFS171"/>
    <mergeCell ref="MGA170:MGA171"/>
    <mergeCell ref="MGB170:MGB171"/>
    <mergeCell ref="MGC170:MGC171"/>
    <mergeCell ref="MGD170:MGD171"/>
    <mergeCell ref="MGE170:MGE171"/>
    <mergeCell ref="MGF170:MGF171"/>
    <mergeCell ref="MGN170:MGN171"/>
    <mergeCell ref="MGO170:MGO171"/>
    <mergeCell ref="MGP170:MGP171"/>
    <mergeCell ref="MGQ170:MGQ171"/>
    <mergeCell ref="MGR170:MGR171"/>
    <mergeCell ref="MGS170:MGS171"/>
    <mergeCell ref="MHA170:MHA171"/>
    <mergeCell ref="MHB170:MHB171"/>
    <mergeCell ref="MHC170:MHC171"/>
    <mergeCell ref="MHD170:MHD171"/>
    <mergeCell ref="MHE170:MHE171"/>
    <mergeCell ref="MHF170:MHF171"/>
    <mergeCell ref="MHN170:MHN171"/>
    <mergeCell ref="MHO170:MHO171"/>
    <mergeCell ref="MHP170:MHP171"/>
    <mergeCell ref="MHQ170:MHQ171"/>
    <mergeCell ref="MHR170:MHR171"/>
    <mergeCell ref="MHS170:MHS171"/>
    <mergeCell ref="MIA170:MIA171"/>
    <mergeCell ref="MIB170:MIB171"/>
    <mergeCell ref="MIC170:MIC171"/>
    <mergeCell ref="MID170:MID171"/>
    <mergeCell ref="MIE170:MIE171"/>
    <mergeCell ref="MIF170:MIF171"/>
    <mergeCell ref="MIN170:MIN171"/>
    <mergeCell ref="MIO170:MIO171"/>
    <mergeCell ref="MIP170:MIP171"/>
    <mergeCell ref="MIQ170:MIQ171"/>
    <mergeCell ref="MIR170:MIR171"/>
    <mergeCell ref="MIS170:MIS171"/>
    <mergeCell ref="MJA170:MJA171"/>
    <mergeCell ref="MJB170:MJB171"/>
    <mergeCell ref="MJC170:MJC171"/>
    <mergeCell ref="MJD170:MJD171"/>
    <mergeCell ref="MJE170:MJE171"/>
    <mergeCell ref="MJF170:MJF171"/>
    <mergeCell ref="MJN170:MJN171"/>
    <mergeCell ref="MJO170:MJO171"/>
    <mergeCell ref="MJP170:MJP171"/>
    <mergeCell ref="MJQ170:MJQ171"/>
    <mergeCell ref="MJR170:MJR171"/>
    <mergeCell ref="MJS170:MJS171"/>
    <mergeCell ref="MKA170:MKA171"/>
    <mergeCell ref="MKB170:MKB171"/>
    <mergeCell ref="MKC170:MKC171"/>
    <mergeCell ref="MKD170:MKD171"/>
    <mergeCell ref="MKE170:MKE171"/>
    <mergeCell ref="MKF170:MKF171"/>
    <mergeCell ref="MKN170:MKN171"/>
    <mergeCell ref="MKO170:MKO171"/>
    <mergeCell ref="MKP170:MKP171"/>
    <mergeCell ref="MKQ170:MKQ171"/>
    <mergeCell ref="MKR170:MKR171"/>
    <mergeCell ref="MKS170:MKS171"/>
    <mergeCell ref="MLA170:MLA171"/>
    <mergeCell ref="MLB170:MLB171"/>
    <mergeCell ref="MLC170:MLC171"/>
    <mergeCell ref="MLD170:MLD171"/>
    <mergeCell ref="MLE170:MLE171"/>
    <mergeCell ref="MLF170:MLF171"/>
    <mergeCell ref="MLN170:MLN171"/>
    <mergeCell ref="MLO170:MLO171"/>
    <mergeCell ref="MLP170:MLP171"/>
    <mergeCell ref="MLQ170:MLQ171"/>
    <mergeCell ref="MLR170:MLR171"/>
    <mergeCell ref="MLS170:MLS171"/>
    <mergeCell ref="MMA170:MMA171"/>
    <mergeCell ref="MMB170:MMB171"/>
    <mergeCell ref="MMC170:MMC171"/>
    <mergeCell ref="MMD170:MMD171"/>
    <mergeCell ref="MME170:MME171"/>
    <mergeCell ref="MMF170:MMF171"/>
    <mergeCell ref="MMN170:MMN171"/>
    <mergeCell ref="MMO170:MMO171"/>
    <mergeCell ref="MMP170:MMP171"/>
    <mergeCell ref="MMQ170:MMQ171"/>
    <mergeCell ref="MMR170:MMR171"/>
    <mergeCell ref="MMS170:MMS171"/>
    <mergeCell ref="MNA170:MNA171"/>
    <mergeCell ref="MNB170:MNB171"/>
    <mergeCell ref="MNC170:MNC171"/>
    <mergeCell ref="MND170:MND171"/>
    <mergeCell ref="MNE170:MNE171"/>
    <mergeCell ref="MNF170:MNF171"/>
    <mergeCell ref="MNN170:MNN171"/>
    <mergeCell ref="MNO170:MNO171"/>
    <mergeCell ref="MNP170:MNP171"/>
    <mergeCell ref="MNQ170:MNQ171"/>
    <mergeCell ref="MNR170:MNR171"/>
    <mergeCell ref="MNS170:MNS171"/>
    <mergeCell ref="MOA170:MOA171"/>
    <mergeCell ref="MOB170:MOB171"/>
    <mergeCell ref="MOC170:MOC171"/>
    <mergeCell ref="MOD170:MOD171"/>
    <mergeCell ref="MOE170:MOE171"/>
    <mergeCell ref="MOF170:MOF171"/>
    <mergeCell ref="MON170:MON171"/>
    <mergeCell ref="MOO170:MOO171"/>
    <mergeCell ref="MOP170:MOP171"/>
    <mergeCell ref="MOQ170:MOQ171"/>
    <mergeCell ref="MOR170:MOR171"/>
    <mergeCell ref="MOS170:MOS171"/>
    <mergeCell ref="MPA170:MPA171"/>
    <mergeCell ref="MPB170:MPB171"/>
    <mergeCell ref="MPC170:MPC171"/>
    <mergeCell ref="MPD170:MPD171"/>
    <mergeCell ref="MPE170:MPE171"/>
    <mergeCell ref="MPF170:MPF171"/>
    <mergeCell ref="MPN170:MPN171"/>
    <mergeCell ref="MPO170:MPO171"/>
    <mergeCell ref="MPP170:MPP171"/>
    <mergeCell ref="MPQ170:MPQ171"/>
    <mergeCell ref="MPR170:MPR171"/>
    <mergeCell ref="MPS170:MPS171"/>
    <mergeCell ref="MQA170:MQA171"/>
    <mergeCell ref="MQB170:MQB171"/>
    <mergeCell ref="MQC170:MQC171"/>
    <mergeCell ref="MQD170:MQD171"/>
    <mergeCell ref="MQE170:MQE171"/>
    <mergeCell ref="MQF170:MQF171"/>
    <mergeCell ref="MQN170:MQN171"/>
    <mergeCell ref="MQO170:MQO171"/>
    <mergeCell ref="MQP170:MQP171"/>
    <mergeCell ref="MQQ170:MQQ171"/>
    <mergeCell ref="MQR170:MQR171"/>
    <mergeCell ref="MQS170:MQS171"/>
    <mergeCell ref="MRA170:MRA171"/>
    <mergeCell ref="MRB170:MRB171"/>
    <mergeCell ref="MRC170:MRC171"/>
    <mergeCell ref="MRD170:MRD171"/>
    <mergeCell ref="MRE170:MRE171"/>
    <mergeCell ref="MRF170:MRF171"/>
    <mergeCell ref="MRN170:MRN171"/>
    <mergeCell ref="MRO170:MRO171"/>
    <mergeCell ref="MRP170:MRP171"/>
    <mergeCell ref="MRQ170:MRQ171"/>
    <mergeCell ref="MRR170:MRR171"/>
    <mergeCell ref="MRS170:MRS171"/>
    <mergeCell ref="MSA170:MSA171"/>
    <mergeCell ref="MSB170:MSB171"/>
    <mergeCell ref="MSC170:MSC171"/>
    <mergeCell ref="MSD170:MSD171"/>
    <mergeCell ref="MSE170:MSE171"/>
    <mergeCell ref="MSF170:MSF171"/>
    <mergeCell ref="MSN170:MSN171"/>
    <mergeCell ref="MSO170:MSO171"/>
    <mergeCell ref="MSP170:MSP171"/>
    <mergeCell ref="MSQ170:MSQ171"/>
    <mergeCell ref="MSR170:MSR171"/>
    <mergeCell ref="MSS170:MSS171"/>
    <mergeCell ref="MTA170:MTA171"/>
    <mergeCell ref="MTB170:MTB171"/>
    <mergeCell ref="MTC170:MTC171"/>
    <mergeCell ref="MTD170:MTD171"/>
    <mergeCell ref="MTE170:MTE171"/>
    <mergeCell ref="MTF170:MTF171"/>
    <mergeCell ref="MTN170:MTN171"/>
    <mergeCell ref="MTO170:MTO171"/>
    <mergeCell ref="MTP170:MTP171"/>
    <mergeCell ref="MTQ170:MTQ171"/>
    <mergeCell ref="MTR170:MTR171"/>
    <mergeCell ref="MTS170:MTS171"/>
    <mergeCell ref="MUA170:MUA171"/>
    <mergeCell ref="MUB170:MUB171"/>
    <mergeCell ref="MUC170:MUC171"/>
    <mergeCell ref="MUD170:MUD171"/>
    <mergeCell ref="MUE170:MUE171"/>
    <mergeCell ref="MUF170:MUF171"/>
    <mergeCell ref="MUN170:MUN171"/>
    <mergeCell ref="MUO170:MUO171"/>
    <mergeCell ref="MUP170:MUP171"/>
    <mergeCell ref="MUQ170:MUQ171"/>
    <mergeCell ref="MUR170:MUR171"/>
    <mergeCell ref="MUS170:MUS171"/>
    <mergeCell ref="MVA170:MVA171"/>
    <mergeCell ref="MVB170:MVB171"/>
    <mergeCell ref="MVC170:MVC171"/>
    <mergeCell ref="MVD170:MVD171"/>
    <mergeCell ref="MVE170:MVE171"/>
    <mergeCell ref="MVF170:MVF171"/>
    <mergeCell ref="MVN170:MVN171"/>
    <mergeCell ref="MVO170:MVO171"/>
    <mergeCell ref="MVP170:MVP171"/>
    <mergeCell ref="MVQ170:MVQ171"/>
    <mergeCell ref="MVR170:MVR171"/>
    <mergeCell ref="MVS170:MVS171"/>
    <mergeCell ref="MWA170:MWA171"/>
    <mergeCell ref="MWB170:MWB171"/>
    <mergeCell ref="MWC170:MWC171"/>
    <mergeCell ref="MWD170:MWD171"/>
    <mergeCell ref="MWE170:MWE171"/>
    <mergeCell ref="MWF170:MWF171"/>
    <mergeCell ref="MWN170:MWN171"/>
    <mergeCell ref="MWO170:MWO171"/>
    <mergeCell ref="MWP170:MWP171"/>
    <mergeCell ref="MWQ170:MWQ171"/>
    <mergeCell ref="MWR170:MWR171"/>
    <mergeCell ref="MWS170:MWS171"/>
    <mergeCell ref="MXA170:MXA171"/>
    <mergeCell ref="MXB170:MXB171"/>
    <mergeCell ref="MXC170:MXC171"/>
    <mergeCell ref="MXD170:MXD171"/>
    <mergeCell ref="MXE170:MXE171"/>
    <mergeCell ref="MXF170:MXF171"/>
    <mergeCell ref="MXN170:MXN171"/>
    <mergeCell ref="MXO170:MXO171"/>
    <mergeCell ref="MXP170:MXP171"/>
    <mergeCell ref="MXQ170:MXQ171"/>
    <mergeCell ref="MXR170:MXR171"/>
    <mergeCell ref="MXS170:MXS171"/>
    <mergeCell ref="MYA170:MYA171"/>
    <mergeCell ref="MYB170:MYB171"/>
    <mergeCell ref="MYC170:MYC171"/>
    <mergeCell ref="MYD170:MYD171"/>
    <mergeCell ref="MYE170:MYE171"/>
    <mergeCell ref="MYF170:MYF171"/>
    <mergeCell ref="MYN170:MYN171"/>
    <mergeCell ref="MYO170:MYO171"/>
    <mergeCell ref="MYP170:MYP171"/>
    <mergeCell ref="MYQ170:MYQ171"/>
    <mergeCell ref="MYR170:MYR171"/>
    <mergeCell ref="MYS170:MYS171"/>
    <mergeCell ref="MZA170:MZA171"/>
    <mergeCell ref="MZB170:MZB171"/>
    <mergeCell ref="MZC170:MZC171"/>
    <mergeCell ref="MZD170:MZD171"/>
    <mergeCell ref="MZE170:MZE171"/>
    <mergeCell ref="MZF170:MZF171"/>
    <mergeCell ref="MZN170:MZN171"/>
    <mergeCell ref="MZO170:MZO171"/>
    <mergeCell ref="MZP170:MZP171"/>
    <mergeCell ref="MZQ170:MZQ171"/>
    <mergeCell ref="MZR170:MZR171"/>
    <mergeCell ref="MZS170:MZS171"/>
    <mergeCell ref="NAA170:NAA171"/>
    <mergeCell ref="NAB170:NAB171"/>
    <mergeCell ref="NAC170:NAC171"/>
    <mergeCell ref="NAD170:NAD171"/>
    <mergeCell ref="NAE170:NAE171"/>
    <mergeCell ref="NAF170:NAF171"/>
    <mergeCell ref="NAN170:NAN171"/>
    <mergeCell ref="NAO170:NAO171"/>
    <mergeCell ref="NAP170:NAP171"/>
    <mergeCell ref="NAQ170:NAQ171"/>
    <mergeCell ref="NAR170:NAR171"/>
    <mergeCell ref="NAS170:NAS171"/>
    <mergeCell ref="NBA170:NBA171"/>
    <mergeCell ref="NBB170:NBB171"/>
    <mergeCell ref="NBC170:NBC171"/>
    <mergeCell ref="NBD170:NBD171"/>
    <mergeCell ref="NBE170:NBE171"/>
    <mergeCell ref="NBF170:NBF171"/>
    <mergeCell ref="NBN170:NBN171"/>
    <mergeCell ref="NBO170:NBO171"/>
    <mergeCell ref="NBP170:NBP171"/>
    <mergeCell ref="NBQ170:NBQ171"/>
    <mergeCell ref="NBR170:NBR171"/>
    <mergeCell ref="NBS170:NBS171"/>
    <mergeCell ref="NCA170:NCA171"/>
    <mergeCell ref="NCB170:NCB171"/>
    <mergeCell ref="NCC170:NCC171"/>
    <mergeCell ref="NCD170:NCD171"/>
    <mergeCell ref="NCE170:NCE171"/>
    <mergeCell ref="NCF170:NCF171"/>
    <mergeCell ref="NCN170:NCN171"/>
    <mergeCell ref="NCO170:NCO171"/>
    <mergeCell ref="NCP170:NCP171"/>
    <mergeCell ref="NCQ170:NCQ171"/>
    <mergeCell ref="NCR170:NCR171"/>
    <mergeCell ref="NCS170:NCS171"/>
    <mergeCell ref="NDA170:NDA171"/>
    <mergeCell ref="NDB170:NDB171"/>
    <mergeCell ref="NDC170:NDC171"/>
    <mergeCell ref="NDD170:NDD171"/>
    <mergeCell ref="NDE170:NDE171"/>
    <mergeCell ref="NDF170:NDF171"/>
    <mergeCell ref="NDN170:NDN171"/>
    <mergeCell ref="NDO170:NDO171"/>
    <mergeCell ref="NDP170:NDP171"/>
    <mergeCell ref="NDQ170:NDQ171"/>
    <mergeCell ref="NDR170:NDR171"/>
    <mergeCell ref="NDS170:NDS171"/>
    <mergeCell ref="NEA170:NEA171"/>
    <mergeCell ref="NEB170:NEB171"/>
    <mergeCell ref="NEC170:NEC171"/>
    <mergeCell ref="NED170:NED171"/>
    <mergeCell ref="NEE170:NEE171"/>
    <mergeCell ref="NEF170:NEF171"/>
    <mergeCell ref="NEN170:NEN171"/>
    <mergeCell ref="NEO170:NEO171"/>
    <mergeCell ref="NEP170:NEP171"/>
    <mergeCell ref="NEQ170:NEQ171"/>
    <mergeCell ref="NER170:NER171"/>
    <mergeCell ref="NES170:NES171"/>
    <mergeCell ref="NFA170:NFA171"/>
    <mergeCell ref="NFB170:NFB171"/>
    <mergeCell ref="NFC170:NFC171"/>
    <mergeCell ref="NFD170:NFD171"/>
    <mergeCell ref="NFE170:NFE171"/>
    <mergeCell ref="NFF170:NFF171"/>
    <mergeCell ref="NFN170:NFN171"/>
    <mergeCell ref="NFO170:NFO171"/>
    <mergeCell ref="NFP170:NFP171"/>
    <mergeCell ref="NFQ170:NFQ171"/>
    <mergeCell ref="NFR170:NFR171"/>
    <mergeCell ref="NFS170:NFS171"/>
    <mergeCell ref="NGA170:NGA171"/>
    <mergeCell ref="NGB170:NGB171"/>
    <mergeCell ref="NGC170:NGC171"/>
    <mergeCell ref="NGD170:NGD171"/>
    <mergeCell ref="NGE170:NGE171"/>
    <mergeCell ref="NGF170:NGF171"/>
    <mergeCell ref="NGN170:NGN171"/>
    <mergeCell ref="NGO170:NGO171"/>
    <mergeCell ref="NGP170:NGP171"/>
    <mergeCell ref="NGQ170:NGQ171"/>
    <mergeCell ref="NGR170:NGR171"/>
    <mergeCell ref="NGS170:NGS171"/>
    <mergeCell ref="NHA170:NHA171"/>
    <mergeCell ref="NHB170:NHB171"/>
    <mergeCell ref="NHC170:NHC171"/>
    <mergeCell ref="NHD170:NHD171"/>
    <mergeCell ref="NHE170:NHE171"/>
    <mergeCell ref="NHF170:NHF171"/>
    <mergeCell ref="NHN170:NHN171"/>
    <mergeCell ref="NHO170:NHO171"/>
    <mergeCell ref="NHP170:NHP171"/>
    <mergeCell ref="NHQ170:NHQ171"/>
    <mergeCell ref="NHR170:NHR171"/>
    <mergeCell ref="NHS170:NHS171"/>
    <mergeCell ref="NIA170:NIA171"/>
    <mergeCell ref="NIB170:NIB171"/>
    <mergeCell ref="NIC170:NIC171"/>
    <mergeCell ref="NID170:NID171"/>
    <mergeCell ref="NIE170:NIE171"/>
    <mergeCell ref="NIF170:NIF171"/>
    <mergeCell ref="NIN170:NIN171"/>
    <mergeCell ref="NIO170:NIO171"/>
    <mergeCell ref="NIP170:NIP171"/>
    <mergeCell ref="NIQ170:NIQ171"/>
    <mergeCell ref="NIR170:NIR171"/>
    <mergeCell ref="NIS170:NIS171"/>
    <mergeCell ref="NJA170:NJA171"/>
    <mergeCell ref="NJB170:NJB171"/>
    <mergeCell ref="NJC170:NJC171"/>
    <mergeCell ref="NJD170:NJD171"/>
    <mergeCell ref="NJE170:NJE171"/>
    <mergeCell ref="NJF170:NJF171"/>
    <mergeCell ref="NJN170:NJN171"/>
    <mergeCell ref="NJO170:NJO171"/>
    <mergeCell ref="NJP170:NJP171"/>
    <mergeCell ref="NJQ170:NJQ171"/>
    <mergeCell ref="NJR170:NJR171"/>
    <mergeCell ref="NJS170:NJS171"/>
    <mergeCell ref="NKA170:NKA171"/>
    <mergeCell ref="NKB170:NKB171"/>
    <mergeCell ref="NKC170:NKC171"/>
    <mergeCell ref="NKD170:NKD171"/>
    <mergeCell ref="NKE170:NKE171"/>
    <mergeCell ref="NKF170:NKF171"/>
    <mergeCell ref="NKN170:NKN171"/>
    <mergeCell ref="NKO170:NKO171"/>
    <mergeCell ref="NKP170:NKP171"/>
    <mergeCell ref="NKQ170:NKQ171"/>
    <mergeCell ref="NKR170:NKR171"/>
    <mergeCell ref="NKS170:NKS171"/>
    <mergeCell ref="NLA170:NLA171"/>
    <mergeCell ref="NLB170:NLB171"/>
    <mergeCell ref="NLC170:NLC171"/>
    <mergeCell ref="NLD170:NLD171"/>
    <mergeCell ref="NLE170:NLE171"/>
    <mergeCell ref="NLF170:NLF171"/>
    <mergeCell ref="NLN170:NLN171"/>
    <mergeCell ref="NLO170:NLO171"/>
    <mergeCell ref="NLP170:NLP171"/>
    <mergeCell ref="NLQ170:NLQ171"/>
    <mergeCell ref="NLR170:NLR171"/>
    <mergeCell ref="NLS170:NLS171"/>
    <mergeCell ref="NMA170:NMA171"/>
    <mergeCell ref="NMB170:NMB171"/>
    <mergeCell ref="NMC170:NMC171"/>
    <mergeCell ref="NMD170:NMD171"/>
    <mergeCell ref="NME170:NME171"/>
    <mergeCell ref="NMF170:NMF171"/>
    <mergeCell ref="NMN170:NMN171"/>
    <mergeCell ref="NMO170:NMO171"/>
    <mergeCell ref="NMP170:NMP171"/>
    <mergeCell ref="NMQ170:NMQ171"/>
    <mergeCell ref="NMR170:NMR171"/>
    <mergeCell ref="NMS170:NMS171"/>
    <mergeCell ref="NNA170:NNA171"/>
    <mergeCell ref="NNB170:NNB171"/>
    <mergeCell ref="NNC170:NNC171"/>
    <mergeCell ref="NND170:NND171"/>
    <mergeCell ref="NNE170:NNE171"/>
    <mergeCell ref="NNF170:NNF171"/>
    <mergeCell ref="NNN170:NNN171"/>
    <mergeCell ref="NNO170:NNO171"/>
    <mergeCell ref="NNP170:NNP171"/>
    <mergeCell ref="NNQ170:NNQ171"/>
    <mergeCell ref="NNR170:NNR171"/>
    <mergeCell ref="NNS170:NNS171"/>
    <mergeCell ref="NOA170:NOA171"/>
    <mergeCell ref="NOB170:NOB171"/>
    <mergeCell ref="NOC170:NOC171"/>
    <mergeCell ref="NOD170:NOD171"/>
    <mergeCell ref="NOE170:NOE171"/>
    <mergeCell ref="NOF170:NOF171"/>
    <mergeCell ref="NON170:NON171"/>
    <mergeCell ref="NOO170:NOO171"/>
    <mergeCell ref="NOP170:NOP171"/>
    <mergeCell ref="NOQ170:NOQ171"/>
    <mergeCell ref="NOR170:NOR171"/>
    <mergeCell ref="NOS170:NOS171"/>
    <mergeCell ref="NPA170:NPA171"/>
    <mergeCell ref="NPB170:NPB171"/>
    <mergeCell ref="NPC170:NPC171"/>
    <mergeCell ref="NPD170:NPD171"/>
    <mergeCell ref="NPE170:NPE171"/>
    <mergeCell ref="NPF170:NPF171"/>
    <mergeCell ref="NPN170:NPN171"/>
    <mergeCell ref="NPO170:NPO171"/>
    <mergeCell ref="NPP170:NPP171"/>
    <mergeCell ref="NPQ170:NPQ171"/>
    <mergeCell ref="NPR170:NPR171"/>
    <mergeCell ref="NPS170:NPS171"/>
    <mergeCell ref="NQA170:NQA171"/>
    <mergeCell ref="NQB170:NQB171"/>
    <mergeCell ref="NQC170:NQC171"/>
    <mergeCell ref="NQD170:NQD171"/>
    <mergeCell ref="NQE170:NQE171"/>
    <mergeCell ref="NQF170:NQF171"/>
    <mergeCell ref="NQN170:NQN171"/>
    <mergeCell ref="NQO170:NQO171"/>
    <mergeCell ref="NQP170:NQP171"/>
    <mergeCell ref="NQQ170:NQQ171"/>
    <mergeCell ref="NQR170:NQR171"/>
    <mergeCell ref="NQS170:NQS171"/>
    <mergeCell ref="NRA170:NRA171"/>
    <mergeCell ref="NRB170:NRB171"/>
    <mergeCell ref="NRC170:NRC171"/>
    <mergeCell ref="NRD170:NRD171"/>
    <mergeCell ref="NRE170:NRE171"/>
    <mergeCell ref="NRF170:NRF171"/>
    <mergeCell ref="NRN170:NRN171"/>
    <mergeCell ref="NRO170:NRO171"/>
    <mergeCell ref="NRP170:NRP171"/>
    <mergeCell ref="NRQ170:NRQ171"/>
    <mergeCell ref="NRR170:NRR171"/>
    <mergeCell ref="NRS170:NRS171"/>
    <mergeCell ref="NSA170:NSA171"/>
    <mergeCell ref="NSB170:NSB171"/>
    <mergeCell ref="NSC170:NSC171"/>
    <mergeCell ref="NSD170:NSD171"/>
    <mergeCell ref="NSE170:NSE171"/>
    <mergeCell ref="NSF170:NSF171"/>
    <mergeCell ref="NSN170:NSN171"/>
    <mergeCell ref="NSO170:NSO171"/>
    <mergeCell ref="NSP170:NSP171"/>
    <mergeCell ref="NSQ170:NSQ171"/>
    <mergeCell ref="NSR170:NSR171"/>
    <mergeCell ref="NSS170:NSS171"/>
    <mergeCell ref="NTA170:NTA171"/>
    <mergeCell ref="NTB170:NTB171"/>
    <mergeCell ref="NTC170:NTC171"/>
    <mergeCell ref="NTD170:NTD171"/>
    <mergeCell ref="NTE170:NTE171"/>
    <mergeCell ref="NTF170:NTF171"/>
    <mergeCell ref="NTN170:NTN171"/>
    <mergeCell ref="NTO170:NTO171"/>
    <mergeCell ref="NTP170:NTP171"/>
    <mergeCell ref="NTQ170:NTQ171"/>
    <mergeCell ref="NTR170:NTR171"/>
    <mergeCell ref="NTS170:NTS171"/>
    <mergeCell ref="NUA170:NUA171"/>
    <mergeCell ref="NUB170:NUB171"/>
    <mergeCell ref="NUC170:NUC171"/>
    <mergeCell ref="NUD170:NUD171"/>
    <mergeCell ref="NUE170:NUE171"/>
    <mergeCell ref="NUF170:NUF171"/>
    <mergeCell ref="NUN170:NUN171"/>
    <mergeCell ref="NUO170:NUO171"/>
    <mergeCell ref="NUP170:NUP171"/>
    <mergeCell ref="NUQ170:NUQ171"/>
    <mergeCell ref="NUR170:NUR171"/>
    <mergeCell ref="NUS170:NUS171"/>
    <mergeCell ref="NVA170:NVA171"/>
    <mergeCell ref="NVB170:NVB171"/>
    <mergeCell ref="NVC170:NVC171"/>
    <mergeCell ref="NVD170:NVD171"/>
    <mergeCell ref="NVE170:NVE171"/>
    <mergeCell ref="NVF170:NVF171"/>
    <mergeCell ref="NVN170:NVN171"/>
    <mergeCell ref="NVO170:NVO171"/>
    <mergeCell ref="NVP170:NVP171"/>
    <mergeCell ref="NVQ170:NVQ171"/>
    <mergeCell ref="NVR170:NVR171"/>
    <mergeCell ref="NVS170:NVS171"/>
    <mergeCell ref="NWA170:NWA171"/>
    <mergeCell ref="NWB170:NWB171"/>
    <mergeCell ref="NWC170:NWC171"/>
    <mergeCell ref="NWD170:NWD171"/>
    <mergeCell ref="NWE170:NWE171"/>
    <mergeCell ref="NWF170:NWF171"/>
    <mergeCell ref="NWN170:NWN171"/>
    <mergeCell ref="NWO170:NWO171"/>
    <mergeCell ref="NWP170:NWP171"/>
    <mergeCell ref="NWQ170:NWQ171"/>
    <mergeCell ref="NWR170:NWR171"/>
    <mergeCell ref="NWS170:NWS171"/>
    <mergeCell ref="NXA170:NXA171"/>
    <mergeCell ref="NXB170:NXB171"/>
    <mergeCell ref="NXC170:NXC171"/>
    <mergeCell ref="NXD170:NXD171"/>
    <mergeCell ref="NXE170:NXE171"/>
    <mergeCell ref="NXF170:NXF171"/>
    <mergeCell ref="NXN170:NXN171"/>
    <mergeCell ref="NXO170:NXO171"/>
    <mergeCell ref="NXP170:NXP171"/>
    <mergeCell ref="NXQ170:NXQ171"/>
    <mergeCell ref="NXR170:NXR171"/>
    <mergeCell ref="NXS170:NXS171"/>
    <mergeCell ref="NYA170:NYA171"/>
    <mergeCell ref="NYB170:NYB171"/>
    <mergeCell ref="NYC170:NYC171"/>
    <mergeCell ref="NYD170:NYD171"/>
    <mergeCell ref="NYE170:NYE171"/>
    <mergeCell ref="NYF170:NYF171"/>
    <mergeCell ref="NYN170:NYN171"/>
    <mergeCell ref="NYO170:NYO171"/>
    <mergeCell ref="NYP170:NYP171"/>
    <mergeCell ref="NYQ170:NYQ171"/>
    <mergeCell ref="NYR170:NYR171"/>
    <mergeCell ref="NYS170:NYS171"/>
    <mergeCell ref="NZA170:NZA171"/>
    <mergeCell ref="NZB170:NZB171"/>
    <mergeCell ref="NZC170:NZC171"/>
    <mergeCell ref="NZD170:NZD171"/>
    <mergeCell ref="NZE170:NZE171"/>
    <mergeCell ref="NZF170:NZF171"/>
    <mergeCell ref="NZN170:NZN171"/>
    <mergeCell ref="NZO170:NZO171"/>
    <mergeCell ref="NZP170:NZP171"/>
    <mergeCell ref="NZQ170:NZQ171"/>
    <mergeCell ref="NZR170:NZR171"/>
    <mergeCell ref="NZS170:NZS171"/>
    <mergeCell ref="OAA170:OAA171"/>
    <mergeCell ref="OAB170:OAB171"/>
    <mergeCell ref="OAC170:OAC171"/>
    <mergeCell ref="OAD170:OAD171"/>
    <mergeCell ref="OAE170:OAE171"/>
    <mergeCell ref="OAF170:OAF171"/>
    <mergeCell ref="OAN170:OAN171"/>
    <mergeCell ref="OAO170:OAO171"/>
    <mergeCell ref="OAP170:OAP171"/>
    <mergeCell ref="OAQ170:OAQ171"/>
    <mergeCell ref="OAR170:OAR171"/>
    <mergeCell ref="OAS170:OAS171"/>
    <mergeCell ref="OBA170:OBA171"/>
    <mergeCell ref="OBB170:OBB171"/>
    <mergeCell ref="OBC170:OBC171"/>
    <mergeCell ref="OBD170:OBD171"/>
    <mergeCell ref="OBE170:OBE171"/>
    <mergeCell ref="OBF170:OBF171"/>
    <mergeCell ref="OBN170:OBN171"/>
    <mergeCell ref="OBO170:OBO171"/>
    <mergeCell ref="OBP170:OBP171"/>
    <mergeCell ref="OBQ170:OBQ171"/>
    <mergeCell ref="OBR170:OBR171"/>
    <mergeCell ref="OBS170:OBS171"/>
    <mergeCell ref="OCA170:OCA171"/>
    <mergeCell ref="OCB170:OCB171"/>
    <mergeCell ref="OCC170:OCC171"/>
    <mergeCell ref="OCD170:OCD171"/>
    <mergeCell ref="OCE170:OCE171"/>
    <mergeCell ref="OCF170:OCF171"/>
    <mergeCell ref="OCN170:OCN171"/>
    <mergeCell ref="OCO170:OCO171"/>
    <mergeCell ref="OCP170:OCP171"/>
    <mergeCell ref="OCQ170:OCQ171"/>
    <mergeCell ref="OCR170:OCR171"/>
    <mergeCell ref="OCS170:OCS171"/>
    <mergeCell ref="ODA170:ODA171"/>
    <mergeCell ref="ODB170:ODB171"/>
    <mergeCell ref="ODC170:ODC171"/>
    <mergeCell ref="ODD170:ODD171"/>
    <mergeCell ref="ODE170:ODE171"/>
    <mergeCell ref="ODF170:ODF171"/>
    <mergeCell ref="ODN170:ODN171"/>
    <mergeCell ref="ODO170:ODO171"/>
    <mergeCell ref="ODP170:ODP171"/>
    <mergeCell ref="ODQ170:ODQ171"/>
    <mergeCell ref="ODR170:ODR171"/>
    <mergeCell ref="ODS170:ODS171"/>
    <mergeCell ref="OEA170:OEA171"/>
    <mergeCell ref="OEB170:OEB171"/>
    <mergeCell ref="OEC170:OEC171"/>
    <mergeCell ref="OED170:OED171"/>
    <mergeCell ref="OEE170:OEE171"/>
    <mergeCell ref="OEF170:OEF171"/>
    <mergeCell ref="OEN170:OEN171"/>
    <mergeCell ref="OEO170:OEO171"/>
    <mergeCell ref="OEP170:OEP171"/>
    <mergeCell ref="OEQ170:OEQ171"/>
    <mergeCell ref="OER170:OER171"/>
    <mergeCell ref="OES170:OES171"/>
    <mergeCell ref="OFA170:OFA171"/>
    <mergeCell ref="OFB170:OFB171"/>
    <mergeCell ref="OFC170:OFC171"/>
    <mergeCell ref="OFD170:OFD171"/>
    <mergeCell ref="OFE170:OFE171"/>
    <mergeCell ref="OFF170:OFF171"/>
    <mergeCell ref="OFN170:OFN171"/>
    <mergeCell ref="OFO170:OFO171"/>
    <mergeCell ref="OFP170:OFP171"/>
    <mergeCell ref="OFQ170:OFQ171"/>
    <mergeCell ref="OFR170:OFR171"/>
    <mergeCell ref="OFS170:OFS171"/>
    <mergeCell ref="OGA170:OGA171"/>
    <mergeCell ref="OGB170:OGB171"/>
    <mergeCell ref="OGC170:OGC171"/>
    <mergeCell ref="OGD170:OGD171"/>
    <mergeCell ref="OGE170:OGE171"/>
    <mergeCell ref="OGF170:OGF171"/>
    <mergeCell ref="OGN170:OGN171"/>
    <mergeCell ref="OGO170:OGO171"/>
    <mergeCell ref="OGP170:OGP171"/>
    <mergeCell ref="OGQ170:OGQ171"/>
    <mergeCell ref="OGR170:OGR171"/>
    <mergeCell ref="OGS170:OGS171"/>
    <mergeCell ref="OHA170:OHA171"/>
    <mergeCell ref="OHB170:OHB171"/>
    <mergeCell ref="OHC170:OHC171"/>
    <mergeCell ref="OHD170:OHD171"/>
    <mergeCell ref="OHE170:OHE171"/>
    <mergeCell ref="OHF170:OHF171"/>
    <mergeCell ref="OHN170:OHN171"/>
    <mergeCell ref="OHO170:OHO171"/>
    <mergeCell ref="OHP170:OHP171"/>
    <mergeCell ref="OHQ170:OHQ171"/>
    <mergeCell ref="OHR170:OHR171"/>
    <mergeCell ref="OHS170:OHS171"/>
    <mergeCell ref="OIA170:OIA171"/>
    <mergeCell ref="OIB170:OIB171"/>
    <mergeCell ref="OIC170:OIC171"/>
    <mergeCell ref="OID170:OID171"/>
    <mergeCell ref="OIE170:OIE171"/>
    <mergeCell ref="OIF170:OIF171"/>
    <mergeCell ref="OIN170:OIN171"/>
    <mergeCell ref="OIO170:OIO171"/>
    <mergeCell ref="OIP170:OIP171"/>
    <mergeCell ref="OIQ170:OIQ171"/>
    <mergeCell ref="OIR170:OIR171"/>
    <mergeCell ref="OIS170:OIS171"/>
    <mergeCell ref="OJA170:OJA171"/>
    <mergeCell ref="OJB170:OJB171"/>
    <mergeCell ref="OJC170:OJC171"/>
    <mergeCell ref="OJD170:OJD171"/>
    <mergeCell ref="OJE170:OJE171"/>
    <mergeCell ref="OJF170:OJF171"/>
    <mergeCell ref="OJN170:OJN171"/>
    <mergeCell ref="OJO170:OJO171"/>
    <mergeCell ref="OJP170:OJP171"/>
    <mergeCell ref="OJQ170:OJQ171"/>
    <mergeCell ref="OJR170:OJR171"/>
    <mergeCell ref="OJS170:OJS171"/>
    <mergeCell ref="OKA170:OKA171"/>
    <mergeCell ref="OKB170:OKB171"/>
    <mergeCell ref="OKC170:OKC171"/>
    <mergeCell ref="OKD170:OKD171"/>
    <mergeCell ref="OKE170:OKE171"/>
    <mergeCell ref="OKF170:OKF171"/>
    <mergeCell ref="OKN170:OKN171"/>
    <mergeCell ref="OKO170:OKO171"/>
    <mergeCell ref="OKP170:OKP171"/>
    <mergeCell ref="OKQ170:OKQ171"/>
    <mergeCell ref="OKR170:OKR171"/>
    <mergeCell ref="OKS170:OKS171"/>
    <mergeCell ref="OLA170:OLA171"/>
    <mergeCell ref="OLB170:OLB171"/>
    <mergeCell ref="OLC170:OLC171"/>
    <mergeCell ref="OLD170:OLD171"/>
    <mergeCell ref="OLE170:OLE171"/>
    <mergeCell ref="OLF170:OLF171"/>
    <mergeCell ref="OLN170:OLN171"/>
    <mergeCell ref="OLO170:OLO171"/>
    <mergeCell ref="OLP170:OLP171"/>
    <mergeCell ref="OLQ170:OLQ171"/>
    <mergeCell ref="OLR170:OLR171"/>
    <mergeCell ref="OLS170:OLS171"/>
    <mergeCell ref="OMA170:OMA171"/>
    <mergeCell ref="OMB170:OMB171"/>
    <mergeCell ref="OMC170:OMC171"/>
    <mergeCell ref="OMD170:OMD171"/>
    <mergeCell ref="OME170:OME171"/>
    <mergeCell ref="OMF170:OMF171"/>
    <mergeCell ref="OMN170:OMN171"/>
    <mergeCell ref="OMO170:OMO171"/>
    <mergeCell ref="OMP170:OMP171"/>
    <mergeCell ref="OMQ170:OMQ171"/>
    <mergeCell ref="OMR170:OMR171"/>
    <mergeCell ref="OMS170:OMS171"/>
    <mergeCell ref="ONA170:ONA171"/>
    <mergeCell ref="ONB170:ONB171"/>
    <mergeCell ref="ONC170:ONC171"/>
    <mergeCell ref="OND170:OND171"/>
    <mergeCell ref="ONE170:ONE171"/>
    <mergeCell ref="ONF170:ONF171"/>
    <mergeCell ref="ONN170:ONN171"/>
    <mergeCell ref="ONO170:ONO171"/>
    <mergeCell ref="ONP170:ONP171"/>
    <mergeCell ref="ONQ170:ONQ171"/>
    <mergeCell ref="ONR170:ONR171"/>
    <mergeCell ref="ONS170:ONS171"/>
    <mergeCell ref="OOA170:OOA171"/>
    <mergeCell ref="OOB170:OOB171"/>
    <mergeCell ref="OOC170:OOC171"/>
    <mergeCell ref="OOD170:OOD171"/>
    <mergeCell ref="OOE170:OOE171"/>
    <mergeCell ref="OOF170:OOF171"/>
    <mergeCell ref="OON170:OON171"/>
    <mergeCell ref="OOO170:OOO171"/>
    <mergeCell ref="OOP170:OOP171"/>
    <mergeCell ref="OOQ170:OOQ171"/>
    <mergeCell ref="OOR170:OOR171"/>
    <mergeCell ref="OOS170:OOS171"/>
    <mergeCell ref="OPA170:OPA171"/>
    <mergeCell ref="OPB170:OPB171"/>
    <mergeCell ref="OPC170:OPC171"/>
    <mergeCell ref="OPD170:OPD171"/>
    <mergeCell ref="OPE170:OPE171"/>
    <mergeCell ref="OPF170:OPF171"/>
    <mergeCell ref="OPN170:OPN171"/>
    <mergeCell ref="OPO170:OPO171"/>
    <mergeCell ref="OPP170:OPP171"/>
    <mergeCell ref="OPQ170:OPQ171"/>
    <mergeCell ref="OPR170:OPR171"/>
    <mergeCell ref="OPS170:OPS171"/>
    <mergeCell ref="OQA170:OQA171"/>
    <mergeCell ref="OQB170:OQB171"/>
    <mergeCell ref="OQC170:OQC171"/>
    <mergeCell ref="OQD170:OQD171"/>
    <mergeCell ref="OQE170:OQE171"/>
    <mergeCell ref="OQF170:OQF171"/>
    <mergeCell ref="OQN170:OQN171"/>
    <mergeCell ref="OQO170:OQO171"/>
    <mergeCell ref="OQP170:OQP171"/>
    <mergeCell ref="OQQ170:OQQ171"/>
    <mergeCell ref="OQR170:OQR171"/>
    <mergeCell ref="OQS170:OQS171"/>
    <mergeCell ref="ORA170:ORA171"/>
    <mergeCell ref="ORB170:ORB171"/>
    <mergeCell ref="ORC170:ORC171"/>
    <mergeCell ref="ORD170:ORD171"/>
    <mergeCell ref="ORE170:ORE171"/>
    <mergeCell ref="ORF170:ORF171"/>
    <mergeCell ref="ORN170:ORN171"/>
    <mergeCell ref="ORO170:ORO171"/>
    <mergeCell ref="ORP170:ORP171"/>
    <mergeCell ref="ORQ170:ORQ171"/>
    <mergeCell ref="ORR170:ORR171"/>
    <mergeCell ref="ORS170:ORS171"/>
    <mergeCell ref="OSA170:OSA171"/>
    <mergeCell ref="OSB170:OSB171"/>
    <mergeCell ref="OSC170:OSC171"/>
    <mergeCell ref="OSD170:OSD171"/>
    <mergeCell ref="OSE170:OSE171"/>
    <mergeCell ref="OSF170:OSF171"/>
    <mergeCell ref="OSN170:OSN171"/>
    <mergeCell ref="OSO170:OSO171"/>
    <mergeCell ref="OSP170:OSP171"/>
    <mergeCell ref="OSQ170:OSQ171"/>
    <mergeCell ref="OSR170:OSR171"/>
    <mergeCell ref="OSS170:OSS171"/>
    <mergeCell ref="OTA170:OTA171"/>
    <mergeCell ref="OTB170:OTB171"/>
    <mergeCell ref="OTC170:OTC171"/>
    <mergeCell ref="OTD170:OTD171"/>
    <mergeCell ref="OTE170:OTE171"/>
    <mergeCell ref="OTF170:OTF171"/>
    <mergeCell ref="OTN170:OTN171"/>
    <mergeCell ref="OTO170:OTO171"/>
    <mergeCell ref="OTP170:OTP171"/>
    <mergeCell ref="OTQ170:OTQ171"/>
    <mergeCell ref="OTR170:OTR171"/>
    <mergeCell ref="OTS170:OTS171"/>
    <mergeCell ref="OUA170:OUA171"/>
    <mergeCell ref="OUB170:OUB171"/>
    <mergeCell ref="OUC170:OUC171"/>
    <mergeCell ref="OUD170:OUD171"/>
    <mergeCell ref="OUE170:OUE171"/>
    <mergeCell ref="OUF170:OUF171"/>
    <mergeCell ref="OUN170:OUN171"/>
    <mergeCell ref="OUO170:OUO171"/>
    <mergeCell ref="OUP170:OUP171"/>
    <mergeCell ref="OUQ170:OUQ171"/>
    <mergeCell ref="OUR170:OUR171"/>
    <mergeCell ref="OUS170:OUS171"/>
    <mergeCell ref="OVA170:OVA171"/>
    <mergeCell ref="OVB170:OVB171"/>
    <mergeCell ref="OVC170:OVC171"/>
    <mergeCell ref="OVD170:OVD171"/>
    <mergeCell ref="OVE170:OVE171"/>
    <mergeCell ref="OVF170:OVF171"/>
    <mergeCell ref="OVN170:OVN171"/>
    <mergeCell ref="OVO170:OVO171"/>
    <mergeCell ref="OVP170:OVP171"/>
    <mergeCell ref="OVQ170:OVQ171"/>
    <mergeCell ref="OVR170:OVR171"/>
    <mergeCell ref="OVS170:OVS171"/>
    <mergeCell ref="OWA170:OWA171"/>
    <mergeCell ref="OWB170:OWB171"/>
    <mergeCell ref="OWC170:OWC171"/>
    <mergeCell ref="OWD170:OWD171"/>
    <mergeCell ref="OWE170:OWE171"/>
    <mergeCell ref="OWF170:OWF171"/>
    <mergeCell ref="OWN170:OWN171"/>
    <mergeCell ref="OWO170:OWO171"/>
    <mergeCell ref="OWP170:OWP171"/>
    <mergeCell ref="OWQ170:OWQ171"/>
    <mergeCell ref="OWR170:OWR171"/>
    <mergeCell ref="OWS170:OWS171"/>
    <mergeCell ref="OXA170:OXA171"/>
    <mergeCell ref="OXB170:OXB171"/>
    <mergeCell ref="OXC170:OXC171"/>
    <mergeCell ref="OXD170:OXD171"/>
    <mergeCell ref="OXE170:OXE171"/>
    <mergeCell ref="OXF170:OXF171"/>
    <mergeCell ref="OXN170:OXN171"/>
    <mergeCell ref="OXO170:OXO171"/>
    <mergeCell ref="OXP170:OXP171"/>
    <mergeCell ref="OXQ170:OXQ171"/>
    <mergeCell ref="OXR170:OXR171"/>
    <mergeCell ref="OXS170:OXS171"/>
    <mergeCell ref="OYA170:OYA171"/>
    <mergeCell ref="OYB170:OYB171"/>
    <mergeCell ref="OYC170:OYC171"/>
    <mergeCell ref="OYD170:OYD171"/>
    <mergeCell ref="OYE170:OYE171"/>
    <mergeCell ref="OYF170:OYF171"/>
    <mergeCell ref="OYN170:OYN171"/>
    <mergeCell ref="OYO170:OYO171"/>
    <mergeCell ref="OYP170:OYP171"/>
    <mergeCell ref="OYQ170:OYQ171"/>
    <mergeCell ref="OYR170:OYR171"/>
    <mergeCell ref="OYS170:OYS171"/>
    <mergeCell ref="OZA170:OZA171"/>
    <mergeCell ref="OZB170:OZB171"/>
    <mergeCell ref="OZC170:OZC171"/>
    <mergeCell ref="OZD170:OZD171"/>
    <mergeCell ref="OZE170:OZE171"/>
    <mergeCell ref="OZF170:OZF171"/>
    <mergeCell ref="OZN170:OZN171"/>
    <mergeCell ref="OZO170:OZO171"/>
    <mergeCell ref="OZP170:OZP171"/>
    <mergeCell ref="OZQ170:OZQ171"/>
    <mergeCell ref="OZR170:OZR171"/>
    <mergeCell ref="OZS170:OZS171"/>
    <mergeCell ref="PAA170:PAA171"/>
    <mergeCell ref="PAB170:PAB171"/>
    <mergeCell ref="PAC170:PAC171"/>
    <mergeCell ref="PAD170:PAD171"/>
    <mergeCell ref="PAE170:PAE171"/>
    <mergeCell ref="PAF170:PAF171"/>
    <mergeCell ref="PAN170:PAN171"/>
    <mergeCell ref="PAO170:PAO171"/>
    <mergeCell ref="PAP170:PAP171"/>
    <mergeCell ref="PAQ170:PAQ171"/>
    <mergeCell ref="PAR170:PAR171"/>
    <mergeCell ref="PAS170:PAS171"/>
    <mergeCell ref="PBA170:PBA171"/>
    <mergeCell ref="PBB170:PBB171"/>
    <mergeCell ref="PBC170:PBC171"/>
    <mergeCell ref="PBD170:PBD171"/>
    <mergeCell ref="PBE170:PBE171"/>
    <mergeCell ref="PBF170:PBF171"/>
    <mergeCell ref="PBN170:PBN171"/>
    <mergeCell ref="PBO170:PBO171"/>
    <mergeCell ref="PBP170:PBP171"/>
    <mergeCell ref="PBQ170:PBQ171"/>
    <mergeCell ref="PBR170:PBR171"/>
    <mergeCell ref="PBS170:PBS171"/>
    <mergeCell ref="PCA170:PCA171"/>
    <mergeCell ref="PCB170:PCB171"/>
    <mergeCell ref="PCC170:PCC171"/>
    <mergeCell ref="PCD170:PCD171"/>
    <mergeCell ref="PCE170:PCE171"/>
    <mergeCell ref="PCF170:PCF171"/>
    <mergeCell ref="PCN170:PCN171"/>
    <mergeCell ref="PCO170:PCO171"/>
    <mergeCell ref="PCP170:PCP171"/>
    <mergeCell ref="PCQ170:PCQ171"/>
    <mergeCell ref="PCR170:PCR171"/>
    <mergeCell ref="PCS170:PCS171"/>
    <mergeCell ref="PDA170:PDA171"/>
    <mergeCell ref="PDB170:PDB171"/>
    <mergeCell ref="PDC170:PDC171"/>
    <mergeCell ref="PDD170:PDD171"/>
    <mergeCell ref="PDE170:PDE171"/>
    <mergeCell ref="PDF170:PDF171"/>
    <mergeCell ref="PDN170:PDN171"/>
    <mergeCell ref="PDO170:PDO171"/>
    <mergeCell ref="PDP170:PDP171"/>
    <mergeCell ref="PDQ170:PDQ171"/>
    <mergeCell ref="PDR170:PDR171"/>
    <mergeCell ref="PDS170:PDS171"/>
    <mergeCell ref="PEA170:PEA171"/>
    <mergeCell ref="PEB170:PEB171"/>
    <mergeCell ref="PEC170:PEC171"/>
    <mergeCell ref="PED170:PED171"/>
    <mergeCell ref="PEE170:PEE171"/>
    <mergeCell ref="PEF170:PEF171"/>
    <mergeCell ref="PEN170:PEN171"/>
    <mergeCell ref="PEO170:PEO171"/>
    <mergeCell ref="PEP170:PEP171"/>
    <mergeCell ref="PEQ170:PEQ171"/>
    <mergeCell ref="PER170:PER171"/>
    <mergeCell ref="PES170:PES171"/>
    <mergeCell ref="PFA170:PFA171"/>
    <mergeCell ref="PFB170:PFB171"/>
    <mergeCell ref="PFC170:PFC171"/>
    <mergeCell ref="PFD170:PFD171"/>
    <mergeCell ref="PFE170:PFE171"/>
    <mergeCell ref="PFF170:PFF171"/>
    <mergeCell ref="PFN170:PFN171"/>
    <mergeCell ref="PFO170:PFO171"/>
    <mergeCell ref="PFP170:PFP171"/>
    <mergeCell ref="PFQ170:PFQ171"/>
    <mergeCell ref="PFR170:PFR171"/>
    <mergeCell ref="PFS170:PFS171"/>
    <mergeCell ref="PGA170:PGA171"/>
    <mergeCell ref="PGB170:PGB171"/>
    <mergeCell ref="PGC170:PGC171"/>
    <mergeCell ref="PGD170:PGD171"/>
    <mergeCell ref="PGE170:PGE171"/>
    <mergeCell ref="PGF170:PGF171"/>
    <mergeCell ref="PGN170:PGN171"/>
    <mergeCell ref="PGO170:PGO171"/>
    <mergeCell ref="PGP170:PGP171"/>
    <mergeCell ref="PGQ170:PGQ171"/>
    <mergeCell ref="PGR170:PGR171"/>
    <mergeCell ref="PGS170:PGS171"/>
    <mergeCell ref="PHA170:PHA171"/>
    <mergeCell ref="PHB170:PHB171"/>
    <mergeCell ref="PHC170:PHC171"/>
    <mergeCell ref="PHD170:PHD171"/>
    <mergeCell ref="PHE170:PHE171"/>
    <mergeCell ref="PHF170:PHF171"/>
    <mergeCell ref="PHN170:PHN171"/>
    <mergeCell ref="PHO170:PHO171"/>
    <mergeCell ref="PHP170:PHP171"/>
    <mergeCell ref="PHQ170:PHQ171"/>
    <mergeCell ref="PHR170:PHR171"/>
    <mergeCell ref="PHS170:PHS171"/>
    <mergeCell ref="PIA170:PIA171"/>
    <mergeCell ref="PIB170:PIB171"/>
    <mergeCell ref="PIC170:PIC171"/>
    <mergeCell ref="PID170:PID171"/>
    <mergeCell ref="PIE170:PIE171"/>
    <mergeCell ref="PIF170:PIF171"/>
    <mergeCell ref="PIN170:PIN171"/>
    <mergeCell ref="PIO170:PIO171"/>
    <mergeCell ref="PIP170:PIP171"/>
    <mergeCell ref="PIQ170:PIQ171"/>
    <mergeCell ref="PIR170:PIR171"/>
    <mergeCell ref="PIS170:PIS171"/>
    <mergeCell ref="PJA170:PJA171"/>
    <mergeCell ref="PJB170:PJB171"/>
    <mergeCell ref="PJC170:PJC171"/>
    <mergeCell ref="PJD170:PJD171"/>
    <mergeCell ref="PJE170:PJE171"/>
    <mergeCell ref="PJF170:PJF171"/>
    <mergeCell ref="PJN170:PJN171"/>
    <mergeCell ref="PJO170:PJO171"/>
    <mergeCell ref="PJP170:PJP171"/>
    <mergeCell ref="PJQ170:PJQ171"/>
    <mergeCell ref="PJR170:PJR171"/>
    <mergeCell ref="PJS170:PJS171"/>
    <mergeCell ref="PKA170:PKA171"/>
    <mergeCell ref="PKB170:PKB171"/>
    <mergeCell ref="PKC170:PKC171"/>
    <mergeCell ref="PKD170:PKD171"/>
    <mergeCell ref="PKE170:PKE171"/>
    <mergeCell ref="PKF170:PKF171"/>
    <mergeCell ref="PKN170:PKN171"/>
    <mergeCell ref="PKO170:PKO171"/>
    <mergeCell ref="PKP170:PKP171"/>
    <mergeCell ref="PKQ170:PKQ171"/>
    <mergeCell ref="PKR170:PKR171"/>
    <mergeCell ref="PKS170:PKS171"/>
    <mergeCell ref="PLA170:PLA171"/>
    <mergeCell ref="PLB170:PLB171"/>
    <mergeCell ref="PLC170:PLC171"/>
    <mergeCell ref="PLD170:PLD171"/>
    <mergeCell ref="PLE170:PLE171"/>
    <mergeCell ref="PLF170:PLF171"/>
    <mergeCell ref="PLN170:PLN171"/>
    <mergeCell ref="PLO170:PLO171"/>
    <mergeCell ref="PLP170:PLP171"/>
    <mergeCell ref="PLQ170:PLQ171"/>
    <mergeCell ref="PLR170:PLR171"/>
    <mergeCell ref="PLS170:PLS171"/>
    <mergeCell ref="PMA170:PMA171"/>
    <mergeCell ref="PMB170:PMB171"/>
    <mergeCell ref="PMC170:PMC171"/>
    <mergeCell ref="PMD170:PMD171"/>
    <mergeCell ref="PME170:PME171"/>
    <mergeCell ref="PMF170:PMF171"/>
    <mergeCell ref="PMN170:PMN171"/>
    <mergeCell ref="PMO170:PMO171"/>
    <mergeCell ref="PMP170:PMP171"/>
    <mergeCell ref="PMQ170:PMQ171"/>
    <mergeCell ref="PMR170:PMR171"/>
    <mergeCell ref="PMS170:PMS171"/>
    <mergeCell ref="PNA170:PNA171"/>
    <mergeCell ref="PNB170:PNB171"/>
    <mergeCell ref="PNC170:PNC171"/>
    <mergeCell ref="PND170:PND171"/>
    <mergeCell ref="PNE170:PNE171"/>
    <mergeCell ref="PNF170:PNF171"/>
    <mergeCell ref="PNN170:PNN171"/>
    <mergeCell ref="PNO170:PNO171"/>
    <mergeCell ref="PNP170:PNP171"/>
    <mergeCell ref="PNQ170:PNQ171"/>
    <mergeCell ref="PNR170:PNR171"/>
    <mergeCell ref="PNS170:PNS171"/>
    <mergeCell ref="POA170:POA171"/>
    <mergeCell ref="POB170:POB171"/>
    <mergeCell ref="POC170:POC171"/>
    <mergeCell ref="POD170:POD171"/>
    <mergeCell ref="POE170:POE171"/>
    <mergeCell ref="POF170:POF171"/>
    <mergeCell ref="PON170:PON171"/>
    <mergeCell ref="POO170:POO171"/>
    <mergeCell ref="POP170:POP171"/>
    <mergeCell ref="POQ170:POQ171"/>
    <mergeCell ref="POR170:POR171"/>
    <mergeCell ref="POS170:POS171"/>
    <mergeCell ref="PPA170:PPA171"/>
    <mergeCell ref="PPB170:PPB171"/>
    <mergeCell ref="PPC170:PPC171"/>
    <mergeCell ref="PPD170:PPD171"/>
    <mergeCell ref="PPE170:PPE171"/>
    <mergeCell ref="PPF170:PPF171"/>
    <mergeCell ref="PPN170:PPN171"/>
    <mergeCell ref="PPO170:PPO171"/>
    <mergeCell ref="PPP170:PPP171"/>
    <mergeCell ref="PPQ170:PPQ171"/>
    <mergeCell ref="PPR170:PPR171"/>
    <mergeCell ref="PPS170:PPS171"/>
    <mergeCell ref="PQA170:PQA171"/>
    <mergeCell ref="PQB170:PQB171"/>
    <mergeCell ref="PQC170:PQC171"/>
    <mergeCell ref="PQD170:PQD171"/>
    <mergeCell ref="PQE170:PQE171"/>
    <mergeCell ref="PQF170:PQF171"/>
    <mergeCell ref="PQN170:PQN171"/>
    <mergeCell ref="PQO170:PQO171"/>
    <mergeCell ref="PQP170:PQP171"/>
    <mergeCell ref="PQQ170:PQQ171"/>
    <mergeCell ref="PQR170:PQR171"/>
    <mergeCell ref="PQS170:PQS171"/>
    <mergeCell ref="PRA170:PRA171"/>
    <mergeCell ref="PRB170:PRB171"/>
    <mergeCell ref="PRC170:PRC171"/>
    <mergeCell ref="PRD170:PRD171"/>
    <mergeCell ref="PRE170:PRE171"/>
    <mergeCell ref="PRF170:PRF171"/>
    <mergeCell ref="PRN170:PRN171"/>
    <mergeCell ref="PRO170:PRO171"/>
    <mergeCell ref="PRP170:PRP171"/>
    <mergeCell ref="PRQ170:PRQ171"/>
    <mergeCell ref="PRR170:PRR171"/>
    <mergeCell ref="PRS170:PRS171"/>
    <mergeCell ref="PSA170:PSA171"/>
    <mergeCell ref="PSB170:PSB171"/>
    <mergeCell ref="PSC170:PSC171"/>
    <mergeCell ref="PSD170:PSD171"/>
    <mergeCell ref="PSE170:PSE171"/>
    <mergeCell ref="PSF170:PSF171"/>
    <mergeCell ref="PSN170:PSN171"/>
    <mergeCell ref="PSO170:PSO171"/>
    <mergeCell ref="PSP170:PSP171"/>
    <mergeCell ref="PSQ170:PSQ171"/>
    <mergeCell ref="PSR170:PSR171"/>
    <mergeCell ref="PSS170:PSS171"/>
    <mergeCell ref="PTA170:PTA171"/>
    <mergeCell ref="PTB170:PTB171"/>
    <mergeCell ref="PTC170:PTC171"/>
    <mergeCell ref="PTD170:PTD171"/>
    <mergeCell ref="PTE170:PTE171"/>
    <mergeCell ref="PTF170:PTF171"/>
    <mergeCell ref="PTN170:PTN171"/>
    <mergeCell ref="PTO170:PTO171"/>
    <mergeCell ref="PTP170:PTP171"/>
    <mergeCell ref="PTQ170:PTQ171"/>
    <mergeCell ref="PTR170:PTR171"/>
    <mergeCell ref="PTS170:PTS171"/>
    <mergeCell ref="PUA170:PUA171"/>
    <mergeCell ref="PUB170:PUB171"/>
    <mergeCell ref="PUC170:PUC171"/>
    <mergeCell ref="PUD170:PUD171"/>
    <mergeCell ref="PUE170:PUE171"/>
    <mergeCell ref="PUF170:PUF171"/>
    <mergeCell ref="PUN170:PUN171"/>
    <mergeCell ref="PUO170:PUO171"/>
    <mergeCell ref="PUP170:PUP171"/>
    <mergeCell ref="PUQ170:PUQ171"/>
    <mergeCell ref="PUR170:PUR171"/>
    <mergeCell ref="PUS170:PUS171"/>
    <mergeCell ref="PVA170:PVA171"/>
    <mergeCell ref="PVB170:PVB171"/>
    <mergeCell ref="PVC170:PVC171"/>
    <mergeCell ref="PVD170:PVD171"/>
    <mergeCell ref="PVE170:PVE171"/>
    <mergeCell ref="PVF170:PVF171"/>
    <mergeCell ref="PVN170:PVN171"/>
    <mergeCell ref="PVO170:PVO171"/>
    <mergeCell ref="PVP170:PVP171"/>
    <mergeCell ref="PVQ170:PVQ171"/>
    <mergeCell ref="PVR170:PVR171"/>
    <mergeCell ref="PVS170:PVS171"/>
    <mergeCell ref="PWA170:PWA171"/>
    <mergeCell ref="PWB170:PWB171"/>
    <mergeCell ref="PWC170:PWC171"/>
    <mergeCell ref="PWD170:PWD171"/>
    <mergeCell ref="PWE170:PWE171"/>
    <mergeCell ref="PWF170:PWF171"/>
    <mergeCell ref="PWN170:PWN171"/>
    <mergeCell ref="PWO170:PWO171"/>
    <mergeCell ref="PWP170:PWP171"/>
    <mergeCell ref="PWQ170:PWQ171"/>
    <mergeCell ref="PWR170:PWR171"/>
    <mergeCell ref="PWS170:PWS171"/>
    <mergeCell ref="PXA170:PXA171"/>
    <mergeCell ref="PXB170:PXB171"/>
    <mergeCell ref="PXC170:PXC171"/>
    <mergeCell ref="PXD170:PXD171"/>
    <mergeCell ref="PXE170:PXE171"/>
    <mergeCell ref="PXF170:PXF171"/>
    <mergeCell ref="PXN170:PXN171"/>
    <mergeCell ref="PXO170:PXO171"/>
    <mergeCell ref="PXP170:PXP171"/>
    <mergeCell ref="PXQ170:PXQ171"/>
    <mergeCell ref="PXR170:PXR171"/>
    <mergeCell ref="PXS170:PXS171"/>
    <mergeCell ref="PYA170:PYA171"/>
    <mergeCell ref="PYB170:PYB171"/>
    <mergeCell ref="PYC170:PYC171"/>
    <mergeCell ref="PYD170:PYD171"/>
    <mergeCell ref="PYE170:PYE171"/>
    <mergeCell ref="PYF170:PYF171"/>
    <mergeCell ref="PYN170:PYN171"/>
    <mergeCell ref="PYO170:PYO171"/>
    <mergeCell ref="PYP170:PYP171"/>
    <mergeCell ref="PYQ170:PYQ171"/>
    <mergeCell ref="PYR170:PYR171"/>
    <mergeCell ref="PYS170:PYS171"/>
    <mergeCell ref="PZA170:PZA171"/>
    <mergeCell ref="PZB170:PZB171"/>
    <mergeCell ref="PZC170:PZC171"/>
    <mergeCell ref="PZD170:PZD171"/>
    <mergeCell ref="PZE170:PZE171"/>
    <mergeCell ref="PZF170:PZF171"/>
    <mergeCell ref="PZN170:PZN171"/>
    <mergeCell ref="PZO170:PZO171"/>
    <mergeCell ref="PZP170:PZP171"/>
    <mergeCell ref="PZQ170:PZQ171"/>
    <mergeCell ref="PZR170:PZR171"/>
    <mergeCell ref="PZS170:PZS171"/>
    <mergeCell ref="QAA170:QAA171"/>
    <mergeCell ref="QAB170:QAB171"/>
    <mergeCell ref="QAC170:QAC171"/>
    <mergeCell ref="QAD170:QAD171"/>
    <mergeCell ref="QAE170:QAE171"/>
    <mergeCell ref="QAF170:QAF171"/>
    <mergeCell ref="QAN170:QAN171"/>
    <mergeCell ref="QAO170:QAO171"/>
    <mergeCell ref="QAP170:QAP171"/>
    <mergeCell ref="QAQ170:QAQ171"/>
    <mergeCell ref="QAR170:QAR171"/>
    <mergeCell ref="QAS170:QAS171"/>
    <mergeCell ref="QBA170:QBA171"/>
    <mergeCell ref="QBB170:QBB171"/>
    <mergeCell ref="QBC170:QBC171"/>
    <mergeCell ref="QBD170:QBD171"/>
    <mergeCell ref="QBE170:QBE171"/>
    <mergeCell ref="QBF170:QBF171"/>
    <mergeCell ref="QBN170:QBN171"/>
    <mergeCell ref="QBO170:QBO171"/>
    <mergeCell ref="QBP170:QBP171"/>
    <mergeCell ref="QBQ170:QBQ171"/>
    <mergeCell ref="QBR170:QBR171"/>
    <mergeCell ref="QBS170:QBS171"/>
    <mergeCell ref="QCA170:QCA171"/>
    <mergeCell ref="QCB170:QCB171"/>
    <mergeCell ref="QCC170:QCC171"/>
    <mergeCell ref="QCD170:QCD171"/>
    <mergeCell ref="QCE170:QCE171"/>
    <mergeCell ref="QCF170:QCF171"/>
    <mergeCell ref="QCN170:QCN171"/>
    <mergeCell ref="QCO170:QCO171"/>
    <mergeCell ref="QCP170:QCP171"/>
    <mergeCell ref="QCQ170:QCQ171"/>
    <mergeCell ref="QCR170:QCR171"/>
    <mergeCell ref="QCS170:QCS171"/>
    <mergeCell ref="QDA170:QDA171"/>
    <mergeCell ref="QDB170:QDB171"/>
    <mergeCell ref="QDC170:QDC171"/>
    <mergeCell ref="QDD170:QDD171"/>
    <mergeCell ref="QDE170:QDE171"/>
    <mergeCell ref="QDF170:QDF171"/>
    <mergeCell ref="QDN170:QDN171"/>
    <mergeCell ref="QDO170:QDO171"/>
    <mergeCell ref="QDP170:QDP171"/>
    <mergeCell ref="QDQ170:QDQ171"/>
    <mergeCell ref="QDR170:QDR171"/>
    <mergeCell ref="QDS170:QDS171"/>
    <mergeCell ref="QEA170:QEA171"/>
    <mergeCell ref="QEB170:QEB171"/>
    <mergeCell ref="QEC170:QEC171"/>
    <mergeCell ref="QED170:QED171"/>
    <mergeCell ref="QEE170:QEE171"/>
    <mergeCell ref="QEF170:QEF171"/>
    <mergeCell ref="QEN170:QEN171"/>
    <mergeCell ref="QEO170:QEO171"/>
    <mergeCell ref="QEP170:QEP171"/>
    <mergeCell ref="QEQ170:QEQ171"/>
    <mergeCell ref="QER170:QER171"/>
    <mergeCell ref="QES170:QES171"/>
    <mergeCell ref="QFA170:QFA171"/>
    <mergeCell ref="QFB170:QFB171"/>
    <mergeCell ref="QFC170:QFC171"/>
    <mergeCell ref="QFD170:QFD171"/>
    <mergeCell ref="QFE170:QFE171"/>
    <mergeCell ref="QFF170:QFF171"/>
    <mergeCell ref="QFN170:QFN171"/>
    <mergeCell ref="QFO170:QFO171"/>
    <mergeCell ref="QFP170:QFP171"/>
    <mergeCell ref="QFQ170:QFQ171"/>
    <mergeCell ref="QFR170:QFR171"/>
    <mergeCell ref="QFS170:QFS171"/>
    <mergeCell ref="QGA170:QGA171"/>
    <mergeCell ref="QGB170:QGB171"/>
    <mergeCell ref="QGC170:QGC171"/>
    <mergeCell ref="QGD170:QGD171"/>
    <mergeCell ref="QGE170:QGE171"/>
    <mergeCell ref="QGF170:QGF171"/>
    <mergeCell ref="QGN170:QGN171"/>
    <mergeCell ref="QGO170:QGO171"/>
    <mergeCell ref="QGP170:QGP171"/>
    <mergeCell ref="QGQ170:QGQ171"/>
    <mergeCell ref="QGR170:QGR171"/>
    <mergeCell ref="QGS170:QGS171"/>
    <mergeCell ref="QHA170:QHA171"/>
    <mergeCell ref="QHB170:QHB171"/>
    <mergeCell ref="QHC170:QHC171"/>
    <mergeCell ref="QHD170:QHD171"/>
    <mergeCell ref="QHE170:QHE171"/>
    <mergeCell ref="QHF170:QHF171"/>
    <mergeCell ref="QHN170:QHN171"/>
    <mergeCell ref="QHO170:QHO171"/>
    <mergeCell ref="QHP170:QHP171"/>
    <mergeCell ref="QHQ170:QHQ171"/>
    <mergeCell ref="QHR170:QHR171"/>
    <mergeCell ref="QHS170:QHS171"/>
    <mergeCell ref="QIA170:QIA171"/>
    <mergeCell ref="QIB170:QIB171"/>
    <mergeCell ref="QIC170:QIC171"/>
    <mergeCell ref="QID170:QID171"/>
    <mergeCell ref="QIE170:QIE171"/>
    <mergeCell ref="QIF170:QIF171"/>
    <mergeCell ref="QIN170:QIN171"/>
    <mergeCell ref="QIO170:QIO171"/>
    <mergeCell ref="QIP170:QIP171"/>
    <mergeCell ref="QIQ170:QIQ171"/>
    <mergeCell ref="QIR170:QIR171"/>
    <mergeCell ref="QIS170:QIS171"/>
    <mergeCell ref="QJA170:QJA171"/>
    <mergeCell ref="QJB170:QJB171"/>
    <mergeCell ref="QJC170:QJC171"/>
    <mergeCell ref="QJD170:QJD171"/>
    <mergeCell ref="QJE170:QJE171"/>
    <mergeCell ref="QJF170:QJF171"/>
    <mergeCell ref="QJN170:QJN171"/>
    <mergeCell ref="QJO170:QJO171"/>
    <mergeCell ref="QJP170:QJP171"/>
    <mergeCell ref="QJQ170:QJQ171"/>
    <mergeCell ref="QJR170:QJR171"/>
    <mergeCell ref="QJS170:QJS171"/>
    <mergeCell ref="QKA170:QKA171"/>
    <mergeCell ref="QKB170:QKB171"/>
    <mergeCell ref="QKC170:QKC171"/>
    <mergeCell ref="QKD170:QKD171"/>
    <mergeCell ref="QKE170:QKE171"/>
    <mergeCell ref="QKF170:QKF171"/>
    <mergeCell ref="QKN170:QKN171"/>
    <mergeCell ref="QKO170:QKO171"/>
    <mergeCell ref="QKP170:QKP171"/>
    <mergeCell ref="QKQ170:QKQ171"/>
    <mergeCell ref="QKR170:QKR171"/>
    <mergeCell ref="QKS170:QKS171"/>
    <mergeCell ref="QLA170:QLA171"/>
    <mergeCell ref="QLB170:QLB171"/>
    <mergeCell ref="QLC170:QLC171"/>
    <mergeCell ref="QLD170:QLD171"/>
    <mergeCell ref="QLE170:QLE171"/>
    <mergeCell ref="QLF170:QLF171"/>
    <mergeCell ref="QLN170:QLN171"/>
    <mergeCell ref="QLO170:QLO171"/>
    <mergeCell ref="QLP170:QLP171"/>
    <mergeCell ref="QLQ170:QLQ171"/>
    <mergeCell ref="QLR170:QLR171"/>
    <mergeCell ref="QLS170:QLS171"/>
    <mergeCell ref="QMA170:QMA171"/>
    <mergeCell ref="QMB170:QMB171"/>
    <mergeCell ref="QMC170:QMC171"/>
    <mergeCell ref="QMD170:QMD171"/>
    <mergeCell ref="QME170:QME171"/>
    <mergeCell ref="QMF170:QMF171"/>
    <mergeCell ref="QMN170:QMN171"/>
    <mergeCell ref="QMO170:QMO171"/>
    <mergeCell ref="QMP170:QMP171"/>
    <mergeCell ref="QMQ170:QMQ171"/>
    <mergeCell ref="QMR170:QMR171"/>
    <mergeCell ref="QMS170:QMS171"/>
    <mergeCell ref="QNA170:QNA171"/>
    <mergeCell ref="QNB170:QNB171"/>
    <mergeCell ref="QNC170:QNC171"/>
    <mergeCell ref="QND170:QND171"/>
    <mergeCell ref="QNE170:QNE171"/>
    <mergeCell ref="QNF170:QNF171"/>
    <mergeCell ref="QNN170:QNN171"/>
    <mergeCell ref="QNO170:QNO171"/>
    <mergeCell ref="QNP170:QNP171"/>
    <mergeCell ref="QNQ170:QNQ171"/>
    <mergeCell ref="QNR170:QNR171"/>
    <mergeCell ref="QNS170:QNS171"/>
    <mergeCell ref="QOA170:QOA171"/>
    <mergeCell ref="QOB170:QOB171"/>
    <mergeCell ref="QOC170:QOC171"/>
    <mergeCell ref="QOD170:QOD171"/>
    <mergeCell ref="QOE170:QOE171"/>
    <mergeCell ref="QOF170:QOF171"/>
    <mergeCell ref="QON170:QON171"/>
    <mergeCell ref="QOO170:QOO171"/>
    <mergeCell ref="QOP170:QOP171"/>
    <mergeCell ref="QOQ170:QOQ171"/>
    <mergeCell ref="QOR170:QOR171"/>
    <mergeCell ref="QOS170:QOS171"/>
    <mergeCell ref="QPA170:QPA171"/>
    <mergeCell ref="QPB170:QPB171"/>
    <mergeCell ref="QPC170:QPC171"/>
    <mergeCell ref="QPD170:QPD171"/>
    <mergeCell ref="QPE170:QPE171"/>
    <mergeCell ref="QPF170:QPF171"/>
    <mergeCell ref="QPN170:QPN171"/>
    <mergeCell ref="QPO170:QPO171"/>
    <mergeCell ref="QPP170:QPP171"/>
    <mergeCell ref="QPQ170:QPQ171"/>
    <mergeCell ref="QPR170:QPR171"/>
    <mergeCell ref="QPS170:QPS171"/>
    <mergeCell ref="QQA170:QQA171"/>
    <mergeCell ref="QQB170:QQB171"/>
    <mergeCell ref="QQC170:QQC171"/>
    <mergeCell ref="QQD170:QQD171"/>
    <mergeCell ref="QQE170:QQE171"/>
    <mergeCell ref="QQF170:QQF171"/>
    <mergeCell ref="QQN170:QQN171"/>
    <mergeCell ref="QQO170:QQO171"/>
    <mergeCell ref="QQP170:QQP171"/>
    <mergeCell ref="QQQ170:QQQ171"/>
    <mergeCell ref="QQR170:QQR171"/>
    <mergeCell ref="QQS170:QQS171"/>
    <mergeCell ref="QRA170:QRA171"/>
    <mergeCell ref="QRB170:QRB171"/>
    <mergeCell ref="QRC170:QRC171"/>
    <mergeCell ref="QRD170:QRD171"/>
    <mergeCell ref="QRE170:QRE171"/>
    <mergeCell ref="QRF170:QRF171"/>
    <mergeCell ref="QRN170:QRN171"/>
    <mergeCell ref="QRO170:QRO171"/>
    <mergeCell ref="QRP170:QRP171"/>
    <mergeCell ref="QRQ170:QRQ171"/>
    <mergeCell ref="QRR170:QRR171"/>
    <mergeCell ref="QRS170:QRS171"/>
    <mergeCell ref="QSA170:QSA171"/>
    <mergeCell ref="QSB170:QSB171"/>
    <mergeCell ref="QSC170:QSC171"/>
    <mergeCell ref="QSD170:QSD171"/>
    <mergeCell ref="QSE170:QSE171"/>
    <mergeCell ref="QSF170:QSF171"/>
    <mergeCell ref="QSN170:QSN171"/>
    <mergeCell ref="QSO170:QSO171"/>
    <mergeCell ref="QSP170:QSP171"/>
    <mergeCell ref="QSQ170:QSQ171"/>
    <mergeCell ref="QSR170:QSR171"/>
    <mergeCell ref="QSS170:QSS171"/>
    <mergeCell ref="QTA170:QTA171"/>
    <mergeCell ref="QTB170:QTB171"/>
    <mergeCell ref="QTC170:QTC171"/>
    <mergeCell ref="QTD170:QTD171"/>
    <mergeCell ref="QTE170:QTE171"/>
    <mergeCell ref="QTF170:QTF171"/>
    <mergeCell ref="QTN170:QTN171"/>
    <mergeCell ref="QTO170:QTO171"/>
    <mergeCell ref="QTP170:QTP171"/>
    <mergeCell ref="QTQ170:QTQ171"/>
    <mergeCell ref="QTR170:QTR171"/>
    <mergeCell ref="QTS170:QTS171"/>
    <mergeCell ref="QUA170:QUA171"/>
    <mergeCell ref="QUB170:QUB171"/>
    <mergeCell ref="QUC170:QUC171"/>
    <mergeCell ref="QUD170:QUD171"/>
    <mergeCell ref="QUE170:QUE171"/>
    <mergeCell ref="QUF170:QUF171"/>
    <mergeCell ref="QUN170:QUN171"/>
    <mergeCell ref="QUO170:QUO171"/>
    <mergeCell ref="QUP170:QUP171"/>
    <mergeCell ref="QUQ170:QUQ171"/>
    <mergeCell ref="QUR170:QUR171"/>
    <mergeCell ref="QUS170:QUS171"/>
    <mergeCell ref="QVA170:QVA171"/>
    <mergeCell ref="QVB170:QVB171"/>
    <mergeCell ref="QVC170:QVC171"/>
    <mergeCell ref="QVD170:QVD171"/>
    <mergeCell ref="QVE170:QVE171"/>
    <mergeCell ref="QVF170:QVF171"/>
    <mergeCell ref="QVN170:QVN171"/>
    <mergeCell ref="QVO170:QVO171"/>
    <mergeCell ref="QVP170:QVP171"/>
    <mergeCell ref="QVQ170:QVQ171"/>
    <mergeCell ref="QVR170:QVR171"/>
    <mergeCell ref="QVS170:QVS171"/>
    <mergeCell ref="QWA170:QWA171"/>
    <mergeCell ref="QWB170:QWB171"/>
    <mergeCell ref="QWC170:QWC171"/>
    <mergeCell ref="QWD170:QWD171"/>
    <mergeCell ref="QWE170:QWE171"/>
    <mergeCell ref="QWF170:QWF171"/>
    <mergeCell ref="QWN170:QWN171"/>
    <mergeCell ref="QWO170:QWO171"/>
    <mergeCell ref="QWP170:QWP171"/>
    <mergeCell ref="QWQ170:QWQ171"/>
    <mergeCell ref="QWR170:QWR171"/>
    <mergeCell ref="QWS170:QWS171"/>
    <mergeCell ref="QXA170:QXA171"/>
    <mergeCell ref="QXB170:QXB171"/>
    <mergeCell ref="QXC170:QXC171"/>
    <mergeCell ref="QXD170:QXD171"/>
    <mergeCell ref="QXE170:QXE171"/>
    <mergeCell ref="QXF170:QXF171"/>
    <mergeCell ref="QXN170:QXN171"/>
    <mergeCell ref="QXO170:QXO171"/>
    <mergeCell ref="QXP170:QXP171"/>
    <mergeCell ref="QXQ170:QXQ171"/>
    <mergeCell ref="QXR170:QXR171"/>
    <mergeCell ref="QXS170:QXS171"/>
    <mergeCell ref="QYA170:QYA171"/>
    <mergeCell ref="QYB170:QYB171"/>
    <mergeCell ref="QYC170:QYC171"/>
    <mergeCell ref="QYD170:QYD171"/>
    <mergeCell ref="QYE170:QYE171"/>
    <mergeCell ref="QYF170:QYF171"/>
    <mergeCell ref="QYN170:QYN171"/>
    <mergeCell ref="QYO170:QYO171"/>
    <mergeCell ref="QYP170:QYP171"/>
    <mergeCell ref="QYQ170:QYQ171"/>
    <mergeCell ref="QYR170:QYR171"/>
    <mergeCell ref="QYS170:QYS171"/>
    <mergeCell ref="QZA170:QZA171"/>
    <mergeCell ref="QZB170:QZB171"/>
    <mergeCell ref="QZC170:QZC171"/>
    <mergeCell ref="QZD170:QZD171"/>
    <mergeCell ref="QZE170:QZE171"/>
    <mergeCell ref="QZF170:QZF171"/>
    <mergeCell ref="QZN170:QZN171"/>
    <mergeCell ref="QZO170:QZO171"/>
    <mergeCell ref="QZP170:QZP171"/>
    <mergeCell ref="QZQ170:QZQ171"/>
    <mergeCell ref="QZR170:QZR171"/>
    <mergeCell ref="QZS170:QZS171"/>
    <mergeCell ref="RAA170:RAA171"/>
    <mergeCell ref="RAB170:RAB171"/>
    <mergeCell ref="RAC170:RAC171"/>
    <mergeCell ref="RAD170:RAD171"/>
    <mergeCell ref="RAE170:RAE171"/>
    <mergeCell ref="RAF170:RAF171"/>
    <mergeCell ref="RAN170:RAN171"/>
    <mergeCell ref="RAO170:RAO171"/>
    <mergeCell ref="RAP170:RAP171"/>
    <mergeCell ref="RAQ170:RAQ171"/>
    <mergeCell ref="RAR170:RAR171"/>
    <mergeCell ref="RAS170:RAS171"/>
    <mergeCell ref="RBA170:RBA171"/>
    <mergeCell ref="RBB170:RBB171"/>
    <mergeCell ref="RBC170:RBC171"/>
    <mergeCell ref="RBD170:RBD171"/>
    <mergeCell ref="RBE170:RBE171"/>
    <mergeCell ref="RBF170:RBF171"/>
    <mergeCell ref="RBN170:RBN171"/>
    <mergeCell ref="RBO170:RBO171"/>
    <mergeCell ref="RBP170:RBP171"/>
    <mergeCell ref="RBQ170:RBQ171"/>
    <mergeCell ref="RBR170:RBR171"/>
    <mergeCell ref="RBS170:RBS171"/>
    <mergeCell ref="RCA170:RCA171"/>
    <mergeCell ref="RCB170:RCB171"/>
    <mergeCell ref="RCC170:RCC171"/>
    <mergeCell ref="RCD170:RCD171"/>
    <mergeCell ref="RCE170:RCE171"/>
    <mergeCell ref="RCF170:RCF171"/>
    <mergeCell ref="RCN170:RCN171"/>
    <mergeCell ref="RCO170:RCO171"/>
    <mergeCell ref="RCP170:RCP171"/>
    <mergeCell ref="RCQ170:RCQ171"/>
    <mergeCell ref="RCR170:RCR171"/>
    <mergeCell ref="RCS170:RCS171"/>
    <mergeCell ref="RDA170:RDA171"/>
    <mergeCell ref="RDB170:RDB171"/>
    <mergeCell ref="RDC170:RDC171"/>
    <mergeCell ref="RDD170:RDD171"/>
    <mergeCell ref="RDE170:RDE171"/>
    <mergeCell ref="RDF170:RDF171"/>
    <mergeCell ref="RDN170:RDN171"/>
    <mergeCell ref="RDO170:RDO171"/>
    <mergeCell ref="RDP170:RDP171"/>
    <mergeCell ref="RDQ170:RDQ171"/>
    <mergeCell ref="RDR170:RDR171"/>
    <mergeCell ref="RDS170:RDS171"/>
    <mergeCell ref="REA170:REA171"/>
    <mergeCell ref="REB170:REB171"/>
    <mergeCell ref="REC170:REC171"/>
    <mergeCell ref="RED170:RED171"/>
    <mergeCell ref="REE170:REE171"/>
    <mergeCell ref="REF170:REF171"/>
    <mergeCell ref="REN170:REN171"/>
    <mergeCell ref="REO170:REO171"/>
    <mergeCell ref="REP170:REP171"/>
    <mergeCell ref="REQ170:REQ171"/>
    <mergeCell ref="RER170:RER171"/>
    <mergeCell ref="RES170:RES171"/>
    <mergeCell ref="RFA170:RFA171"/>
    <mergeCell ref="RFB170:RFB171"/>
    <mergeCell ref="RFC170:RFC171"/>
    <mergeCell ref="RFD170:RFD171"/>
    <mergeCell ref="RFE170:RFE171"/>
    <mergeCell ref="RFF170:RFF171"/>
    <mergeCell ref="RFN170:RFN171"/>
    <mergeCell ref="RFO170:RFO171"/>
    <mergeCell ref="RFP170:RFP171"/>
    <mergeCell ref="RFQ170:RFQ171"/>
    <mergeCell ref="RFR170:RFR171"/>
    <mergeCell ref="RFS170:RFS171"/>
    <mergeCell ref="RGA170:RGA171"/>
    <mergeCell ref="RGB170:RGB171"/>
    <mergeCell ref="RGC170:RGC171"/>
    <mergeCell ref="RGD170:RGD171"/>
    <mergeCell ref="RGE170:RGE171"/>
    <mergeCell ref="RGF170:RGF171"/>
    <mergeCell ref="RGN170:RGN171"/>
    <mergeCell ref="RGO170:RGO171"/>
    <mergeCell ref="RGP170:RGP171"/>
    <mergeCell ref="RGQ170:RGQ171"/>
    <mergeCell ref="RGR170:RGR171"/>
    <mergeCell ref="RGS170:RGS171"/>
    <mergeCell ref="RHA170:RHA171"/>
    <mergeCell ref="RHB170:RHB171"/>
    <mergeCell ref="RHC170:RHC171"/>
    <mergeCell ref="RHD170:RHD171"/>
    <mergeCell ref="RHE170:RHE171"/>
    <mergeCell ref="RHF170:RHF171"/>
    <mergeCell ref="RHN170:RHN171"/>
    <mergeCell ref="RHO170:RHO171"/>
    <mergeCell ref="RHP170:RHP171"/>
    <mergeCell ref="RHQ170:RHQ171"/>
    <mergeCell ref="RHR170:RHR171"/>
    <mergeCell ref="RHS170:RHS171"/>
    <mergeCell ref="RIA170:RIA171"/>
    <mergeCell ref="RIB170:RIB171"/>
    <mergeCell ref="RIC170:RIC171"/>
    <mergeCell ref="RID170:RID171"/>
    <mergeCell ref="RIE170:RIE171"/>
    <mergeCell ref="RIF170:RIF171"/>
    <mergeCell ref="RIN170:RIN171"/>
    <mergeCell ref="RIO170:RIO171"/>
    <mergeCell ref="RIP170:RIP171"/>
    <mergeCell ref="RIQ170:RIQ171"/>
    <mergeCell ref="RIR170:RIR171"/>
    <mergeCell ref="RIS170:RIS171"/>
    <mergeCell ref="RJA170:RJA171"/>
    <mergeCell ref="RJB170:RJB171"/>
    <mergeCell ref="RJC170:RJC171"/>
    <mergeCell ref="RJD170:RJD171"/>
    <mergeCell ref="RJE170:RJE171"/>
    <mergeCell ref="RJF170:RJF171"/>
    <mergeCell ref="RJN170:RJN171"/>
    <mergeCell ref="RJO170:RJO171"/>
    <mergeCell ref="RJP170:RJP171"/>
    <mergeCell ref="RJQ170:RJQ171"/>
    <mergeCell ref="RJR170:RJR171"/>
    <mergeCell ref="RJS170:RJS171"/>
    <mergeCell ref="RKA170:RKA171"/>
    <mergeCell ref="RKB170:RKB171"/>
    <mergeCell ref="RKC170:RKC171"/>
    <mergeCell ref="RKD170:RKD171"/>
    <mergeCell ref="RKE170:RKE171"/>
    <mergeCell ref="RKF170:RKF171"/>
    <mergeCell ref="RKN170:RKN171"/>
    <mergeCell ref="RKO170:RKO171"/>
    <mergeCell ref="RKP170:RKP171"/>
    <mergeCell ref="RKQ170:RKQ171"/>
    <mergeCell ref="RKR170:RKR171"/>
    <mergeCell ref="RKS170:RKS171"/>
    <mergeCell ref="RLA170:RLA171"/>
    <mergeCell ref="RLB170:RLB171"/>
    <mergeCell ref="RLC170:RLC171"/>
    <mergeCell ref="RLD170:RLD171"/>
    <mergeCell ref="RLE170:RLE171"/>
    <mergeCell ref="RLF170:RLF171"/>
    <mergeCell ref="RLN170:RLN171"/>
    <mergeCell ref="RLO170:RLO171"/>
    <mergeCell ref="RLP170:RLP171"/>
    <mergeCell ref="RLQ170:RLQ171"/>
    <mergeCell ref="RLR170:RLR171"/>
    <mergeCell ref="RLS170:RLS171"/>
    <mergeCell ref="RMA170:RMA171"/>
    <mergeCell ref="RMB170:RMB171"/>
    <mergeCell ref="RMC170:RMC171"/>
    <mergeCell ref="RMD170:RMD171"/>
    <mergeCell ref="RME170:RME171"/>
    <mergeCell ref="RMF170:RMF171"/>
    <mergeCell ref="RMN170:RMN171"/>
    <mergeCell ref="RMO170:RMO171"/>
    <mergeCell ref="RMP170:RMP171"/>
    <mergeCell ref="RMQ170:RMQ171"/>
    <mergeCell ref="RMR170:RMR171"/>
    <mergeCell ref="RMS170:RMS171"/>
    <mergeCell ref="RNA170:RNA171"/>
    <mergeCell ref="RNB170:RNB171"/>
    <mergeCell ref="RNC170:RNC171"/>
    <mergeCell ref="RND170:RND171"/>
    <mergeCell ref="RNE170:RNE171"/>
    <mergeCell ref="RNF170:RNF171"/>
    <mergeCell ref="RNN170:RNN171"/>
    <mergeCell ref="RNO170:RNO171"/>
    <mergeCell ref="RNP170:RNP171"/>
    <mergeCell ref="RNQ170:RNQ171"/>
    <mergeCell ref="RNR170:RNR171"/>
    <mergeCell ref="RNS170:RNS171"/>
    <mergeCell ref="ROA170:ROA171"/>
    <mergeCell ref="ROB170:ROB171"/>
    <mergeCell ref="ROC170:ROC171"/>
    <mergeCell ref="ROD170:ROD171"/>
    <mergeCell ref="ROE170:ROE171"/>
    <mergeCell ref="ROF170:ROF171"/>
    <mergeCell ref="RON170:RON171"/>
    <mergeCell ref="ROO170:ROO171"/>
    <mergeCell ref="ROP170:ROP171"/>
    <mergeCell ref="ROQ170:ROQ171"/>
    <mergeCell ref="ROR170:ROR171"/>
    <mergeCell ref="ROS170:ROS171"/>
    <mergeCell ref="RPA170:RPA171"/>
    <mergeCell ref="RPB170:RPB171"/>
    <mergeCell ref="RPC170:RPC171"/>
    <mergeCell ref="RPD170:RPD171"/>
    <mergeCell ref="RPE170:RPE171"/>
    <mergeCell ref="RPF170:RPF171"/>
    <mergeCell ref="RPN170:RPN171"/>
    <mergeCell ref="RPO170:RPO171"/>
    <mergeCell ref="RPP170:RPP171"/>
    <mergeCell ref="RPQ170:RPQ171"/>
    <mergeCell ref="RPR170:RPR171"/>
    <mergeCell ref="RPS170:RPS171"/>
    <mergeCell ref="RQA170:RQA171"/>
    <mergeCell ref="RQB170:RQB171"/>
    <mergeCell ref="RQC170:RQC171"/>
    <mergeCell ref="RQD170:RQD171"/>
    <mergeCell ref="RQE170:RQE171"/>
    <mergeCell ref="RQF170:RQF171"/>
    <mergeCell ref="RQN170:RQN171"/>
    <mergeCell ref="RQO170:RQO171"/>
    <mergeCell ref="RQP170:RQP171"/>
    <mergeCell ref="RQQ170:RQQ171"/>
    <mergeCell ref="RQR170:RQR171"/>
    <mergeCell ref="RQS170:RQS171"/>
    <mergeCell ref="RRA170:RRA171"/>
    <mergeCell ref="RRB170:RRB171"/>
    <mergeCell ref="RRC170:RRC171"/>
    <mergeCell ref="RRD170:RRD171"/>
    <mergeCell ref="RRE170:RRE171"/>
    <mergeCell ref="RRF170:RRF171"/>
    <mergeCell ref="RRN170:RRN171"/>
    <mergeCell ref="RRO170:RRO171"/>
    <mergeCell ref="RRP170:RRP171"/>
    <mergeCell ref="RRQ170:RRQ171"/>
    <mergeCell ref="RRR170:RRR171"/>
    <mergeCell ref="RRS170:RRS171"/>
    <mergeCell ref="RSA170:RSA171"/>
    <mergeCell ref="RSB170:RSB171"/>
    <mergeCell ref="RSC170:RSC171"/>
    <mergeCell ref="RSD170:RSD171"/>
    <mergeCell ref="RSE170:RSE171"/>
    <mergeCell ref="RSF170:RSF171"/>
    <mergeCell ref="RSN170:RSN171"/>
    <mergeCell ref="RSO170:RSO171"/>
    <mergeCell ref="RSP170:RSP171"/>
    <mergeCell ref="RSQ170:RSQ171"/>
    <mergeCell ref="RSR170:RSR171"/>
    <mergeCell ref="RSS170:RSS171"/>
    <mergeCell ref="RTA170:RTA171"/>
    <mergeCell ref="RTB170:RTB171"/>
    <mergeCell ref="RTC170:RTC171"/>
    <mergeCell ref="RTD170:RTD171"/>
    <mergeCell ref="RTE170:RTE171"/>
    <mergeCell ref="RTF170:RTF171"/>
    <mergeCell ref="RTN170:RTN171"/>
    <mergeCell ref="RTO170:RTO171"/>
    <mergeCell ref="RTP170:RTP171"/>
    <mergeCell ref="RTQ170:RTQ171"/>
    <mergeCell ref="RTR170:RTR171"/>
    <mergeCell ref="RTS170:RTS171"/>
    <mergeCell ref="RUA170:RUA171"/>
    <mergeCell ref="RUB170:RUB171"/>
    <mergeCell ref="RUC170:RUC171"/>
    <mergeCell ref="RUD170:RUD171"/>
    <mergeCell ref="RUE170:RUE171"/>
    <mergeCell ref="RUF170:RUF171"/>
    <mergeCell ref="RUN170:RUN171"/>
    <mergeCell ref="RUO170:RUO171"/>
    <mergeCell ref="RUP170:RUP171"/>
    <mergeCell ref="RUQ170:RUQ171"/>
    <mergeCell ref="RUR170:RUR171"/>
    <mergeCell ref="RUS170:RUS171"/>
    <mergeCell ref="RVA170:RVA171"/>
    <mergeCell ref="RVB170:RVB171"/>
    <mergeCell ref="RVC170:RVC171"/>
    <mergeCell ref="RVD170:RVD171"/>
    <mergeCell ref="RVE170:RVE171"/>
    <mergeCell ref="RVF170:RVF171"/>
    <mergeCell ref="RVN170:RVN171"/>
    <mergeCell ref="RVO170:RVO171"/>
    <mergeCell ref="RVP170:RVP171"/>
    <mergeCell ref="RVQ170:RVQ171"/>
    <mergeCell ref="RVR170:RVR171"/>
    <mergeCell ref="RVS170:RVS171"/>
    <mergeCell ref="RWA170:RWA171"/>
    <mergeCell ref="RWB170:RWB171"/>
    <mergeCell ref="RWC170:RWC171"/>
    <mergeCell ref="RWD170:RWD171"/>
    <mergeCell ref="RWE170:RWE171"/>
    <mergeCell ref="RWF170:RWF171"/>
    <mergeCell ref="RWN170:RWN171"/>
    <mergeCell ref="RWO170:RWO171"/>
    <mergeCell ref="RWP170:RWP171"/>
    <mergeCell ref="RWQ170:RWQ171"/>
    <mergeCell ref="RWR170:RWR171"/>
    <mergeCell ref="RWS170:RWS171"/>
    <mergeCell ref="RXA170:RXA171"/>
    <mergeCell ref="RXB170:RXB171"/>
    <mergeCell ref="RXC170:RXC171"/>
    <mergeCell ref="RXD170:RXD171"/>
    <mergeCell ref="RXE170:RXE171"/>
    <mergeCell ref="RXF170:RXF171"/>
    <mergeCell ref="RXN170:RXN171"/>
    <mergeCell ref="RXO170:RXO171"/>
    <mergeCell ref="RXP170:RXP171"/>
    <mergeCell ref="RXQ170:RXQ171"/>
    <mergeCell ref="RXR170:RXR171"/>
    <mergeCell ref="RXS170:RXS171"/>
    <mergeCell ref="RYA170:RYA171"/>
    <mergeCell ref="RYB170:RYB171"/>
    <mergeCell ref="RYC170:RYC171"/>
    <mergeCell ref="RYD170:RYD171"/>
    <mergeCell ref="RYE170:RYE171"/>
    <mergeCell ref="RYF170:RYF171"/>
    <mergeCell ref="RYN170:RYN171"/>
    <mergeCell ref="RYO170:RYO171"/>
    <mergeCell ref="RYP170:RYP171"/>
    <mergeCell ref="RYQ170:RYQ171"/>
    <mergeCell ref="RYR170:RYR171"/>
    <mergeCell ref="RYS170:RYS171"/>
    <mergeCell ref="RZA170:RZA171"/>
    <mergeCell ref="RZB170:RZB171"/>
    <mergeCell ref="RZC170:RZC171"/>
    <mergeCell ref="RZD170:RZD171"/>
    <mergeCell ref="RZE170:RZE171"/>
    <mergeCell ref="RZF170:RZF171"/>
    <mergeCell ref="RZN170:RZN171"/>
    <mergeCell ref="RZO170:RZO171"/>
    <mergeCell ref="RZP170:RZP171"/>
    <mergeCell ref="RZQ170:RZQ171"/>
    <mergeCell ref="RZR170:RZR171"/>
    <mergeCell ref="RZS170:RZS171"/>
    <mergeCell ref="SAA170:SAA171"/>
    <mergeCell ref="SAB170:SAB171"/>
    <mergeCell ref="SAC170:SAC171"/>
    <mergeCell ref="SAD170:SAD171"/>
    <mergeCell ref="SAE170:SAE171"/>
    <mergeCell ref="SAF170:SAF171"/>
    <mergeCell ref="SAN170:SAN171"/>
    <mergeCell ref="SAO170:SAO171"/>
    <mergeCell ref="SAP170:SAP171"/>
    <mergeCell ref="SAQ170:SAQ171"/>
    <mergeCell ref="SAR170:SAR171"/>
    <mergeCell ref="SAS170:SAS171"/>
    <mergeCell ref="SBA170:SBA171"/>
    <mergeCell ref="SBB170:SBB171"/>
    <mergeCell ref="SBC170:SBC171"/>
    <mergeCell ref="SBD170:SBD171"/>
    <mergeCell ref="SBE170:SBE171"/>
    <mergeCell ref="SBF170:SBF171"/>
    <mergeCell ref="SBN170:SBN171"/>
    <mergeCell ref="SBO170:SBO171"/>
    <mergeCell ref="SBP170:SBP171"/>
    <mergeCell ref="SBQ170:SBQ171"/>
    <mergeCell ref="SBR170:SBR171"/>
    <mergeCell ref="SBS170:SBS171"/>
    <mergeCell ref="SCA170:SCA171"/>
    <mergeCell ref="SCB170:SCB171"/>
    <mergeCell ref="SCC170:SCC171"/>
    <mergeCell ref="SCD170:SCD171"/>
    <mergeCell ref="SCE170:SCE171"/>
    <mergeCell ref="SCF170:SCF171"/>
    <mergeCell ref="SCN170:SCN171"/>
    <mergeCell ref="SCO170:SCO171"/>
    <mergeCell ref="SCP170:SCP171"/>
    <mergeCell ref="SCQ170:SCQ171"/>
    <mergeCell ref="SCR170:SCR171"/>
    <mergeCell ref="SCS170:SCS171"/>
    <mergeCell ref="SDA170:SDA171"/>
    <mergeCell ref="SDB170:SDB171"/>
    <mergeCell ref="SDC170:SDC171"/>
    <mergeCell ref="SDD170:SDD171"/>
    <mergeCell ref="SDE170:SDE171"/>
    <mergeCell ref="SDF170:SDF171"/>
    <mergeCell ref="SDN170:SDN171"/>
    <mergeCell ref="SDO170:SDO171"/>
    <mergeCell ref="SDP170:SDP171"/>
    <mergeCell ref="SDQ170:SDQ171"/>
    <mergeCell ref="SDR170:SDR171"/>
    <mergeCell ref="SDS170:SDS171"/>
    <mergeCell ref="SEA170:SEA171"/>
    <mergeCell ref="SEB170:SEB171"/>
    <mergeCell ref="SEC170:SEC171"/>
    <mergeCell ref="SED170:SED171"/>
    <mergeCell ref="SEE170:SEE171"/>
    <mergeCell ref="SEF170:SEF171"/>
    <mergeCell ref="SEN170:SEN171"/>
    <mergeCell ref="SEO170:SEO171"/>
    <mergeCell ref="SEP170:SEP171"/>
    <mergeCell ref="SEQ170:SEQ171"/>
    <mergeCell ref="SER170:SER171"/>
    <mergeCell ref="SES170:SES171"/>
    <mergeCell ref="SFA170:SFA171"/>
    <mergeCell ref="SFB170:SFB171"/>
    <mergeCell ref="SFC170:SFC171"/>
    <mergeCell ref="SFD170:SFD171"/>
    <mergeCell ref="SFE170:SFE171"/>
    <mergeCell ref="SFF170:SFF171"/>
    <mergeCell ref="SFN170:SFN171"/>
    <mergeCell ref="SFO170:SFO171"/>
    <mergeCell ref="SFP170:SFP171"/>
    <mergeCell ref="SFQ170:SFQ171"/>
    <mergeCell ref="SFR170:SFR171"/>
    <mergeCell ref="SFS170:SFS171"/>
    <mergeCell ref="SGA170:SGA171"/>
    <mergeCell ref="SGB170:SGB171"/>
    <mergeCell ref="SGC170:SGC171"/>
    <mergeCell ref="SGD170:SGD171"/>
    <mergeCell ref="SGE170:SGE171"/>
    <mergeCell ref="SGF170:SGF171"/>
    <mergeCell ref="SGN170:SGN171"/>
    <mergeCell ref="SGO170:SGO171"/>
    <mergeCell ref="SGP170:SGP171"/>
    <mergeCell ref="SGQ170:SGQ171"/>
    <mergeCell ref="SGR170:SGR171"/>
    <mergeCell ref="SGS170:SGS171"/>
    <mergeCell ref="SHA170:SHA171"/>
    <mergeCell ref="SHB170:SHB171"/>
    <mergeCell ref="SHC170:SHC171"/>
    <mergeCell ref="SHD170:SHD171"/>
    <mergeCell ref="SHE170:SHE171"/>
    <mergeCell ref="SHF170:SHF171"/>
    <mergeCell ref="SHN170:SHN171"/>
    <mergeCell ref="SHO170:SHO171"/>
    <mergeCell ref="SHP170:SHP171"/>
    <mergeCell ref="SHQ170:SHQ171"/>
    <mergeCell ref="SHR170:SHR171"/>
    <mergeCell ref="SHS170:SHS171"/>
    <mergeCell ref="SIA170:SIA171"/>
    <mergeCell ref="SIB170:SIB171"/>
    <mergeCell ref="SIC170:SIC171"/>
    <mergeCell ref="SID170:SID171"/>
    <mergeCell ref="SIE170:SIE171"/>
    <mergeCell ref="SIF170:SIF171"/>
    <mergeCell ref="SIN170:SIN171"/>
    <mergeCell ref="SIO170:SIO171"/>
    <mergeCell ref="SIP170:SIP171"/>
    <mergeCell ref="SIQ170:SIQ171"/>
    <mergeCell ref="SIR170:SIR171"/>
    <mergeCell ref="SIS170:SIS171"/>
    <mergeCell ref="SJA170:SJA171"/>
    <mergeCell ref="SJB170:SJB171"/>
    <mergeCell ref="SJC170:SJC171"/>
    <mergeCell ref="SJD170:SJD171"/>
    <mergeCell ref="SJE170:SJE171"/>
    <mergeCell ref="SJF170:SJF171"/>
    <mergeCell ref="SJN170:SJN171"/>
    <mergeCell ref="SJO170:SJO171"/>
    <mergeCell ref="SJP170:SJP171"/>
    <mergeCell ref="SJQ170:SJQ171"/>
    <mergeCell ref="SJR170:SJR171"/>
    <mergeCell ref="SJS170:SJS171"/>
    <mergeCell ref="SKA170:SKA171"/>
    <mergeCell ref="SKB170:SKB171"/>
    <mergeCell ref="SKC170:SKC171"/>
    <mergeCell ref="SKD170:SKD171"/>
    <mergeCell ref="SKE170:SKE171"/>
    <mergeCell ref="SKF170:SKF171"/>
    <mergeCell ref="SKN170:SKN171"/>
    <mergeCell ref="SKO170:SKO171"/>
    <mergeCell ref="SKP170:SKP171"/>
    <mergeCell ref="SKQ170:SKQ171"/>
    <mergeCell ref="SKR170:SKR171"/>
    <mergeCell ref="SKS170:SKS171"/>
    <mergeCell ref="SLA170:SLA171"/>
    <mergeCell ref="SLB170:SLB171"/>
    <mergeCell ref="SLC170:SLC171"/>
    <mergeCell ref="SLD170:SLD171"/>
    <mergeCell ref="SLE170:SLE171"/>
    <mergeCell ref="SLF170:SLF171"/>
    <mergeCell ref="SLN170:SLN171"/>
    <mergeCell ref="SLO170:SLO171"/>
    <mergeCell ref="SLP170:SLP171"/>
    <mergeCell ref="SLQ170:SLQ171"/>
    <mergeCell ref="SLR170:SLR171"/>
    <mergeCell ref="SLS170:SLS171"/>
    <mergeCell ref="SMA170:SMA171"/>
    <mergeCell ref="SMB170:SMB171"/>
    <mergeCell ref="SMC170:SMC171"/>
    <mergeCell ref="SMD170:SMD171"/>
    <mergeCell ref="SME170:SME171"/>
    <mergeCell ref="SMF170:SMF171"/>
    <mergeCell ref="SMN170:SMN171"/>
    <mergeCell ref="SMO170:SMO171"/>
    <mergeCell ref="SMP170:SMP171"/>
    <mergeCell ref="SMQ170:SMQ171"/>
    <mergeCell ref="SMR170:SMR171"/>
    <mergeCell ref="SMS170:SMS171"/>
    <mergeCell ref="SNA170:SNA171"/>
    <mergeCell ref="SNB170:SNB171"/>
    <mergeCell ref="SNC170:SNC171"/>
    <mergeCell ref="SND170:SND171"/>
    <mergeCell ref="SNE170:SNE171"/>
    <mergeCell ref="SNF170:SNF171"/>
    <mergeCell ref="SNN170:SNN171"/>
    <mergeCell ref="SNO170:SNO171"/>
    <mergeCell ref="SNP170:SNP171"/>
    <mergeCell ref="SNQ170:SNQ171"/>
    <mergeCell ref="SNR170:SNR171"/>
    <mergeCell ref="SNS170:SNS171"/>
    <mergeCell ref="SOA170:SOA171"/>
    <mergeCell ref="SOB170:SOB171"/>
    <mergeCell ref="SOC170:SOC171"/>
    <mergeCell ref="SOD170:SOD171"/>
    <mergeCell ref="SOE170:SOE171"/>
    <mergeCell ref="SOF170:SOF171"/>
    <mergeCell ref="SON170:SON171"/>
    <mergeCell ref="SOO170:SOO171"/>
    <mergeCell ref="SOP170:SOP171"/>
    <mergeCell ref="SOQ170:SOQ171"/>
    <mergeCell ref="SOR170:SOR171"/>
    <mergeCell ref="SOS170:SOS171"/>
    <mergeCell ref="SPA170:SPA171"/>
    <mergeCell ref="SPB170:SPB171"/>
    <mergeCell ref="SPC170:SPC171"/>
    <mergeCell ref="SPD170:SPD171"/>
    <mergeCell ref="SPE170:SPE171"/>
    <mergeCell ref="SPF170:SPF171"/>
    <mergeCell ref="SPN170:SPN171"/>
    <mergeCell ref="SPO170:SPO171"/>
    <mergeCell ref="SPP170:SPP171"/>
    <mergeCell ref="SPQ170:SPQ171"/>
    <mergeCell ref="SPR170:SPR171"/>
    <mergeCell ref="SPS170:SPS171"/>
    <mergeCell ref="SQA170:SQA171"/>
    <mergeCell ref="SQB170:SQB171"/>
    <mergeCell ref="SQC170:SQC171"/>
    <mergeCell ref="SQD170:SQD171"/>
    <mergeCell ref="SQE170:SQE171"/>
    <mergeCell ref="SQF170:SQF171"/>
    <mergeCell ref="SQN170:SQN171"/>
    <mergeCell ref="SQO170:SQO171"/>
    <mergeCell ref="SQP170:SQP171"/>
    <mergeCell ref="SQQ170:SQQ171"/>
    <mergeCell ref="SQR170:SQR171"/>
    <mergeCell ref="SQS170:SQS171"/>
    <mergeCell ref="SRA170:SRA171"/>
    <mergeCell ref="SRB170:SRB171"/>
    <mergeCell ref="SRC170:SRC171"/>
    <mergeCell ref="SRD170:SRD171"/>
    <mergeCell ref="SRE170:SRE171"/>
    <mergeCell ref="SRF170:SRF171"/>
    <mergeCell ref="SRN170:SRN171"/>
    <mergeCell ref="SRO170:SRO171"/>
    <mergeCell ref="SRP170:SRP171"/>
    <mergeCell ref="SRQ170:SRQ171"/>
    <mergeCell ref="SRR170:SRR171"/>
    <mergeCell ref="SRS170:SRS171"/>
    <mergeCell ref="SSA170:SSA171"/>
    <mergeCell ref="SSB170:SSB171"/>
    <mergeCell ref="SSC170:SSC171"/>
    <mergeCell ref="SSD170:SSD171"/>
    <mergeCell ref="SSE170:SSE171"/>
    <mergeCell ref="SSF170:SSF171"/>
    <mergeCell ref="SSN170:SSN171"/>
    <mergeCell ref="SSO170:SSO171"/>
    <mergeCell ref="SSP170:SSP171"/>
    <mergeCell ref="SSQ170:SSQ171"/>
    <mergeCell ref="SSR170:SSR171"/>
    <mergeCell ref="SSS170:SSS171"/>
    <mergeCell ref="STA170:STA171"/>
    <mergeCell ref="STB170:STB171"/>
    <mergeCell ref="STC170:STC171"/>
    <mergeCell ref="STD170:STD171"/>
    <mergeCell ref="STE170:STE171"/>
    <mergeCell ref="STF170:STF171"/>
    <mergeCell ref="STN170:STN171"/>
    <mergeCell ref="STO170:STO171"/>
    <mergeCell ref="STP170:STP171"/>
    <mergeCell ref="STQ170:STQ171"/>
    <mergeCell ref="STR170:STR171"/>
    <mergeCell ref="STS170:STS171"/>
    <mergeCell ref="SUA170:SUA171"/>
    <mergeCell ref="SUB170:SUB171"/>
    <mergeCell ref="SUC170:SUC171"/>
    <mergeCell ref="SUD170:SUD171"/>
    <mergeCell ref="SUE170:SUE171"/>
    <mergeCell ref="SUF170:SUF171"/>
    <mergeCell ref="SUN170:SUN171"/>
    <mergeCell ref="SUO170:SUO171"/>
    <mergeCell ref="SUP170:SUP171"/>
    <mergeCell ref="SUQ170:SUQ171"/>
    <mergeCell ref="SUR170:SUR171"/>
    <mergeCell ref="SUS170:SUS171"/>
    <mergeCell ref="SVA170:SVA171"/>
    <mergeCell ref="SVB170:SVB171"/>
    <mergeCell ref="SVC170:SVC171"/>
    <mergeCell ref="SVD170:SVD171"/>
    <mergeCell ref="SVE170:SVE171"/>
    <mergeCell ref="SVF170:SVF171"/>
    <mergeCell ref="SVN170:SVN171"/>
    <mergeCell ref="SVO170:SVO171"/>
    <mergeCell ref="SVP170:SVP171"/>
    <mergeCell ref="SVQ170:SVQ171"/>
    <mergeCell ref="SVR170:SVR171"/>
    <mergeCell ref="SVS170:SVS171"/>
    <mergeCell ref="SWA170:SWA171"/>
    <mergeCell ref="SWB170:SWB171"/>
    <mergeCell ref="SWC170:SWC171"/>
    <mergeCell ref="SWD170:SWD171"/>
    <mergeCell ref="SWE170:SWE171"/>
    <mergeCell ref="SWF170:SWF171"/>
    <mergeCell ref="SWN170:SWN171"/>
    <mergeCell ref="SWO170:SWO171"/>
    <mergeCell ref="SWP170:SWP171"/>
    <mergeCell ref="SWQ170:SWQ171"/>
    <mergeCell ref="SWR170:SWR171"/>
    <mergeCell ref="SWS170:SWS171"/>
    <mergeCell ref="SXA170:SXA171"/>
    <mergeCell ref="SXB170:SXB171"/>
    <mergeCell ref="SXC170:SXC171"/>
    <mergeCell ref="SXD170:SXD171"/>
    <mergeCell ref="SXE170:SXE171"/>
    <mergeCell ref="SXF170:SXF171"/>
    <mergeCell ref="SXN170:SXN171"/>
    <mergeCell ref="SXO170:SXO171"/>
    <mergeCell ref="SXP170:SXP171"/>
    <mergeCell ref="SXQ170:SXQ171"/>
    <mergeCell ref="SXR170:SXR171"/>
    <mergeCell ref="SXS170:SXS171"/>
    <mergeCell ref="SYA170:SYA171"/>
    <mergeCell ref="SYB170:SYB171"/>
    <mergeCell ref="SYC170:SYC171"/>
    <mergeCell ref="SYD170:SYD171"/>
    <mergeCell ref="SYE170:SYE171"/>
    <mergeCell ref="SYF170:SYF171"/>
    <mergeCell ref="SYN170:SYN171"/>
    <mergeCell ref="SYO170:SYO171"/>
    <mergeCell ref="SYP170:SYP171"/>
    <mergeCell ref="SYQ170:SYQ171"/>
    <mergeCell ref="SYR170:SYR171"/>
    <mergeCell ref="SYS170:SYS171"/>
    <mergeCell ref="SZA170:SZA171"/>
    <mergeCell ref="SZB170:SZB171"/>
    <mergeCell ref="SZC170:SZC171"/>
    <mergeCell ref="SZD170:SZD171"/>
    <mergeCell ref="SZE170:SZE171"/>
    <mergeCell ref="SZF170:SZF171"/>
    <mergeCell ref="SZN170:SZN171"/>
    <mergeCell ref="SZO170:SZO171"/>
    <mergeCell ref="SZP170:SZP171"/>
    <mergeCell ref="SZQ170:SZQ171"/>
    <mergeCell ref="SZR170:SZR171"/>
    <mergeCell ref="SZS170:SZS171"/>
    <mergeCell ref="TAA170:TAA171"/>
    <mergeCell ref="TAB170:TAB171"/>
    <mergeCell ref="TAC170:TAC171"/>
    <mergeCell ref="TAD170:TAD171"/>
    <mergeCell ref="TAE170:TAE171"/>
    <mergeCell ref="TAF170:TAF171"/>
    <mergeCell ref="TAN170:TAN171"/>
    <mergeCell ref="TAO170:TAO171"/>
    <mergeCell ref="TAP170:TAP171"/>
    <mergeCell ref="TAQ170:TAQ171"/>
    <mergeCell ref="TAR170:TAR171"/>
    <mergeCell ref="TAS170:TAS171"/>
    <mergeCell ref="TBA170:TBA171"/>
    <mergeCell ref="TBB170:TBB171"/>
    <mergeCell ref="TBC170:TBC171"/>
    <mergeCell ref="TBD170:TBD171"/>
    <mergeCell ref="TBE170:TBE171"/>
    <mergeCell ref="TBF170:TBF171"/>
    <mergeCell ref="TBN170:TBN171"/>
    <mergeCell ref="TBO170:TBO171"/>
    <mergeCell ref="TBP170:TBP171"/>
    <mergeCell ref="TBQ170:TBQ171"/>
    <mergeCell ref="TBR170:TBR171"/>
    <mergeCell ref="TBS170:TBS171"/>
    <mergeCell ref="TCA170:TCA171"/>
    <mergeCell ref="TCB170:TCB171"/>
    <mergeCell ref="TCC170:TCC171"/>
    <mergeCell ref="TCD170:TCD171"/>
    <mergeCell ref="TCE170:TCE171"/>
    <mergeCell ref="TCF170:TCF171"/>
    <mergeCell ref="TCN170:TCN171"/>
    <mergeCell ref="TCO170:TCO171"/>
    <mergeCell ref="TCP170:TCP171"/>
    <mergeCell ref="TCQ170:TCQ171"/>
    <mergeCell ref="TCR170:TCR171"/>
    <mergeCell ref="TCS170:TCS171"/>
    <mergeCell ref="TDA170:TDA171"/>
    <mergeCell ref="TDB170:TDB171"/>
    <mergeCell ref="TDC170:TDC171"/>
    <mergeCell ref="TDD170:TDD171"/>
    <mergeCell ref="TDE170:TDE171"/>
    <mergeCell ref="TDF170:TDF171"/>
    <mergeCell ref="TDN170:TDN171"/>
    <mergeCell ref="TDO170:TDO171"/>
    <mergeCell ref="TDP170:TDP171"/>
    <mergeCell ref="TDQ170:TDQ171"/>
    <mergeCell ref="TDR170:TDR171"/>
    <mergeCell ref="TDS170:TDS171"/>
    <mergeCell ref="TEA170:TEA171"/>
    <mergeCell ref="TEB170:TEB171"/>
    <mergeCell ref="TEC170:TEC171"/>
    <mergeCell ref="TED170:TED171"/>
    <mergeCell ref="TEE170:TEE171"/>
    <mergeCell ref="TEF170:TEF171"/>
    <mergeCell ref="TEN170:TEN171"/>
    <mergeCell ref="TEO170:TEO171"/>
    <mergeCell ref="TEP170:TEP171"/>
    <mergeCell ref="TEQ170:TEQ171"/>
    <mergeCell ref="TER170:TER171"/>
    <mergeCell ref="TES170:TES171"/>
    <mergeCell ref="TFA170:TFA171"/>
    <mergeCell ref="TFB170:TFB171"/>
    <mergeCell ref="TFC170:TFC171"/>
    <mergeCell ref="TFD170:TFD171"/>
    <mergeCell ref="TFE170:TFE171"/>
    <mergeCell ref="TFF170:TFF171"/>
    <mergeCell ref="TFN170:TFN171"/>
    <mergeCell ref="TFO170:TFO171"/>
    <mergeCell ref="TFP170:TFP171"/>
    <mergeCell ref="TFQ170:TFQ171"/>
    <mergeCell ref="TFR170:TFR171"/>
    <mergeCell ref="TFS170:TFS171"/>
    <mergeCell ref="TGA170:TGA171"/>
    <mergeCell ref="TGB170:TGB171"/>
    <mergeCell ref="TGC170:TGC171"/>
    <mergeCell ref="TGD170:TGD171"/>
    <mergeCell ref="TGE170:TGE171"/>
    <mergeCell ref="TGF170:TGF171"/>
    <mergeCell ref="TGN170:TGN171"/>
    <mergeCell ref="TGO170:TGO171"/>
    <mergeCell ref="TGP170:TGP171"/>
    <mergeCell ref="TGQ170:TGQ171"/>
    <mergeCell ref="TGR170:TGR171"/>
    <mergeCell ref="TGS170:TGS171"/>
    <mergeCell ref="THA170:THA171"/>
    <mergeCell ref="THB170:THB171"/>
    <mergeCell ref="THC170:THC171"/>
    <mergeCell ref="THD170:THD171"/>
    <mergeCell ref="THE170:THE171"/>
    <mergeCell ref="THF170:THF171"/>
    <mergeCell ref="THN170:THN171"/>
    <mergeCell ref="THO170:THO171"/>
    <mergeCell ref="THP170:THP171"/>
    <mergeCell ref="THQ170:THQ171"/>
    <mergeCell ref="THR170:THR171"/>
    <mergeCell ref="THS170:THS171"/>
    <mergeCell ref="TIA170:TIA171"/>
    <mergeCell ref="TIB170:TIB171"/>
    <mergeCell ref="TIC170:TIC171"/>
    <mergeCell ref="TID170:TID171"/>
    <mergeCell ref="TIE170:TIE171"/>
    <mergeCell ref="TIF170:TIF171"/>
    <mergeCell ref="TIN170:TIN171"/>
    <mergeCell ref="TIO170:TIO171"/>
    <mergeCell ref="TIP170:TIP171"/>
    <mergeCell ref="TIQ170:TIQ171"/>
    <mergeCell ref="TIR170:TIR171"/>
    <mergeCell ref="TIS170:TIS171"/>
    <mergeCell ref="TJA170:TJA171"/>
    <mergeCell ref="TJB170:TJB171"/>
    <mergeCell ref="TJC170:TJC171"/>
    <mergeCell ref="TJD170:TJD171"/>
    <mergeCell ref="TJE170:TJE171"/>
    <mergeCell ref="TJF170:TJF171"/>
    <mergeCell ref="TJN170:TJN171"/>
    <mergeCell ref="TJO170:TJO171"/>
    <mergeCell ref="TJP170:TJP171"/>
    <mergeCell ref="TJQ170:TJQ171"/>
    <mergeCell ref="TJR170:TJR171"/>
    <mergeCell ref="TJS170:TJS171"/>
    <mergeCell ref="TKA170:TKA171"/>
    <mergeCell ref="TKB170:TKB171"/>
    <mergeCell ref="TKC170:TKC171"/>
    <mergeCell ref="TKD170:TKD171"/>
    <mergeCell ref="TKE170:TKE171"/>
    <mergeCell ref="TKF170:TKF171"/>
    <mergeCell ref="TKN170:TKN171"/>
    <mergeCell ref="TKO170:TKO171"/>
    <mergeCell ref="TKP170:TKP171"/>
    <mergeCell ref="TKQ170:TKQ171"/>
    <mergeCell ref="TKR170:TKR171"/>
    <mergeCell ref="TKS170:TKS171"/>
    <mergeCell ref="TLA170:TLA171"/>
    <mergeCell ref="TLB170:TLB171"/>
    <mergeCell ref="TLC170:TLC171"/>
    <mergeCell ref="TLD170:TLD171"/>
    <mergeCell ref="TLE170:TLE171"/>
    <mergeCell ref="TLF170:TLF171"/>
    <mergeCell ref="TLN170:TLN171"/>
    <mergeCell ref="TLO170:TLO171"/>
    <mergeCell ref="TLP170:TLP171"/>
    <mergeCell ref="TLQ170:TLQ171"/>
    <mergeCell ref="TLR170:TLR171"/>
    <mergeCell ref="TLS170:TLS171"/>
    <mergeCell ref="TMA170:TMA171"/>
    <mergeCell ref="TMB170:TMB171"/>
    <mergeCell ref="TMC170:TMC171"/>
    <mergeCell ref="TMD170:TMD171"/>
    <mergeCell ref="TME170:TME171"/>
    <mergeCell ref="TMF170:TMF171"/>
    <mergeCell ref="TMN170:TMN171"/>
    <mergeCell ref="TMO170:TMO171"/>
    <mergeCell ref="TMP170:TMP171"/>
    <mergeCell ref="TMQ170:TMQ171"/>
    <mergeCell ref="TMR170:TMR171"/>
    <mergeCell ref="TMS170:TMS171"/>
    <mergeCell ref="TNA170:TNA171"/>
    <mergeCell ref="TNB170:TNB171"/>
    <mergeCell ref="TNC170:TNC171"/>
    <mergeCell ref="TND170:TND171"/>
    <mergeCell ref="TNE170:TNE171"/>
    <mergeCell ref="TNF170:TNF171"/>
    <mergeCell ref="TNN170:TNN171"/>
    <mergeCell ref="TNO170:TNO171"/>
    <mergeCell ref="TNP170:TNP171"/>
    <mergeCell ref="TNQ170:TNQ171"/>
    <mergeCell ref="TNR170:TNR171"/>
    <mergeCell ref="TNS170:TNS171"/>
    <mergeCell ref="TOA170:TOA171"/>
    <mergeCell ref="TOB170:TOB171"/>
    <mergeCell ref="TOC170:TOC171"/>
    <mergeCell ref="TOD170:TOD171"/>
    <mergeCell ref="TOE170:TOE171"/>
    <mergeCell ref="TOF170:TOF171"/>
    <mergeCell ref="TON170:TON171"/>
    <mergeCell ref="TOO170:TOO171"/>
    <mergeCell ref="TOP170:TOP171"/>
    <mergeCell ref="TOQ170:TOQ171"/>
    <mergeCell ref="TOR170:TOR171"/>
    <mergeCell ref="TOS170:TOS171"/>
    <mergeCell ref="TPA170:TPA171"/>
    <mergeCell ref="TPB170:TPB171"/>
    <mergeCell ref="TPC170:TPC171"/>
    <mergeCell ref="TPD170:TPD171"/>
    <mergeCell ref="TPE170:TPE171"/>
    <mergeCell ref="TPF170:TPF171"/>
    <mergeCell ref="TPN170:TPN171"/>
    <mergeCell ref="TPO170:TPO171"/>
    <mergeCell ref="TPP170:TPP171"/>
    <mergeCell ref="TPQ170:TPQ171"/>
    <mergeCell ref="TPR170:TPR171"/>
    <mergeCell ref="TPS170:TPS171"/>
    <mergeCell ref="TQA170:TQA171"/>
    <mergeCell ref="TQB170:TQB171"/>
    <mergeCell ref="TQC170:TQC171"/>
    <mergeCell ref="TQD170:TQD171"/>
    <mergeCell ref="TQE170:TQE171"/>
    <mergeCell ref="TQF170:TQF171"/>
    <mergeCell ref="TQN170:TQN171"/>
    <mergeCell ref="TQO170:TQO171"/>
    <mergeCell ref="TQP170:TQP171"/>
    <mergeCell ref="TQQ170:TQQ171"/>
    <mergeCell ref="TQR170:TQR171"/>
    <mergeCell ref="TQS170:TQS171"/>
    <mergeCell ref="TRA170:TRA171"/>
    <mergeCell ref="TRB170:TRB171"/>
    <mergeCell ref="TRC170:TRC171"/>
    <mergeCell ref="TRD170:TRD171"/>
    <mergeCell ref="TRE170:TRE171"/>
    <mergeCell ref="TRF170:TRF171"/>
    <mergeCell ref="TRN170:TRN171"/>
    <mergeCell ref="TRO170:TRO171"/>
    <mergeCell ref="TRP170:TRP171"/>
    <mergeCell ref="TRQ170:TRQ171"/>
    <mergeCell ref="TRR170:TRR171"/>
    <mergeCell ref="TRS170:TRS171"/>
    <mergeCell ref="TSA170:TSA171"/>
    <mergeCell ref="TSB170:TSB171"/>
    <mergeCell ref="TSC170:TSC171"/>
    <mergeCell ref="TSD170:TSD171"/>
    <mergeCell ref="TSE170:TSE171"/>
    <mergeCell ref="TSF170:TSF171"/>
    <mergeCell ref="TSN170:TSN171"/>
    <mergeCell ref="TSO170:TSO171"/>
    <mergeCell ref="TSP170:TSP171"/>
    <mergeCell ref="TSQ170:TSQ171"/>
    <mergeCell ref="TSR170:TSR171"/>
    <mergeCell ref="TSS170:TSS171"/>
    <mergeCell ref="TTA170:TTA171"/>
    <mergeCell ref="TTB170:TTB171"/>
    <mergeCell ref="TTC170:TTC171"/>
    <mergeCell ref="TTD170:TTD171"/>
    <mergeCell ref="TTE170:TTE171"/>
    <mergeCell ref="TTF170:TTF171"/>
    <mergeCell ref="TTN170:TTN171"/>
    <mergeCell ref="TTO170:TTO171"/>
    <mergeCell ref="TTP170:TTP171"/>
    <mergeCell ref="TTQ170:TTQ171"/>
    <mergeCell ref="TTR170:TTR171"/>
    <mergeCell ref="TTS170:TTS171"/>
    <mergeCell ref="TUA170:TUA171"/>
    <mergeCell ref="TUB170:TUB171"/>
    <mergeCell ref="TUC170:TUC171"/>
    <mergeCell ref="TUD170:TUD171"/>
    <mergeCell ref="TUE170:TUE171"/>
    <mergeCell ref="TUF170:TUF171"/>
    <mergeCell ref="TUN170:TUN171"/>
    <mergeCell ref="TUO170:TUO171"/>
    <mergeCell ref="TUP170:TUP171"/>
    <mergeCell ref="TUQ170:TUQ171"/>
    <mergeCell ref="TUR170:TUR171"/>
    <mergeCell ref="TUS170:TUS171"/>
    <mergeCell ref="TVA170:TVA171"/>
    <mergeCell ref="TVB170:TVB171"/>
    <mergeCell ref="TVC170:TVC171"/>
    <mergeCell ref="TVD170:TVD171"/>
    <mergeCell ref="TVE170:TVE171"/>
    <mergeCell ref="TVF170:TVF171"/>
    <mergeCell ref="TVN170:TVN171"/>
    <mergeCell ref="TVO170:TVO171"/>
    <mergeCell ref="TVP170:TVP171"/>
    <mergeCell ref="TVQ170:TVQ171"/>
    <mergeCell ref="TVR170:TVR171"/>
    <mergeCell ref="TVS170:TVS171"/>
    <mergeCell ref="TWA170:TWA171"/>
    <mergeCell ref="TWB170:TWB171"/>
    <mergeCell ref="TWC170:TWC171"/>
    <mergeCell ref="TWD170:TWD171"/>
    <mergeCell ref="TWE170:TWE171"/>
    <mergeCell ref="TWF170:TWF171"/>
    <mergeCell ref="TWN170:TWN171"/>
    <mergeCell ref="TWO170:TWO171"/>
    <mergeCell ref="TWP170:TWP171"/>
    <mergeCell ref="TWQ170:TWQ171"/>
    <mergeCell ref="TWR170:TWR171"/>
    <mergeCell ref="TWS170:TWS171"/>
    <mergeCell ref="TXA170:TXA171"/>
    <mergeCell ref="TXB170:TXB171"/>
    <mergeCell ref="TXC170:TXC171"/>
    <mergeCell ref="TXD170:TXD171"/>
    <mergeCell ref="TXE170:TXE171"/>
    <mergeCell ref="TXF170:TXF171"/>
    <mergeCell ref="TXN170:TXN171"/>
    <mergeCell ref="TXO170:TXO171"/>
    <mergeCell ref="TXP170:TXP171"/>
    <mergeCell ref="TXQ170:TXQ171"/>
    <mergeCell ref="TXR170:TXR171"/>
    <mergeCell ref="TXS170:TXS171"/>
    <mergeCell ref="TYA170:TYA171"/>
    <mergeCell ref="TYB170:TYB171"/>
    <mergeCell ref="TYC170:TYC171"/>
    <mergeCell ref="TYD170:TYD171"/>
    <mergeCell ref="TYE170:TYE171"/>
    <mergeCell ref="TYF170:TYF171"/>
    <mergeCell ref="TYN170:TYN171"/>
    <mergeCell ref="TYO170:TYO171"/>
    <mergeCell ref="TYP170:TYP171"/>
    <mergeCell ref="TYQ170:TYQ171"/>
    <mergeCell ref="TYR170:TYR171"/>
    <mergeCell ref="TYS170:TYS171"/>
    <mergeCell ref="TZA170:TZA171"/>
    <mergeCell ref="TZB170:TZB171"/>
    <mergeCell ref="TZC170:TZC171"/>
    <mergeCell ref="TZD170:TZD171"/>
    <mergeCell ref="TZE170:TZE171"/>
    <mergeCell ref="TZF170:TZF171"/>
    <mergeCell ref="TZN170:TZN171"/>
    <mergeCell ref="TZO170:TZO171"/>
    <mergeCell ref="TZP170:TZP171"/>
    <mergeCell ref="TZQ170:TZQ171"/>
    <mergeCell ref="TZR170:TZR171"/>
    <mergeCell ref="TZS170:TZS171"/>
    <mergeCell ref="UAA170:UAA171"/>
    <mergeCell ref="UAB170:UAB171"/>
    <mergeCell ref="UAC170:UAC171"/>
    <mergeCell ref="UAD170:UAD171"/>
    <mergeCell ref="UAE170:UAE171"/>
    <mergeCell ref="UAF170:UAF171"/>
    <mergeCell ref="UAN170:UAN171"/>
    <mergeCell ref="UAO170:UAO171"/>
    <mergeCell ref="UAP170:UAP171"/>
    <mergeCell ref="UAQ170:UAQ171"/>
    <mergeCell ref="UAR170:UAR171"/>
    <mergeCell ref="UAS170:UAS171"/>
    <mergeCell ref="UBA170:UBA171"/>
    <mergeCell ref="UBB170:UBB171"/>
    <mergeCell ref="UBC170:UBC171"/>
    <mergeCell ref="UBD170:UBD171"/>
    <mergeCell ref="UBE170:UBE171"/>
    <mergeCell ref="UBF170:UBF171"/>
    <mergeCell ref="UBN170:UBN171"/>
    <mergeCell ref="UBO170:UBO171"/>
    <mergeCell ref="UBP170:UBP171"/>
    <mergeCell ref="UBQ170:UBQ171"/>
    <mergeCell ref="UBR170:UBR171"/>
    <mergeCell ref="UBS170:UBS171"/>
    <mergeCell ref="UCA170:UCA171"/>
    <mergeCell ref="UCB170:UCB171"/>
    <mergeCell ref="UCC170:UCC171"/>
    <mergeCell ref="UCD170:UCD171"/>
    <mergeCell ref="UCE170:UCE171"/>
    <mergeCell ref="UCF170:UCF171"/>
    <mergeCell ref="UCN170:UCN171"/>
    <mergeCell ref="UCO170:UCO171"/>
    <mergeCell ref="UCP170:UCP171"/>
    <mergeCell ref="UCQ170:UCQ171"/>
    <mergeCell ref="UCR170:UCR171"/>
    <mergeCell ref="UCS170:UCS171"/>
    <mergeCell ref="UDA170:UDA171"/>
    <mergeCell ref="UDB170:UDB171"/>
    <mergeCell ref="UDC170:UDC171"/>
    <mergeCell ref="UDD170:UDD171"/>
    <mergeCell ref="UDE170:UDE171"/>
    <mergeCell ref="UDF170:UDF171"/>
    <mergeCell ref="UDN170:UDN171"/>
    <mergeCell ref="UDO170:UDO171"/>
    <mergeCell ref="UDP170:UDP171"/>
    <mergeCell ref="UDQ170:UDQ171"/>
    <mergeCell ref="UDR170:UDR171"/>
    <mergeCell ref="UDS170:UDS171"/>
    <mergeCell ref="UEA170:UEA171"/>
    <mergeCell ref="UEB170:UEB171"/>
    <mergeCell ref="UEC170:UEC171"/>
    <mergeCell ref="UED170:UED171"/>
    <mergeCell ref="UEE170:UEE171"/>
    <mergeCell ref="UEF170:UEF171"/>
    <mergeCell ref="UEN170:UEN171"/>
    <mergeCell ref="UEO170:UEO171"/>
    <mergeCell ref="UEP170:UEP171"/>
    <mergeCell ref="UEQ170:UEQ171"/>
    <mergeCell ref="UER170:UER171"/>
    <mergeCell ref="UES170:UES171"/>
    <mergeCell ref="UFA170:UFA171"/>
    <mergeCell ref="UFB170:UFB171"/>
    <mergeCell ref="UFC170:UFC171"/>
    <mergeCell ref="UFD170:UFD171"/>
    <mergeCell ref="UFE170:UFE171"/>
    <mergeCell ref="UFF170:UFF171"/>
    <mergeCell ref="UFN170:UFN171"/>
    <mergeCell ref="UFO170:UFO171"/>
    <mergeCell ref="UFP170:UFP171"/>
    <mergeCell ref="UFQ170:UFQ171"/>
    <mergeCell ref="UFR170:UFR171"/>
    <mergeCell ref="UFS170:UFS171"/>
    <mergeCell ref="UGA170:UGA171"/>
    <mergeCell ref="UGB170:UGB171"/>
    <mergeCell ref="UGC170:UGC171"/>
    <mergeCell ref="UGD170:UGD171"/>
    <mergeCell ref="UGE170:UGE171"/>
    <mergeCell ref="UGF170:UGF171"/>
    <mergeCell ref="UGN170:UGN171"/>
    <mergeCell ref="UGO170:UGO171"/>
    <mergeCell ref="UGP170:UGP171"/>
    <mergeCell ref="UGQ170:UGQ171"/>
    <mergeCell ref="UGR170:UGR171"/>
    <mergeCell ref="UGS170:UGS171"/>
    <mergeCell ref="UHA170:UHA171"/>
    <mergeCell ref="UHB170:UHB171"/>
    <mergeCell ref="UHC170:UHC171"/>
    <mergeCell ref="UHD170:UHD171"/>
    <mergeCell ref="UHE170:UHE171"/>
    <mergeCell ref="UHF170:UHF171"/>
    <mergeCell ref="UHN170:UHN171"/>
    <mergeCell ref="UHO170:UHO171"/>
    <mergeCell ref="UHP170:UHP171"/>
    <mergeCell ref="UHQ170:UHQ171"/>
    <mergeCell ref="UHR170:UHR171"/>
    <mergeCell ref="UHS170:UHS171"/>
    <mergeCell ref="UIA170:UIA171"/>
    <mergeCell ref="UIB170:UIB171"/>
    <mergeCell ref="UIC170:UIC171"/>
    <mergeCell ref="UID170:UID171"/>
    <mergeCell ref="UIE170:UIE171"/>
    <mergeCell ref="UIF170:UIF171"/>
    <mergeCell ref="UIN170:UIN171"/>
    <mergeCell ref="UIO170:UIO171"/>
    <mergeCell ref="UIP170:UIP171"/>
    <mergeCell ref="UIQ170:UIQ171"/>
    <mergeCell ref="UIR170:UIR171"/>
    <mergeCell ref="UIS170:UIS171"/>
    <mergeCell ref="UJA170:UJA171"/>
    <mergeCell ref="UJB170:UJB171"/>
    <mergeCell ref="UJC170:UJC171"/>
    <mergeCell ref="UJD170:UJD171"/>
    <mergeCell ref="UJE170:UJE171"/>
    <mergeCell ref="UJF170:UJF171"/>
    <mergeCell ref="UJN170:UJN171"/>
    <mergeCell ref="UJO170:UJO171"/>
    <mergeCell ref="UJP170:UJP171"/>
    <mergeCell ref="UJQ170:UJQ171"/>
    <mergeCell ref="UJR170:UJR171"/>
    <mergeCell ref="UJS170:UJS171"/>
    <mergeCell ref="UKA170:UKA171"/>
    <mergeCell ref="UKB170:UKB171"/>
    <mergeCell ref="UKC170:UKC171"/>
    <mergeCell ref="UKD170:UKD171"/>
    <mergeCell ref="UKE170:UKE171"/>
    <mergeCell ref="UKF170:UKF171"/>
    <mergeCell ref="UKN170:UKN171"/>
    <mergeCell ref="UKO170:UKO171"/>
    <mergeCell ref="UKP170:UKP171"/>
    <mergeCell ref="UKQ170:UKQ171"/>
    <mergeCell ref="UKR170:UKR171"/>
    <mergeCell ref="UKS170:UKS171"/>
    <mergeCell ref="ULA170:ULA171"/>
    <mergeCell ref="ULB170:ULB171"/>
    <mergeCell ref="ULC170:ULC171"/>
    <mergeCell ref="ULD170:ULD171"/>
    <mergeCell ref="ULE170:ULE171"/>
    <mergeCell ref="ULF170:ULF171"/>
    <mergeCell ref="ULN170:ULN171"/>
    <mergeCell ref="ULO170:ULO171"/>
    <mergeCell ref="ULP170:ULP171"/>
    <mergeCell ref="ULQ170:ULQ171"/>
    <mergeCell ref="ULR170:ULR171"/>
    <mergeCell ref="ULS170:ULS171"/>
    <mergeCell ref="UMA170:UMA171"/>
    <mergeCell ref="UMB170:UMB171"/>
    <mergeCell ref="UMC170:UMC171"/>
    <mergeCell ref="UMD170:UMD171"/>
    <mergeCell ref="UME170:UME171"/>
    <mergeCell ref="UMF170:UMF171"/>
    <mergeCell ref="UMN170:UMN171"/>
    <mergeCell ref="UMO170:UMO171"/>
    <mergeCell ref="UMP170:UMP171"/>
    <mergeCell ref="UMQ170:UMQ171"/>
    <mergeCell ref="UMR170:UMR171"/>
    <mergeCell ref="UMS170:UMS171"/>
    <mergeCell ref="UNA170:UNA171"/>
    <mergeCell ref="UNB170:UNB171"/>
    <mergeCell ref="UNC170:UNC171"/>
    <mergeCell ref="UND170:UND171"/>
    <mergeCell ref="UNE170:UNE171"/>
    <mergeCell ref="UNF170:UNF171"/>
    <mergeCell ref="UNN170:UNN171"/>
    <mergeCell ref="UNO170:UNO171"/>
    <mergeCell ref="UNP170:UNP171"/>
    <mergeCell ref="UNQ170:UNQ171"/>
    <mergeCell ref="UNR170:UNR171"/>
    <mergeCell ref="UNS170:UNS171"/>
    <mergeCell ref="UOA170:UOA171"/>
    <mergeCell ref="UOB170:UOB171"/>
    <mergeCell ref="UOC170:UOC171"/>
    <mergeCell ref="UOD170:UOD171"/>
    <mergeCell ref="UOE170:UOE171"/>
    <mergeCell ref="UOF170:UOF171"/>
    <mergeCell ref="UON170:UON171"/>
    <mergeCell ref="UOO170:UOO171"/>
    <mergeCell ref="UOP170:UOP171"/>
    <mergeCell ref="UOQ170:UOQ171"/>
    <mergeCell ref="UOR170:UOR171"/>
    <mergeCell ref="UOS170:UOS171"/>
    <mergeCell ref="UPA170:UPA171"/>
    <mergeCell ref="UPB170:UPB171"/>
    <mergeCell ref="UPC170:UPC171"/>
    <mergeCell ref="UPD170:UPD171"/>
    <mergeCell ref="UPE170:UPE171"/>
    <mergeCell ref="UPF170:UPF171"/>
    <mergeCell ref="UPN170:UPN171"/>
    <mergeCell ref="UPO170:UPO171"/>
    <mergeCell ref="UPP170:UPP171"/>
    <mergeCell ref="UPQ170:UPQ171"/>
    <mergeCell ref="UPR170:UPR171"/>
    <mergeCell ref="UPS170:UPS171"/>
    <mergeCell ref="UQA170:UQA171"/>
    <mergeCell ref="UQB170:UQB171"/>
    <mergeCell ref="UQC170:UQC171"/>
    <mergeCell ref="UQD170:UQD171"/>
    <mergeCell ref="UQE170:UQE171"/>
    <mergeCell ref="UQF170:UQF171"/>
    <mergeCell ref="UQN170:UQN171"/>
    <mergeCell ref="UQO170:UQO171"/>
    <mergeCell ref="UQP170:UQP171"/>
    <mergeCell ref="UQQ170:UQQ171"/>
    <mergeCell ref="UQR170:UQR171"/>
    <mergeCell ref="UQS170:UQS171"/>
    <mergeCell ref="URA170:URA171"/>
    <mergeCell ref="URB170:URB171"/>
    <mergeCell ref="URC170:URC171"/>
    <mergeCell ref="URD170:URD171"/>
    <mergeCell ref="URE170:URE171"/>
    <mergeCell ref="URF170:URF171"/>
    <mergeCell ref="URN170:URN171"/>
    <mergeCell ref="URO170:URO171"/>
    <mergeCell ref="URP170:URP171"/>
    <mergeCell ref="URQ170:URQ171"/>
    <mergeCell ref="URR170:URR171"/>
    <mergeCell ref="URS170:URS171"/>
    <mergeCell ref="USA170:USA171"/>
    <mergeCell ref="USB170:USB171"/>
    <mergeCell ref="USC170:USC171"/>
    <mergeCell ref="USD170:USD171"/>
    <mergeCell ref="USE170:USE171"/>
    <mergeCell ref="USF170:USF171"/>
    <mergeCell ref="USN170:USN171"/>
    <mergeCell ref="USO170:USO171"/>
    <mergeCell ref="USP170:USP171"/>
    <mergeCell ref="USQ170:USQ171"/>
    <mergeCell ref="USR170:USR171"/>
    <mergeCell ref="USS170:USS171"/>
    <mergeCell ref="UTA170:UTA171"/>
    <mergeCell ref="UTB170:UTB171"/>
    <mergeCell ref="UTC170:UTC171"/>
    <mergeCell ref="UTD170:UTD171"/>
    <mergeCell ref="UTE170:UTE171"/>
    <mergeCell ref="UTF170:UTF171"/>
    <mergeCell ref="UTN170:UTN171"/>
    <mergeCell ref="UTO170:UTO171"/>
    <mergeCell ref="UTP170:UTP171"/>
    <mergeCell ref="UTQ170:UTQ171"/>
    <mergeCell ref="UTR170:UTR171"/>
    <mergeCell ref="UTS170:UTS171"/>
    <mergeCell ref="UUA170:UUA171"/>
    <mergeCell ref="UUB170:UUB171"/>
    <mergeCell ref="UUC170:UUC171"/>
    <mergeCell ref="UUD170:UUD171"/>
    <mergeCell ref="UUE170:UUE171"/>
    <mergeCell ref="UUF170:UUF171"/>
    <mergeCell ref="UUN170:UUN171"/>
    <mergeCell ref="UUO170:UUO171"/>
    <mergeCell ref="UUP170:UUP171"/>
    <mergeCell ref="UUQ170:UUQ171"/>
    <mergeCell ref="UUR170:UUR171"/>
    <mergeCell ref="UUS170:UUS171"/>
    <mergeCell ref="UVA170:UVA171"/>
    <mergeCell ref="UVB170:UVB171"/>
    <mergeCell ref="UVC170:UVC171"/>
    <mergeCell ref="UVD170:UVD171"/>
    <mergeCell ref="UVE170:UVE171"/>
    <mergeCell ref="UVF170:UVF171"/>
    <mergeCell ref="UVN170:UVN171"/>
    <mergeCell ref="UVO170:UVO171"/>
    <mergeCell ref="UVP170:UVP171"/>
    <mergeCell ref="UVQ170:UVQ171"/>
    <mergeCell ref="UVR170:UVR171"/>
    <mergeCell ref="UVS170:UVS171"/>
    <mergeCell ref="UWA170:UWA171"/>
    <mergeCell ref="UWB170:UWB171"/>
    <mergeCell ref="UWC170:UWC171"/>
    <mergeCell ref="UWD170:UWD171"/>
    <mergeCell ref="UWE170:UWE171"/>
    <mergeCell ref="UWF170:UWF171"/>
    <mergeCell ref="UWN170:UWN171"/>
    <mergeCell ref="UWO170:UWO171"/>
    <mergeCell ref="UWP170:UWP171"/>
    <mergeCell ref="UWQ170:UWQ171"/>
    <mergeCell ref="UWR170:UWR171"/>
    <mergeCell ref="UWS170:UWS171"/>
    <mergeCell ref="UXA170:UXA171"/>
    <mergeCell ref="UXB170:UXB171"/>
    <mergeCell ref="UXC170:UXC171"/>
    <mergeCell ref="UXD170:UXD171"/>
    <mergeCell ref="UXE170:UXE171"/>
    <mergeCell ref="UXF170:UXF171"/>
    <mergeCell ref="UXN170:UXN171"/>
    <mergeCell ref="UXO170:UXO171"/>
    <mergeCell ref="UXP170:UXP171"/>
    <mergeCell ref="UXQ170:UXQ171"/>
    <mergeCell ref="UXR170:UXR171"/>
    <mergeCell ref="UXS170:UXS171"/>
    <mergeCell ref="UYA170:UYA171"/>
    <mergeCell ref="UYB170:UYB171"/>
    <mergeCell ref="UYC170:UYC171"/>
    <mergeCell ref="UYD170:UYD171"/>
    <mergeCell ref="UYE170:UYE171"/>
    <mergeCell ref="UYF170:UYF171"/>
    <mergeCell ref="UYN170:UYN171"/>
    <mergeCell ref="UYO170:UYO171"/>
    <mergeCell ref="UYP170:UYP171"/>
    <mergeCell ref="UYQ170:UYQ171"/>
    <mergeCell ref="UYR170:UYR171"/>
    <mergeCell ref="UYS170:UYS171"/>
    <mergeCell ref="UZA170:UZA171"/>
    <mergeCell ref="UZB170:UZB171"/>
    <mergeCell ref="UZC170:UZC171"/>
    <mergeCell ref="UZD170:UZD171"/>
    <mergeCell ref="UZE170:UZE171"/>
    <mergeCell ref="UZF170:UZF171"/>
    <mergeCell ref="UZN170:UZN171"/>
    <mergeCell ref="UZO170:UZO171"/>
    <mergeCell ref="UZP170:UZP171"/>
    <mergeCell ref="UZQ170:UZQ171"/>
    <mergeCell ref="UZR170:UZR171"/>
    <mergeCell ref="UZS170:UZS171"/>
    <mergeCell ref="VAA170:VAA171"/>
    <mergeCell ref="VAB170:VAB171"/>
    <mergeCell ref="VAC170:VAC171"/>
    <mergeCell ref="VAD170:VAD171"/>
    <mergeCell ref="VAE170:VAE171"/>
    <mergeCell ref="VAF170:VAF171"/>
    <mergeCell ref="VAN170:VAN171"/>
    <mergeCell ref="VAO170:VAO171"/>
    <mergeCell ref="VAP170:VAP171"/>
    <mergeCell ref="VAQ170:VAQ171"/>
    <mergeCell ref="VAR170:VAR171"/>
    <mergeCell ref="VAS170:VAS171"/>
    <mergeCell ref="VBA170:VBA171"/>
    <mergeCell ref="VBB170:VBB171"/>
    <mergeCell ref="VBC170:VBC171"/>
    <mergeCell ref="VBD170:VBD171"/>
    <mergeCell ref="VBE170:VBE171"/>
    <mergeCell ref="VBF170:VBF171"/>
    <mergeCell ref="VBN170:VBN171"/>
    <mergeCell ref="VBO170:VBO171"/>
    <mergeCell ref="VBP170:VBP171"/>
    <mergeCell ref="VBQ170:VBQ171"/>
    <mergeCell ref="VBR170:VBR171"/>
    <mergeCell ref="VBS170:VBS171"/>
    <mergeCell ref="VCA170:VCA171"/>
    <mergeCell ref="VCB170:VCB171"/>
    <mergeCell ref="VCC170:VCC171"/>
    <mergeCell ref="VCD170:VCD171"/>
    <mergeCell ref="VCE170:VCE171"/>
    <mergeCell ref="VCF170:VCF171"/>
    <mergeCell ref="VCN170:VCN171"/>
    <mergeCell ref="VCO170:VCO171"/>
    <mergeCell ref="VCP170:VCP171"/>
    <mergeCell ref="VCQ170:VCQ171"/>
    <mergeCell ref="VCR170:VCR171"/>
    <mergeCell ref="VCS170:VCS171"/>
    <mergeCell ref="VDA170:VDA171"/>
    <mergeCell ref="VDB170:VDB171"/>
    <mergeCell ref="VDC170:VDC171"/>
    <mergeCell ref="VDD170:VDD171"/>
    <mergeCell ref="VDE170:VDE171"/>
    <mergeCell ref="VDF170:VDF171"/>
    <mergeCell ref="VDN170:VDN171"/>
    <mergeCell ref="VDO170:VDO171"/>
    <mergeCell ref="VDP170:VDP171"/>
    <mergeCell ref="VDQ170:VDQ171"/>
    <mergeCell ref="VDR170:VDR171"/>
    <mergeCell ref="VDS170:VDS171"/>
    <mergeCell ref="VEA170:VEA171"/>
    <mergeCell ref="VEB170:VEB171"/>
    <mergeCell ref="VEC170:VEC171"/>
    <mergeCell ref="VED170:VED171"/>
    <mergeCell ref="VEE170:VEE171"/>
    <mergeCell ref="VEF170:VEF171"/>
    <mergeCell ref="VEN170:VEN171"/>
    <mergeCell ref="VEO170:VEO171"/>
    <mergeCell ref="VEP170:VEP171"/>
    <mergeCell ref="VEQ170:VEQ171"/>
    <mergeCell ref="VER170:VER171"/>
    <mergeCell ref="VES170:VES171"/>
    <mergeCell ref="VFA170:VFA171"/>
    <mergeCell ref="VFB170:VFB171"/>
    <mergeCell ref="VFC170:VFC171"/>
    <mergeCell ref="VFD170:VFD171"/>
    <mergeCell ref="VFE170:VFE171"/>
    <mergeCell ref="VFF170:VFF171"/>
    <mergeCell ref="VFN170:VFN171"/>
    <mergeCell ref="VFO170:VFO171"/>
    <mergeCell ref="VFP170:VFP171"/>
    <mergeCell ref="VFQ170:VFQ171"/>
    <mergeCell ref="VFR170:VFR171"/>
    <mergeCell ref="VFS170:VFS171"/>
    <mergeCell ref="VGA170:VGA171"/>
    <mergeCell ref="VGB170:VGB171"/>
    <mergeCell ref="VGC170:VGC171"/>
    <mergeCell ref="VGD170:VGD171"/>
    <mergeCell ref="VGE170:VGE171"/>
    <mergeCell ref="VGF170:VGF171"/>
    <mergeCell ref="VGN170:VGN171"/>
    <mergeCell ref="VGO170:VGO171"/>
    <mergeCell ref="VGP170:VGP171"/>
    <mergeCell ref="VGQ170:VGQ171"/>
    <mergeCell ref="VGR170:VGR171"/>
    <mergeCell ref="VGS170:VGS171"/>
    <mergeCell ref="VHA170:VHA171"/>
    <mergeCell ref="VHB170:VHB171"/>
    <mergeCell ref="VHC170:VHC171"/>
    <mergeCell ref="VHD170:VHD171"/>
    <mergeCell ref="VHE170:VHE171"/>
    <mergeCell ref="VHF170:VHF171"/>
    <mergeCell ref="VHN170:VHN171"/>
    <mergeCell ref="VHO170:VHO171"/>
    <mergeCell ref="VHP170:VHP171"/>
    <mergeCell ref="VHQ170:VHQ171"/>
    <mergeCell ref="VHR170:VHR171"/>
    <mergeCell ref="VHS170:VHS171"/>
    <mergeCell ref="VIA170:VIA171"/>
    <mergeCell ref="VIB170:VIB171"/>
    <mergeCell ref="VIC170:VIC171"/>
    <mergeCell ref="VID170:VID171"/>
    <mergeCell ref="VIE170:VIE171"/>
    <mergeCell ref="VIF170:VIF171"/>
    <mergeCell ref="VIN170:VIN171"/>
    <mergeCell ref="VIO170:VIO171"/>
    <mergeCell ref="VIP170:VIP171"/>
    <mergeCell ref="VIQ170:VIQ171"/>
    <mergeCell ref="VIR170:VIR171"/>
    <mergeCell ref="VIS170:VIS171"/>
    <mergeCell ref="VJA170:VJA171"/>
    <mergeCell ref="VJB170:VJB171"/>
    <mergeCell ref="VJC170:VJC171"/>
    <mergeCell ref="VJD170:VJD171"/>
    <mergeCell ref="VJE170:VJE171"/>
    <mergeCell ref="VJF170:VJF171"/>
    <mergeCell ref="VJN170:VJN171"/>
    <mergeCell ref="VJO170:VJO171"/>
    <mergeCell ref="VJP170:VJP171"/>
    <mergeCell ref="VJQ170:VJQ171"/>
    <mergeCell ref="VJR170:VJR171"/>
    <mergeCell ref="VJS170:VJS171"/>
    <mergeCell ref="VKA170:VKA171"/>
    <mergeCell ref="VKB170:VKB171"/>
    <mergeCell ref="VKC170:VKC171"/>
    <mergeCell ref="VKD170:VKD171"/>
    <mergeCell ref="VKE170:VKE171"/>
    <mergeCell ref="VKF170:VKF171"/>
    <mergeCell ref="VKN170:VKN171"/>
    <mergeCell ref="VKO170:VKO171"/>
    <mergeCell ref="VKP170:VKP171"/>
    <mergeCell ref="VKQ170:VKQ171"/>
    <mergeCell ref="VKR170:VKR171"/>
    <mergeCell ref="VKS170:VKS171"/>
    <mergeCell ref="VLA170:VLA171"/>
    <mergeCell ref="VLB170:VLB171"/>
    <mergeCell ref="VLC170:VLC171"/>
    <mergeCell ref="VLD170:VLD171"/>
    <mergeCell ref="VLE170:VLE171"/>
    <mergeCell ref="VLF170:VLF171"/>
    <mergeCell ref="VLN170:VLN171"/>
    <mergeCell ref="VLO170:VLO171"/>
    <mergeCell ref="VLP170:VLP171"/>
    <mergeCell ref="VLQ170:VLQ171"/>
    <mergeCell ref="VLR170:VLR171"/>
    <mergeCell ref="VLS170:VLS171"/>
    <mergeCell ref="VMA170:VMA171"/>
    <mergeCell ref="VMB170:VMB171"/>
    <mergeCell ref="VMC170:VMC171"/>
    <mergeCell ref="VMD170:VMD171"/>
    <mergeCell ref="VME170:VME171"/>
    <mergeCell ref="VMF170:VMF171"/>
    <mergeCell ref="VMN170:VMN171"/>
    <mergeCell ref="VMO170:VMO171"/>
    <mergeCell ref="VMP170:VMP171"/>
    <mergeCell ref="VMQ170:VMQ171"/>
    <mergeCell ref="VMR170:VMR171"/>
    <mergeCell ref="VMS170:VMS171"/>
    <mergeCell ref="VNA170:VNA171"/>
    <mergeCell ref="VNB170:VNB171"/>
    <mergeCell ref="VNC170:VNC171"/>
    <mergeCell ref="VND170:VND171"/>
    <mergeCell ref="VNE170:VNE171"/>
    <mergeCell ref="VNF170:VNF171"/>
    <mergeCell ref="VNN170:VNN171"/>
    <mergeCell ref="VNO170:VNO171"/>
    <mergeCell ref="VNP170:VNP171"/>
    <mergeCell ref="VNQ170:VNQ171"/>
    <mergeCell ref="VNR170:VNR171"/>
    <mergeCell ref="VNS170:VNS171"/>
    <mergeCell ref="VOA170:VOA171"/>
    <mergeCell ref="VOB170:VOB171"/>
    <mergeCell ref="VOC170:VOC171"/>
    <mergeCell ref="VOD170:VOD171"/>
    <mergeCell ref="VOE170:VOE171"/>
    <mergeCell ref="VOF170:VOF171"/>
    <mergeCell ref="VON170:VON171"/>
    <mergeCell ref="VOO170:VOO171"/>
    <mergeCell ref="VOP170:VOP171"/>
    <mergeCell ref="VOQ170:VOQ171"/>
    <mergeCell ref="VOR170:VOR171"/>
    <mergeCell ref="VOS170:VOS171"/>
    <mergeCell ref="VPA170:VPA171"/>
    <mergeCell ref="VPB170:VPB171"/>
    <mergeCell ref="VPC170:VPC171"/>
    <mergeCell ref="VPD170:VPD171"/>
    <mergeCell ref="VPE170:VPE171"/>
    <mergeCell ref="VPF170:VPF171"/>
    <mergeCell ref="VPN170:VPN171"/>
    <mergeCell ref="VPO170:VPO171"/>
    <mergeCell ref="VPP170:VPP171"/>
    <mergeCell ref="VPQ170:VPQ171"/>
    <mergeCell ref="VPR170:VPR171"/>
    <mergeCell ref="VPS170:VPS171"/>
    <mergeCell ref="VQA170:VQA171"/>
    <mergeCell ref="VQB170:VQB171"/>
    <mergeCell ref="VQC170:VQC171"/>
    <mergeCell ref="VQD170:VQD171"/>
    <mergeCell ref="VQE170:VQE171"/>
    <mergeCell ref="VQF170:VQF171"/>
    <mergeCell ref="VQN170:VQN171"/>
    <mergeCell ref="VQO170:VQO171"/>
    <mergeCell ref="VQP170:VQP171"/>
    <mergeCell ref="VQQ170:VQQ171"/>
    <mergeCell ref="VQR170:VQR171"/>
    <mergeCell ref="VQS170:VQS171"/>
    <mergeCell ref="VRA170:VRA171"/>
    <mergeCell ref="VRB170:VRB171"/>
    <mergeCell ref="VRC170:VRC171"/>
    <mergeCell ref="VRD170:VRD171"/>
    <mergeCell ref="VRE170:VRE171"/>
    <mergeCell ref="VRF170:VRF171"/>
    <mergeCell ref="VRN170:VRN171"/>
    <mergeCell ref="VRO170:VRO171"/>
    <mergeCell ref="VRP170:VRP171"/>
    <mergeCell ref="VRQ170:VRQ171"/>
    <mergeCell ref="VRR170:VRR171"/>
    <mergeCell ref="VRS170:VRS171"/>
    <mergeCell ref="VSA170:VSA171"/>
    <mergeCell ref="VSB170:VSB171"/>
    <mergeCell ref="VSC170:VSC171"/>
    <mergeCell ref="VSD170:VSD171"/>
    <mergeCell ref="VSE170:VSE171"/>
    <mergeCell ref="VSF170:VSF171"/>
    <mergeCell ref="VSN170:VSN171"/>
    <mergeCell ref="VSO170:VSO171"/>
    <mergeCell ref="VSP170:VSP171"/>
    <mergeCell ref="VSQ170:VSQ171"/>
    <mergeCell ref="VSR170:VSR171"/>
    <mergeCell ref="VSS170:VSS171"/>
    <mergeCell ref="VTA170:VTA171"/>
    <mergeCell ref="VTB170:VTB171"/>
    <mergeCell ref="VTC170:VTC171"/>
    <mergeCell ref="VTD170:VTD171"/>
    <mergeCell ref="VTE170:VTE171"/>
    <mergeCell ref="VTF170:VTF171"/>
    <mergeCell ref="VTN170:VTN171"/>
    <mergeCell ref="VTO170:VTO171"/>
    <mergeCell ref="VTP170:VTP171"/>
    <mergeCell ref="VTQ170:VTQ171"/>
    <mergeCell ref="VTR170:VTR171"/>
    <mergeCell ref="VTS170:VTS171"/>
    <mergeCell ref="VUA170:VUA171"/>
    <mergeCell ref="VUB170:VUB171"/>
    <mergeCell ref="VUC170:VUC171"/>
    <mergeCell ref="VUD170:VUD171"/>
    <mergeCell ref="VUE170:VUE171"/>
    <mergeCell ref="VUF170:VUF171"/>
    <mergeCell ref="VUN170:VUN171"/>
    <mergeCell ref="VUO170:VUO171"/>
    <mergeCell ref="VUP170:VUP171"/>
    <mergeCell ref="VUQ170:VUQ171"/>
    <mergeCell ref="VUR170:VUR171"/>
    <mergeCell ref="VUS170:VUS171"/>
    <mergeCell ref="VVA170:VVA171"/>
    <mergeCell ref="VVB170:VVB171"/>
    <mergeCell ref="VVC170:VVC171"/>
    <mergeCell ref="VVD170:VVD171"/>
    <mergeCell ref="VVE170:VVE171"/>
    <mergeCell ref="VVF170:VVF171"/>
    <mergeCell ref="VVN170:VVN171"/>
    <mergeCell ref="VVO170:VVO171"/>
    <mergeCell ref="VVP170:VVP171"/>
    <mergeCell ref="VVQ170:VVQ171"/>
    <mergeCell ref="VVR170:VVR171"/>
    <mergeCell ref="VVS170:VVS171"/>
    <mergeCell ref="VWA170:VWA171"/>
    <mergeCell ref="VWB170:VWB171"/>
    <mergeCell ref="VWC170:VWC171"/>
    <mergeCell ref="VWD170:VWD171"/>
    <mergeCell ref="VWE170:VWE171"/>
    <mergeCell ref="VWF170:VWF171"/>
    <mergeCell ref="VWN170:VWN171"/>
    <mergeCell ref="VWO170:VWO171"/>
    <mergeCell ref="VWP170:VWP171"/>
    <mergeCell ref="VWQ170:VWQ171"/>
    <mergeCell ref="VWR170:VWR171"/>
    <mergeCell ref="VWS170:VWS171"/>
    <mergeCell ref="VXA170:VXA171"/>
    <mergeCell ref="VXB170:VXB171"/>
    <mergeCell ref="VXC170:VXC171"/>
    <mergeCell ref="VXD170:VXD171"/>
    <mergeCell ref="VXE170:VXE171"/>
    <mergeCell ref="VXF170:VXF171"/>
    <mergeCell ref="VXN170:VXN171"/>
    <mergeCell ref="VXO170:VXO171"/>
    <mergeCell ref="VXP170:VXP171"/>
    <mergeCell ref="VXQ170:VXQ171"/>
    <mergeCell ref="VXR170:VXR171"/>
    <mergeCell ref="VXS170:VXS171"/>
    <mergeCell ref="VYA170:VYA171"/>
    <mergeCell ref="VYB170:VYB171"/>
    <mergeCell ref="VYC170:VYC171"/>
    <mergeCell ref="VYD170:VYD171"/>
    <mergeCell ref="VYE170:VYE171"/>
    <mergeCell ref="VYF170:VYF171"/>
    <mergeCell ref="VYN170:VYN171"/>
    <mergeCell ref="VYO170:VYO171"/>
    <mergeCell ref="VYP170:VYP171"/>
    <mergeCell ref="VYQ170:VYQ171"/>
    <mergeCell ref="VYR170:VYR171"/>
    <mergeCell ref="VYS170:VYS171"/>
    <mergeCell ref="VZA170:VZA171"/>
    <mergeCell ref="VZB170:VZB171"/>
    <mergeCell ref="VZC170:VZC171"/>
    <mergeCell ref="VZD170:VZD171"/>
    <mergeCell ref="VZE170:VZE171"/>
    <mergeCell ref="VZF170:VZF171"/>
    <mergeCell ref="VZN170:VZN171"/>
    <mergeCell ref="VZO170:VZO171"/>
    <mergeCell ref="VZP170:VZP171"/>
    <mergeCell ref="VZQ170:VZQ171"/>
    <mergeCell ref="VZR170:VZR171"/>
    <mergeCell ref="VZS170:VZS171"/>
    <mergeCell ref="WAA170:WAA171"/>
    <mergeCell ref="WAB170:WAB171"/>
    <mergeCell ref="WAC170:WAC171"/>
    <mergeCell ref="WAD170:WAD171"/>
    <mergeCell ref="WAE170:WAE171"/>
    <mergeCell ref="WAF170:WAF171"/>
    <mergeCell ref="WAN170:WAN171"/>
    <mergeCell ref="WAO170:WAO171"/>
    <mergeCell ref="WAP170:WAP171"/>
    <mergeCell ref="WAQ170:WAQ171"/>
    <mergeCell ref="WAR170:WAR171"/>
    <mergeCell ref="WAS170:WAS171"/>
    <mergeCell ref="WBA170:WBA171"/>
    <mergeCell ref="WBB170:WBB171"/>
    <mergeCell ref="WBC170:WBC171"/>
    <mergeCell ref="WBD170:WBD171"/>
    <mergeCell ref="WBE170:WBE171"/>
    <mergeCell ref="WBF170:WBF171"/>
    <mergeCell ref="WBN170:WBN171"/>
    <mergeCell ref="WBO170:WBO171"/>
    <mergeCell ref="WBP170:WBP171"/>
    <mergeCell ref="WBQ170:WBQ171"/>
    <mergeCell ref="WBR170:WBR171"/>
    <mergeCell ref="WBS170:WBS171"/>
    <mergeCell ref="WCA170:WCA171"/>
    <mergeCell ref="WCB170:WCB171"/>
    <mergeCell ref="WCC170:WCC171"/>
    <mergeCell ref="WCD170:WCD171"/>
    <mergeCell ref="WCE170:WCE171"/>
    <mergeCell ref="WCF170:WCF171"/>
    <mergeCell ref="WCN170:WCN171"/>
    <mergeCell ref="WCO170:WCO171"/>
    <mergeCell ref="WCP170:WCP171"/>
    <mergeCell ref="WCQ170:WCQ171"/>
    <mergeCell ref="WCR170:WCR171"/>
    <mergeCell ref="WCS170:WCS171"/>
    <mergeCell ref="WDA170:WDA171"/>
    <mergeCell ref="WDB170:WDB171"/>
    <mergeCell ref="WDC170:WDC171"/>
    <mergeCell ref="WDD170:WDD171"/>
    <mergeCell ref="WDE170:WDE171"/>
    <mergeCell ref="WDF170:WDF171"/>
    <mergeCell ref="WDN170:WDN171"/>
    <mergeCell ref="WDO170:WDO171"/>
    <mergeCell ref="WDP170:WDP171"/>
    <mergeCell ref="WDQ170:WDQ171"/>
    <mergeCell ref="WDR170:WDR171"/>
    <mergeCell ref="WDS170:WDS171"/>
    <mergeCell ref="WEA170:WEA171"/>
    <mergeCell ref="WEB170:WEB171"/>
    <mergeCell ref="WEC170:WEC171"/>
    <mergeCell ref="WED170:WED171"/>
    <mergeCell ref="WEE170:WEE171"/>
    <mergeCell ref="WEF170:WEF171"/>
    <mergeCell ref="WEN170:WEN171"/>
    <mergeCell ref="WEO170:WEO171"/>
    <mergeCell ref="WEP170:WEP171"/>
    <mergeCell ref="WEQ170:WEQ171"/>
    <mergeCell ref="WER170:WER171"/>
    <mergeCell ref="WES170:WES171"/>
    <mergeCell ref="WFA170:WFA171"/>
    <mergeCell ref="WFB170:WFB171"/>
    <mergeCell ref="WFC170:WFC171"/>
    <mergeCell ref="WFD170:WFD171"/>
    <mergeCell ref="WFE170:WFE171"/>
    <mergeCell ref="WFF170:WFF171"/>
    <mergeCell ref="WFN170:WFN171"/>
    <mergeCell ref="WFO170:WFO171"/>
    <mergeCell ref="WFP170:WFP171"/>
    <mergeCell ref="WFQ170:WFQ171"/>
    <mergeCell ref="WFR170:WFR171"/>
    <mergeCell ref="WFS170:WFS171"/>
    <mergeCell ref="WGA170:WGA171"/>
    <mergeCell ref="WGB170:WGB171"/>
    <mergeCell ref="WGC170:WGC171"/>
    <mergeCell ref="WGD170:WGD171"/>
    <mergeCell ref="WGE170:WGE171"/>
    <mergeCell ref="WGF170:WGF171"/>
    <mergeCell ref="WGN170:WGN171"/>
    <mergeCell ref="WGO170:WGO171"/>
    <mergeCell ref="WGP170:WGP171"/>
    <mergeCell ref="WGQ170:WGQ171"/>
    <mergeCell ref="WGR170:WGR171"/>
    <mergeCell ref="WGS170:WGS171"/>
    <mergeCell ref="WHA170:WHA171"/>
    <mergeCell ref="WHB170:WHB171"/>
    <mergeCell ref="WHC170:WHC171"/>
    <mergeCell ref="WHD170:WHD171"/>
    <mergeCell ref="WHE170:WHE171"/>
    <mergeCell ref="WHF170:WHF171"/>
    <mergeCell ref="WHN170:WHN171"/>
    <mergeCell ref="WHO170:WHO171"/>
    <mergeCell ref="WHP170:WHP171"/>
    <mergeCell ref="WHQ170:WHQ171"/>
    <mergeCell ref="WHR170:WHR171"/>
    <mergeCell ref="WHS170:WHS171"/>
    <mergeCell ref="WIA170:WIA171"/>
    <mergeCell ref="WIB170:WIB171"/>
    <mergeCell ref="WIC170:WIC171"/>
    <mergeCell ref="WID170:WID171"/>
    <mergeCell ref="WIE170:WIE171"/>
    <mergeCell ref="WIF170:WIF171"/>
    <mergeCell ref="WIN170:WIN171"/>
    <mergeCell ref="WIO170:WIO171"/>
    <mergeCell ref="WIP170:WIP171"/>
    <mergeCell ref="WIQ170:WIQ171"/>
    <mergeCell ref="WIR170:WIR171"/>
    <mergeCell ref="WIS170:WIS171"/>
    <mergeCell ref="WJA170:WJA171"/>
    <mergeCell ref="WJB170:WJB171"/>
    <mergeCell ref="WJC170:WJC171"/>
    <mergeCell ref="WJD170:WJD171"/>
    <mergeCell ref="WJE170:WJE171"/>
    <mergeCell ref="WJF170:WJF171"/>
    <mergeCell ref="WJN170:WJN171"/>
    <mergeCell ref="WJO170:WJO171"/>
    <mergeCell ref="WJP170:WJP171"/>
    <mergeCell ref="WJQ170:WJQ171"/>
    <mergeCell ref="WJR170:WJR171"/>
    <mergeCell ref="WJS170:WJS171"/>
    <mergeCell ref="WKA170:WKA171"/>
    <mergeCell ref="WKB170:WKB171"/>
    <mergeCell ref="WKC170:WKC171"/>
    <mergeCell ref="WKD170:WKD171"/>
    <mergeCell ref="WKE170:WKE171"/>
    <mergeCell ref="WKF170:WKF171"/>
    <mergeCell ref="WKN170:WKN171"/>
    <mergeCell ref="WKO170:WKO171"/>
    <mergeCell ref="WKP170:WKP171"/>
    <mergeCell ref="WKQ170:WKQ171"/>
    <mergeCell ref="WKR170:WKR171"/>
    <mergeCell ref="WKS170:WKS171"/>
    <mergeCell ref="WLA170:WLA171"/>
    <mergeCell ref="WLB170:WLB171"/>
    <mergeCell ref="WLC170:WLC171"/>
    <mergeCell ref="WLD170:WLD171"/>
    <mergeCell ref="WLE170:WLE171"/>
    <mergeCell ref="WLF170:WLF171"/>
    <mergeCell ref="WLN170:WLN171"/>
    <mergeCell ref="WLO170:WLO171"/>
    <mergeCell ref="WLP170:WLP171"/>
    <mergeCell ref="WLQ170:WLQ171"/>
    <mergeCell ref="WLR170:WLR171"/>
    <mergeCell ref="WLS170:WLS171"/>
    <mergeCell ref="WMA170:WMA171"/>
    <mergeCell ref="WMB170:WMB171"/>
    <mergeCell ref="WMC170:WMC171"/>
    <mergeCell ref="WMD170:WMD171"/>
    <mergeCell ref="WME170:WME171"/>
    <mergeCell ref="WMF170:WMF171"/>
    <mergeCell ref="WMN170:WMN171"/>
    <mergeCell ref="WMO170:WMO171"/>
    <mergeCell ref="WMP170:WMP171"/>
    <mergeCell ref="WMQ170:WMQ171"/>
    <mergeCell ref="WMR170:WMR171"/>
    <mergeCell ref="WMS170:WMS171"/>
    <mergeCell ref="WNA170:WNA171"/>
    <mergeCell ref="WNB170:WNB171"/>
    <mergeCell ref="WNC170:WNC171"/>
    <mergeCell ref="WND170:WND171"/>
    <mergeCell ref="WNE170:WNE171"/>
    <mergeCell ref="WNF170:WNF171"/>
    <mergeCell ref="WNN170:WNN171"/>
    <mergeCell ref="WNO170:WNO171"/>
    <mergeCell ref="WNP170:WNP171"/>
    <mergeCell ref="WNQ170:WNQ171"/>
    <mergeCell ref="WNR170:WNR171"/>
    <mergeCell ref="WNS170:WNS171"/>
    <mergeCell ref="WOA170:WOA171"/>
    <mergeCell ref="WOB170:WOB171"/>
    <mergeCell ref="WOC170:WOC171"/>
    <mergeCell ref="WOD170:WOD171"/>
    <mergeCell ref="WOE170:WOE171"/>
    <mergeCell ref="WOF170:WOF171"/>
    <mergeCell ref="WON170:WON171"/>
    <mergeCell ref="WOO170:WOO171"/>
    <mergeCell ref="WOP170:WOP171"/>
    <mergeCell ref="WOQ170:WOQ171"/>
    <mergeCell ref="WOR170:WOR171"/>
    <mergeCell ref="WOS170:WOS171"/>
    <mergeCell ref="WPA170:WPA171"/>
    <mergeCell ref="WPB170:WPB171"/>
    <mergeCell ref="WPC170:WPC171"/>
    <mergeCell ref="WPD170:WPD171"/>
    <mergeCell ref="WPE170:WPE171"/>
    <mergeCell ref="WPF170:WPF171"/>
    <mergeCell ref="WPN170:WPN171"/>
    <mergeCell ref="WPO170:WPO171"/>
    <mergeCell ref="WPP170:WPP171"/>
    <mergeCell ref="WPQ170:WPQ171"/>
    <mergeCell ref="WPR170:WPR171"/>
    <mergeCell ref="WPS170:WPS171"/>
    <mergeCell ref="WQA170:WQA171"/>
    <mergeCell ref="WQB170:WQB171"/>
    <mergeCell ref="WQC170:WQC171"/>
    <mergeCell ref="WQD170:WQD171"/>
    <mergeCell ref="WQE170:WQE171"/>
    <mergeCell ref="WQF170:WQF171"/>
    <mergeCell ref="WQN170:WQN171"/>
    <mergeCell ref="WQO170:WQO171"/>
    <mergeCell ref="WQP170:WQP171"/>
    <mergeCell ref="WQQ170:WQQ171"/>
    <mergeCell ref="WQR170:WQR171"/>
    <mergeCell ref="WQS170:WQS171"/>
    <mergeCell ref="WRA170:WRA171"/>
    <mergeCell ref="WRB170:WRB171"/>
    <mergeCell ref="WRC170:WRC171"/>
    <mergeCell ref="WRD170:WRD171"/>
    <mergeCell ref="WRE170:WRE171"/>
    <mergeCell ref="WRF170:WRF171"/>
    <mergeCell ref="WRN170:WRN171"/>
    <mergeCell ref="WRO170:WRO171"/>
    <mergeCell ref="WRP170:WRP171"/>
    <mergeCell ref="WRQ170:WRQ171"/>
    <mergeCell ref="WRR170:WRR171"/>
    <mergeCell ref="WRS170:WRS171"/>
    <mergeCell ref="WSA170:WSA171"/>
    <mergeCell ref="WSB170:WSB171"/>
    <mergeCell ref="WSC170:WSC171"/>
    <mergeCell ref="WSD170:WSD171"/>
    <mergeCell ref="WSE170:WSE171"/>
    <mergeCell ref="WSF170:WSF171"/>
    <mergeCell ref="WSN170:WSN171"/>
    <mergeCell ref="WSO170:WSO171"/>
    <mergeCell ref="WSP170:WSP171"/>
    <mergeCell ref="WSQ170:WSQ171"/>
    <mergeCell ref="WSR170:WSR171"/>
    <mergeCell ref="WSS170:WSS171"/>
    <mergeCell ref="WTA170:WTA171"/>
    <mergeCell ref="WTB170:WTB171"/>
    <mergeCell ref="WTC170:WTC171"/>
    <mergeCell ref="WTD170:WTD171"/>
    <mergeCell ref="WTE170:WTE171"/>
    <mergeCell ref="WTF170:WTF171"/>
    <mergeCell ref="WTN170:WTN171"/>
    <mergeCell ref="WTO170:WTO171"/>
    <mergeCell ref="WTP170:WTP171"/>
    <mergeCell ref="WTQ170:WTQ171"/>
    <mergeCell ref="WTR170:WTR171"/>
    <mergeCell ref="WTS170:WTS171"/>
    <mergeCell ref="WUA170:WUA171"/>
    <mergeCell ref="WUB170:WUB171"/>
    <mergeCell ref="WUC170:WUC171"/>
    <mergeCell ref="WUD170:WUD171"/>
    <mergeCell ref="WUE170:WUE171"/>
    <mergeCell ref="WUF170:WUF171"/>
    <mergeCell ref="WUN170:WUN171"/>
    <mergeCell ref="WUO170:WUO171"/>
    <mergeCell ref="WUP170:WUP171"/>
    <mergeCell ref="WUQ170:WUQ171"/>
    <mergeCell ref="WUR170:WUR171"/>
    <mergeCell ref="WUS170:WUS171"/>
    <mergeCell ref="WVA170:WVA171"/>
    <mergeCell ref="WVB170:WVB171"/>
    <mergeCell ref="WVC170:WVC171"/>
    <mergeCell ref="WVD170:WVD171"/>
    <mergeCell ref="WVE170:WVE171"/>
    <mergeCell ref="WVF170:WVF171"/>
    <mergeCell ref="WVN170:WVN171"/>
    <mergeCell ref="WVO170:WVO171"/>
    <mergeCell ref="WVP170:WVP171"/>
    <mergeCell ref="WVQ170:WVQ171"/>
    <mergeCell ref="WVR170:WVR171"/>
    <mergeCell ref="WVS170:WVS171"/>
    <mergeCell ref="WWA170:WWA171"/>
    <mergeCell ref="WWB170:WWB171"/>
    <mergeCell ref="WWC170:WWC171"/>
    <mergeCell ref="WWD170:WWD171"/>
    <mergeCell ref="WWE170:WWE171"/>
    <mergeCell ref="WWF170:WWF171"/>
    <mergeCell ref="WWN170:WWN171"/>
    <mergeCell ref="WWO170:WWO171"/>
    <mergeCell ref="WWP170:WWP171"/>
    <mergeCell ref="WWQ170:WWQ171"/>
    <mergeCell ref="WWR170:WWR171"/>
    <mergeCell ref="WWS170:WWS171"/>
    <mergeCell ref="WXA170:WXA171"/>
    <mergeCell ref="WXB170:WXB171"/>
    <mergeCell ref="WXC170:WXC171"/>
    <mergeCell ref="WXD170:WXD171"/>
    <mergeCell ref="WXE170:WXE171"/>
    <mergeCell ref="WXF170:WXF171"/>
    <mergeCell ref="WXN170:WXN171"/>
    <mergeCell ref="WXO170:WXO171"/>
    <mergeCell ref="WXP170:WXP171"/>
    <mergeCell ref="WXQ170:WXQ171"/>
    <mergeCell ref="WXR170:WXR171"/>
    <mergeCell ref="WXS170:WXS171"/>
    <mergeCell ref="WYA170:WYA171"/>
    <mergeCell ref="WYB170:WYB171"/>
    <mergeCell ref="WYC170:WYC171"/>
    <mergeCell ref="WYD170:WYD171"/>
    <mergeCell ref="WYE170:WYE171"/>
    <mergeCell ref="WYF170:WYF171"/>
    <mergeCell ref="WYN170:WYN171"/>
    <mergeCell ref="WYO170:WYO171"/>
    <mergeCell ref="WYP170:WYP171"/>
    <mergeCell ref="WYQ170:WYQ171"/>
    <mergeCell ref="WYR170:WYR171"/>
    <mergeCell ref="WYS170:WYS171"/>
    <mergeCell ref="WZA170:WZA171"/>
    <mergeCell ref="WZB170:WZB171"/>
    <mergeCell ref="WZC170:WZC171"/>
    <mergeCell ref="WZD170:WZD171"/>
    <mergeCell ref="WZE170:WZE171"/>
    <mergeCell ref="WZF170:WZF171"/>
    <mergeCell ref="WZN170:WZN171"/>
    <mergeCell ref="WZO170:WZO171"/>
    <mergeCell ref="WZP170:WZP171"/>
    <mergeCell ref="WZQ170:WZQ171"/>
    <mergeCell ref="WZR170:WZR171"/>
    <mergeCell ref="WZS170:WZS171"/>
    <mergeCell ref="XAA170:XAA171"/>
    <mergeCell ref="XAB170:XAB171"/>
    <mergeCell ref="XAC170:XAC171"/>
    <mergeCell ref="XAD170:XAD171"/>
    <mergeCell ref="XAE170:XAE171"/>
    <mergeCell ref="XAF170:XAF171"/>
    <mergeCell ref="XAN170:XAN171"/>
    <mergeCell ref="XAO170:XAO171"/>
    <mergeCell ref="XAP170:XAP171"/>
    <mergeCell ref="XAQ170:XAQ171"/>
    <mergeCell ref="XAR170:XAR171"/>
    <mergeCell ref="XAS170:XAS171"/>
    <mergeCell ref="XBA170:XBA171"/>
    <mergeCell ref="XBB170:XBB171"/>
    <mergeCell ref="XBC170:XBC171"/>
    <mergeCell ref="XBD170:XBD171"/>
    <mergeCell ref="XBE170:XBE171"/>
    <mergeCell ref="XBF170:XBF171"/>
    <mergeCell ref="XBN170:XBN171"/>
    <mergeCell ref="XBO170:XBO171"/>
    <mergeCell ref="XBP170:XBP171"/>
    <mergeCell ref="XBQ170:XBQ171"/>
    <mergeCell ref="XBR170:XBR171"/>
    <mergeCell ref="XBS170:XBS171"/>
    <mergeCell ref="XCA170:XCA171"/>
    <mergeCell ref="XCB170:XCB171"/>
    <mergeCell ref="XCC170:XCC171"/>
    <mergeCell ref="XCD170:XCD171"/>
    <mergeCell ref="XCE170:XCE171"/>
    <mergeCell ref="XCF170:XCF171"/>
    <mergeCell ref="XCN170:XCN171"/>
    <mergeCell ref="XCO170:XCO171"/>
    <mergeCell ref="XCP170:XCP171"/>
    <mergeCell ref="XCQ170:XCQ171"/>
    <mergeCell ref="XCR170:XCR171"/>
    <mergeCell ref="XCS170:XCS171"/>
    <mergeCell ref="XDA170:XDA171"/>
    <mergeCell ref="XEN170:XEN171"/>
    <mergeCell ref="XEO170:XEO171"/>
    <mergeCell ref="XEP170:XEP171"/>
    <mergeCell ref="XEQ170:XEQ171"/>
    <mergeCell ref="XER170:XER171"/>
    <mergeCell ref="XES170:XES171"/>
    <mergeCell ref="XFA170:XFA171"/>
    <mergeCell ref="XFB170:XFB171"/>
    <mergeCell ref="XFC170:XFC171"/>
    <mergeCell ref="XFD170:XFD171"/>
    <mergeCell ref="XDB170:XDB171"/>
    <mergeCell ref="XDC170:XDC171"/>
    <mergeCell ref="XDD170:XDD171"/>
    <mergeCell ref="XDE170:XDE171"/>
    <mergeCell ref="XDF170:XDF171"/>
    <mergeCell ref="XDN170:XDN171"/>
    <mergeCell ref="XDO170:XDO171"/>
    <mergeCell ref="XDP170:XDP171"/>
    <mergeCell ref="XDQ170:XDQ171"/>
    <mergeCell ref="XDR170:XDR171"/>
    <mergeCell ref="XDS170:XDS171"/>
    <mergeCell ref="XEA170:XEA171"/>
    <mergeCell ref="XEB170:XEB171"/>
    <mergeCell ref="XEC170:XEC171"/>
    <mergeCell ref="XED170:XED171"/>
    <mergeCell ref="XEE170:XEE171"/>
    <mergeCell ref="XEF170:XEF171"/>
  </mergeCells>
  <pageMargins left="0.39370078740157483" right="0.39370078740157483" top="0.78740157480314965" bottom="0.78740157480314965" header="0.31496062992125984" footer="0.31496062992125984"/>
  <pageSetup paperSize="9" orientation="landscape" horizontalDpi="1200" verticalDpi="1200" r:id="rId1"/>
  <rowBreaks count="2" manualBreakCount="2">
    <brk id="63" max="16383" man="1"/>
    <brk id="8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M189"/>
  <sheetViews>
    <sheetView topLeftCell="A57" workbookViewId="0">
      <selection activeCell="D74" sqref="D74:D75"/>
    </sheetView>
  </sheetViews>
  <sheetFormatPr defaultColWidth="9.109375" defaultRowHeight="13.2" x14ac:dyDescent="0.25"/>
  <cols>
    <col min="1" max="1" width="7.5546875" style="110" customWidth="1"/>
    <col min="2" max="2" width="25.44140625" style="110" customWidth="1"/>
    <col min="3" max="3" width="9.109375" style="125"/>
    <col min="4" max="5" width="9.109375" style="110"/>
    <col min="6" max="6" width="20.44140625" style="127" customWidth="1"/>
    <col min="7" max="7" width="9.109375" style="110"/>
    <col min="8" max="8" width="8.88671875" style="110" customWidth="1"/>
    <col min="9" max="9" width="20.6640625" style="127" customWidth="1"/>
    <col min="10" max="10" width="7.109375" style="110" customWidth="1"/>
    <col min="11" max="11" width="7.44140625" style="110" customWidth="1"/>
    <col min="12" max="12" width="19.5546875" style="126" customWidth="1"/>
    <col min="13" max="13" width="14.44140625" style="110" customWidth="1"/>
    <col min="14" max="16384" width="9.109375" style="110"/>
  </cols>
  <sheetData>
    <row r="1" spans="1:13" x14ac:dyDescent="0.25">
      <c r="A1" s="129"/>
      <c r="B1" s="216" t="s">
        <v>250</v>
      </c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129"/>
    </row>
    <row r="2" spans="1:13" x14ac:dyDescent="0.25">
      <c r="A2" s="129"/>
      <c r="B2" s="216" t="s">
        <v>263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129"/>
    </row>
    <row r="3" spans="1:13" x14ac:dyDescent="0.25">
      <c r="A3" s="129"/>
      <c r="B3" s="130" t="s">
        <v>251</v>
      </c>
      <c r="C3" s="131"/>
      <c r="D3" s="129"/>
      <c r="E3" s="129"/>
      <c r="F3" s="132"/>
      <c r="G3" s="129"/>
      <c r="H3" s="129"/>
      <c r="I3" s="132"/>
      <c r="J3" s="129"/>
      <c r="K3" s="129"/>
      <c r="L3" s="133"/>
      <c r="M3" s="129"/>
    </row>
    <row r="4" spans="1:13" ht="27" thickBot="1" x14ac:dyDescent="0.3">
      <c r="A4" s="129"/>
      <c r="B4" s="130" t="s">
        <v>252</v>
      </c>
      <c r="C4" s="131"/>
      <c r="D4" s="129"/>
      <c r="E4" s="129"/>
      <c r="F4" s="132"/>
      <c r="G4" s="129"/>
      <c r="H4" s="129"/>
      <c r="I4" s="132"/>
      <c r="J4" s="129"/>
      <c r="K4" s="129"/>
      <c r="L4" s="133"/>
      <c r="M4" s="129"/>
    </row>
    <row r="5" spans="1:13" ht="27" thickBot="1" x14ac:dyDescent="0.3">
      <c r="A5" s="134" t="s">
        <v>227</v>
      </c>
      <c r="B5" s="135" t="s">
        <v>253</v>
      </c>
      <c r="C5" s="135" t="s">
        <v>254</v>
      </c>
      <c r="D5" s="135" t="s">
        <v>255</v>
      </c>
      <c r="E5" s="135" t="s">
        <v>256</v>
      </c>
      <c r="F5" s="135" t="s">
        <v>257</v>
      </c>
      <c r="G5" s="135" t="s">
        <v>258</v>
      </c>
      <c r="H5" s="135" t="s">
        <v>256</v>
      </c>
      <c r="I5" s="135" t="s">
        <v>257</v>
      </c>
      <c r="J5" s="135" t="s">
        <v>259</v>
      </c>
      <c r="K5" s="135" t="s">
        <v>256</v>
      </c>
      <c r="L5" s="135" t="s">
        <v>257</v>
      </c>
      <c r="M5" s="136" t="s">
        <v>260</v>
      </c>
    </row>
    <row r="6" spans="1:13" x14ac:dyDescent="0.25">
      <c r="A6" s="204"/>
      <c r="B6" s="217" t="s">
        <v>239</v>
      </c>
      <c r="C6" s="208"/>
      <c r="D6" s="210"/>
      <c r="E6" s="212"/>
      <c r="F6" s="214"/>
      <c r="G6" s="137"/>
      <c r="H6" s="138"/>
      <c r="I6" s="139"/>
      <c r="J6" s="137"/>
      <c r="K6" s="138"/>
      <c r="L6" s="140"/>
      <c r="M6" s="138"/>
    </row>
    <row r="7" spans="1:13" ht="13.8" thickBot="1" x14ac:dyDescent="0.3">
      <c r="A7" s="205"/>
      <c r="B7" s="207"/>
      <c r="C7" s="209"/>
      <c r="D7" s="211"/>
      <c r="E7" s="213"/>
      <c r="F7" s="215"/>
      <c r="G7" s="141"/>
      <c r="H7" s="142"/>
      <c r="I7" s="143"/>
      <c r="J7" s="141"/>
      <c r="K7" s="142"/>
      <c r="L7" s="144"/>
      <c r="M7" s="142"/>
    </row>
    <row r="8" spans="1:13" ht="12.75" customHeight="1" x14ac:dyDescent="0.25">
      <c r="A8" s="204">
        <v>1</v>
      </c>
      <c r="B8" s="206" t="s">
        <v>80</v>
      </c>
      <c r="C8" s="208" t="s">
        <v>264</v>
      </c>
      <c r="D8" s="210">
        <v>2</v>
      </c>
      <c r="E8" s="212"/>
      <c r="F8" s="214" t="s">
        <v>280</v>
      </c>
      <c r="G8" s="137">
        <v>1</v>
      </c>
      <c r="H8" s="138"/>
      <c r="I8" s="139" t="s">
        <v>280</v>
      </c>
      <c r="J8" s="137"/>
      <c r="K8" s="138"/>
      <c r="L8" s="140"/>
      <c r="M8" s="138"/>
    </row>
    <row r="9" spans="1:13" ht="13.8" thickBot="1" x14ac:dyDescent="0.3">
      <c r="A9" s="205"/>
      <c r="B9" s="207"/>
      <c r="C9" s="209"/>
      <c r="D9" s="211"/>
      <c r="E9" s="213"/>
      <c r="F9" s="215"/>
      <c r="G9" s="141">
        <v>1</v>
      </c>
      <c r="H9" s="142"/>
      <c r="I9" s="143" t="s">
        <v>280</v>
      </c>
      <c r="J9" s="141"/>
      <c r="K9" s="142"/>
      <c r="L9" s="144"/>
      <c r="M9" s="142"/>
    </row>
    <row r="10" spans="1:13" ht="12.75" customHeight="1" x14ac:dyDescent="0.25">
      <c r="A10" s="204">
        <v>2</v>
      </c>
      <c r="B10" s="206" t="s">
        <v>232</v>
      </c>
      <c r="C10" s="208" t="s">
        <v>264</v>
      </c>
      <c r="D10" s="210">
        <v>2</v>
      </c>
      <c r="E10" s="212"/>
      <c r="F10" s="214" t="s">
        <v>289</v>
      </c>
      <c r="G10" s="137">
        <v>1</v>
      </c>
      <c r="H10" s="138"/>
      <c r="I10" s="139" t="s">
        <v>289</v>
      </c>
      <c r="J10" s="137"/>
      <c r="K10" s="138"/>
      <c r="L10" s="140"/>
      <c r="M10" s="138"/>
    </row>
    <row r="11" spans="1:13" ht="27" thickBot="1" x14ac:dyDescent="0.3">
      <c r="A11" s="205"/>
      <c r="B11" s="207"/>
      <c r="C11" s="209"/>
      <c r="D11" s="211"/>
      <c r="E11" s="213"/>
      <c r="F11" s="215"/>
      <c r="G11" s="141">
        <v>1</v>
      </c>
      <c r="H11" s="142"/>
      <c r="I11" s="143" t="s">
        <v>289</v>
      </c>
      <c r="J11" s="141"/>
      <c r="K11" s="142"/>
      <c r="L11" s="144"/>
      <c r="M11" s="142"/>
    </row>
    <row r="12" spans="1:13" x14ac:dyDescent="0.25">
      <c r="A12" s="204">
        <v>3</v>
      </c>
      <c r="B12" s="206" t="s">
        <v>238</v>
      </c>
      <c r="C12" s="208" t="s">
        <v>268</v>
      </c>
      <c r="D12" s="210">
        <v>2</v>
      </c>
      <c r="E12" s="212"/>
      <c r="F12" s="214" t="s">
        <v>280</v>
      </c>
      <c r="G12" s="137">
        <v>1</v>
      </c>
      <c r="H12" s="138"/>
      <c r="I12" s="139" t="s">
        <v>280</v>
      </c>
      <c r="J12" s="137"/>
      <c r="K12" s="138"/>
      <c r="L12" s="140"/>
      <c r="M12" s="138"/>
    </row>
    <row r="13" spans="1:13" ht="13.8" thickBot="1" x14ac:dyDescent="0.3">
      <c r="A13" s="205"/>
      <c r="B13" s="207"/>
      <c r="C13" s="209"/>
      <c r="D13" s="211"/>
      <c r="E13" s="213"/>
      <c r="F13" s="215"/>
      <c r="G13" s="141">
        <v>1</v>
      </c>
      <c r="H13" s="142"/>
      <c r="I13" s="143" t="s">
        <v>280</v>
      </c>
      <c r="J13" s="141"/>
      <c r="K13" s="142"/>
      <c r="L13" s="144"/>
      <c r="M13" s="142"/>
    </row>
    <row r="14" spans="1:13" x14ac:dyDescent="0.25">
      <c r="A14" s="204">
        <v>4</v>
      </c>
      <c r="B14" s="206" t="s">
        <v>74</v>
      </c>
      <c r="C14" s="208" t="s">
        <v>269</v>
      </c>
      <c r="D14" s="210">
        <v>1</v>
      </c>
      <c r="E14" s="212"/>
      <c r="F14" s="214" t="s">
        <v>240</v>
      </c>
      <c r="G14" s="137">
        <v>2</v>
      </c>
      <c r="H14" s="138"/>
      <c r="I14" s="139" t="s">
        <v>240</v>
      </c>
      <c r="J14" s="137"/>
      <c r="K14" s="138"/>
      <c r="L14" s="140"/>
      <c r="M14" s="138"/>
    </row>
    <row r="15" spans="1:13" ht="13.8" thickBot="1" x14ac:dyDescent="0.3">
      <c r="A15" s="205"/>
      <c r="B15" s="207"/>
      <c r="C15" s="209"/>
      <c r="D15" s="211"/>
      <c r="E15" s="213"/>
      <c r="F15" s="215"/>
      <c r="G15" s="141">
        <v>2</v>
      </c>
      <c r="H15" s="142"/>
      <c r="I15" s="143" t="s">
        <v>240</v>
      </c>
      <c r="J15" s="141"/>
      <c r="K15" s="142"/>
      <c r="L15" s="144"/>
      <c r="M15" s="142"/>
    </row>
    <row r="16" spans="1:13" ht="25.5" customHeight="1" x14ac:dyDescent="0.25">
      <c r="A16" s="204">
        <v>5</v>
      </c>
      <c r="B16" s="206" t="s">
        <v>75</v>
      </c>
      <c r="C16" s="208" t="s">
        <v>270</v>
      </c>
      <c r="D16" s="210">
        <v>1</v>
      </c>
      <c r="E16" s="212"/>
      <c r="F16" s="214" t="s">
        <v>240</v>
      </c>
      <c r="G16" s="137">
        <v>2</v>
      </c>
      <c r="H16" s="138"/>
      <c r="I16" s="139" t="s">
        <v>240</v>
      </c>
      <c r="J16" s="137"/>
      <c r="K16" s="138"/>
      <c r="L16" s="140"/>
      <c r="M16" s="138"/>
    </row>
    <row r="17" spans="1:13" ht="13.8" thickBot="1" x14ac:dyDescent="0.3">
      <c r="A17" s="205"/>
      <c r="B17" s="207"/>
      <c r="C17" s="209"/>
      <c r="D17" s="211"/>
      <c r="E17" s="213"/>
      <c r="F17" s="215"/>
      <c r="G17" s="141"/>
      <c r="H17" s="142"/>
      <c r="I17" s="143"/>
      <c r="J17" s="141"/>
      <c r="K17" s="142"/>
      <c r="L17" s="144"/>
      <c r="M17" s="142"/>
    </row>
    <row r="18" spans="1:13" ht="26.4" x14ac:dyDescent="0.25">
      <c r="A18" s="204">
        <v>6</v>
      </c>
      <c r="B18" s="206" t="s">
        <v>76</v>
      </c>
      <c r="C18" s="208" t="s">
        <v>271</v>
      </c>
      <c r="D18" s="210">
        <v>1</v>
      </c>
      <c r="E18" s="212"/>
      <c r="F18" s="214" t="s">
        <v>244</v>
      </c>
      <c r="G18" s="137">
        <v>2</v>
      </c>
      <c r="H18" s="138"/>
      <c r="I18" s="139" t="s">
        <v>244</v>
      </c>
      <c r="J18" s="137"/>
      <c r="K18" s="138"/>
      <c r="L18" s="140"/>
      <c r="M18" s="138"/>
    </row>
    <row r="19" spans="1:13" ht="27" thickBot="1" x14ac:dyDescent="0.3">
      <c r="A19" s="205"/>
      <c r="B19" s="207"/>
      <c r="C19" s="209"/>
      <c r="D19" s="211"/>
      <c r="E19" s="213"/>
      <c r="F19" s="215"/>
      <c r="G19" s="141">
        <v>2</v>
      </c>
      <c r="H19" s="142"/>
      <c r="I19" s="143" t="s">
        <v>244</v>
      </c>
      <c r="J19" s="141"/>
      <c r="K19" s="142"/>
      <c r="L19" s="144"/>
      <c r="M19" s="142"/>
    </row>
    <row r="20" spans="1:13" ht="25.5" customHeight="1" x14ac:dyDescent="0.25">
      <c r="A20" s="204">
        <v>7</v>
      </c>
      <c r="B20" s="206" t="s">
        <v>79</v>
      </c>
      <c r="C20" s="208" t="s">
        <v>275</v>
      </c>
      <c r="D20" s="210">
        <v>1</v>
      </c>
      <c r="E20" s="212"/>
      <c r="F20" s="214" t="s">
        <v>244</v>
      </c>
      <c r="G20" s="137">
        <v>2</v>
      </c>
      <c r="H20" s="138"/>
      <c r="I20" s="139" t="s">
        <v>244</v>
      </c>
      <c r="J20" s="137"/>
      <c r="K20" s="138"/>
      <c r="L20" s="140"/>
      <c r="M20" s="138"/>
    </row>
    <row r="21" spans="1:13" ht="13.8" thickBot="1" x14ac:dyDescent="0.3">
      <c r="A21" s="205"/>
      <c r="B21" s="207"/>
      <c r="C21" s="209"/>
      <c r="D21" s="211"/>
      <c r="E21" s="213"/>
      <c r="F21" s="215"/>
      <c r="G21" s="141"/>
      <c r="H21" s="142"/>
      <c r="I21" s="143"/>
      <c r="J21" s="141"/>
      <c r="K21" s="142"/>
      <c r="L21" s="144"/>
      <c r="M21" s="142"/>
    </row>
    <row r="22" spans="1:13" ht="12.75" customHeight="1" x14ac:dyDescent="0.25">
      <c r="A22" s="204"/>
      <c r="B22" s="217" t="s">
        <v>245</v>
      </c>
      <c r="C22" s="208"/>
      <c r="D22" s="210"/>
      <c r="E22" s="212"/>
      <c r="F22" s="214"/>
      <c r="G22" s="137"/>
      <c r="H22" s="138"/>
      <c r="I22" s="139"/>
      <c r="J22" s="137"/>
      <c r="K22" s="138"/>
      <c r="L22" s="140"/>
      <c r="M22" s="138"/>
    </row>
    <row r="23" spans="1:13" ht="13.8" thickBot="1" x14ac:dyDescent="0.3">
      <c r="A23" s="205"/>
      <c r="B23" s="207"/>
      <c r="C23" s="209"/>
      <c r="D23" s="211"/>
      <c r="E23" s="213"/>
      <c r="F23" s="215"/>
      <c r="G23" s="141"/>
      <c r="H23" s="142"/>
      <c r="I23" s="143"/>
      <c r="J23" s="141"/>
      <c r="K23" s="142"/>
      <c r="L23" s="144"/>
      <c r="M23" s="142"/>
    </row>
    <row r="24" spans="1:13" ht="25.5" customHeight="1" x14ac:dyDescent="0.25">
      <c r="A24" s="204">
        <v>8</v>
      </c>
      <c r="B24" s="206" t="s">
        <v>64</v>
      </c>
      <c r="C24" s="208" t="s">
        <v>276</v>
      </c>
      <c r="D24" s="210">
        <v>2</v>
      </c>
      <c r="E24" s="212"/>
      <c r="F24" s="214" t="s">
        <v>261</v>
      </c>
      <c r="G24" s="137">
        <v>2</v>
      </c>
      <c r="H24" s="138"/>
      <c r="I24" s="139" t="s">
        <v>288</v>
      </c>
      <c r="J24" s="137"/>
      <c r="K24" s="138"/>
      <c r="L24" s="140"/>
      <c r="M24" s="138"/>
    </row>
    <row r="25" spans="1:13" ht="27" thickBot="1" x14ac:dyDescent="0.3">
      <c r="A25" s="205"/>
      <c r="B25" s="207"/>
      <c r="C25" s="209"/>
      <c r="D25" s="211"/>
      <c r="E25" s="213"/>
      <c r="F25" s="215"/>
      <c r="G25" s="141">
        <v>2</v>
      </c>
      <c r="H25" s="142"/>
      <c r="I25" s="143" t="s">
        <v>261</v>
      </c>
      <c r="J25" s="141"/>
      <c r="K25" s="142"/>
      <c r="L25" s="144"/>
      <c r="M25" s="142"/>
    </row>
    <row r="26" spans="1:13" ht="25.5" customHeight="1" x14ac:dyDescent="0.25">
      <c r="A26" s="204">
        <v>9</v>
      </c>
      <c r="B26" s="206" t="s">
        <v>65</v>
      </c>
      <c r="C26" s="208" t="s">
        <v>276</v>
      </c>
      <c r="D26" s="210">
        <v>3</v>
      </c>
      <c r="E26" s="212"/>
      <c r="F26" s="214" t="s">
        <v>242</v>
      </c>
      <c r="G26" s="137">
        <v>3</v>
      </c>
      <c r="H26" s="138"/>
      <c r="I26" s="139" t="s">
        <v>242</v>
      </c>
      <c r="J26" s="137"/>
      <c r="K26" s="138"/>
      <c r="L26" s="140"/>
      <c r="M26" s="138"/>
    </row>
    <row r="27" spans="1:13" ht="27" thickBot="1" x14ac:dyDescent="0.3">
      <c r="A27" s="205"/>
      <c r="B27" s="207"/>
      <c r="C27" s="209"/>
      <c r="D27" s="211"/>
      <c r="E27" s="213"/>
      <c r="F27" s="215"/>
      <c r="G27" s="141">
        <v>3</v>
      </c>
      <c r="H27" s="142"/>
      <c r="I27" s="143" t="s">
        <v>242</v>
      </c>
      <c r="J27" s="141"/>
      <c r="K27" s="142"/>
      <c r="L27" s="144"/>
      <c r="M27" s="142"/>
    </row>
    <row r="28" spans="1:13" ht="25.5" customHeight="1" x14ac:dyDescent="0.25">
      <c r="A28" s="204">
        <v>10</v>
      </c>
      <c r="B28" s="206" t="s">
        <v>93</v>
      </c>
      <c r="C28" s="208" t="s">
        <v>303</v>
      </c>
      <c r="D28" s="210">
        <v>2</v>
      </c>
      <c r="E28" s="212"/>
      <c r="F28" s="214" t="s">
        <v>277</v>
      </c>
      <c r="G28" s="137">
        <v>2</v>
      </c>
      <c r="H28" s="138"/>
      <c r="I28" s="139" t="s">
        <v>279</v>
      </c>
      <c r="J28" s="137"/>
      <c r="K28" s="138"/>
      <c r="L28" s="140"/>
      <c r="M28" s="138"/>
    </row>
    <row r="29" spans="1:13" ht="27" thickBot="1" x14ac:dyDescent="0.3">
      <c r="A29" s="205"/>
      <c r="B29" s="207"/>
      <c r="C29" s="209"/>
      <c r="D29" s="211"/>
      <c r="E29" s="213"/>
      <c r="F29" s="215"/>
      <c r="G29" s="141">
        <v>2</v>
      </c>
      <c r="H29" s="142"/>
      <c r="I29" s="143" t="s">
        <v>279</v>
      </c>
      <c r="J29" s="141"/>
      <c r="K29" s="142"/>
      <c r="L29" s="144"/>
      <c r="M29" s="142"/>
    </row>
    <row r="30" spans="1:13" x14ac:dyDescent="0.25">
      <c r="A30" s="204"/>
      <c r="B30" s="217" t="s">
        <v>247</v>
      </c>
      <c r="C30" s="208"/>
      <c r="D30" s="210"/>
      <c r="E30" s="212"/>
      <c r="F30" s="214"/>
      <c r="G30" s="137"/>
      <c r="H30" s="138"/>
      <c r="I30" s="139"/>
      <c r="J30" s="137"/>
      <c r="K30" s="138"/>
      <c r="L30" s="140"/>
      <c r="M30" s="138"/>
    </row>
    <row r="31" spans="1:13" ht="13.8" thickBot="1" x14ac:dyDescent="0.3">
      <c r="A31" s="205"/>
      <c r="B31" s="207"/>
      <c r="C31" s="209"/>
      <c r="D31" s="211"/>
      <c r="E31" s="213"/>
      <c r="F31" s="215"/>
      <c r="G31" s="141"/>
      <c r="H31" s="142"/>
      <c r="I31" s="143"/>
      <c r="J31" s="141"/>
      <c r="K31" s="142"/>
      <c r="L31" s="144"/>
      <c r="M31" s="142"/>
    </row>
    <row r="32" spans="1:13" ht="12.75" customHeight="1" x14ac:dyDescent="0.25">
      <c r="A32" s="204">
        <v>11</v>
      </c>
      <c r="B32" s="206" t="s">
        <v>81</v>
      </c>
      <c r="C32" s="208" t="s">
        <v>282</v>
      </c>
      <c r="D32" s="210">
        <v>2</v>
      </c>
      <c r="E32" s="212"/>
      <c r="F32" s="214" t="s">
        <v>249</v>
      </c>
      <c r="G32" s="137">
        <v>2</v>
      </c>
      <c r="H32" s="138"/>
      <c r="I32" s="139" t="s">
        <v>249</v>
      </c>
      <c r="J32" s="137"/>
      <c r="K32" s="138"/>
      <c r="L32" s="140"/>
      <c r="M32" s="138"/>
    </row>
    <row r="33" spans="1:13" ht="27" thickBot="1" x14ac:dyDescent="0.3">
      <c r="A33" s="205"/>
      <c r="B33" s="207"/>
      <c r="C33" s="209"/>
      <c r="D33" s="211"/>
      <c r="E33" s="213"/>
      <c r="F33" s="215"/>
      <c r="G33" s="141">
        <v>2</v>
      </c>
      <c r="H33" s="142"/>
      <c r="I33" s="143" t="s">
        <v>267</v>
      </c>
      <c r="J33" s="141"/>
      <c r="K33" s="142"/>
      <c r="L33" s="144"/>
      <c r="M33" s="142"/>
    </row>
    <row r="34" spans="1:13" ht="25.5" customHeight="1" x14ac:dyDescent="0.25">
      <c r="A34" s="204"/>
      <c r="B34" s="217"/>
      <c r="C34" s="208" t="s">
        <v>283</v>
      </c>
      <c r="D34" s="210"/>
      <c r="E34" s="212"/>
      <c r="F34" s="214"/>
      <c r="G34" s="137">
        <v>2</v>
      </c>
      <c r="H34" s="138"/>
      <c r="I34" s="139" t="s">
        <v>267</v>
      </c>
      <c r="J34" s="137"/>
      <c r="K34" s="138"/>
      <c r="L34" s="140"/>
      <c r="M34" s="138"/>
    </row>
    <row r="35" spans="1:13" ht="13.8" thickBot="1" x14ac:dyDescent="0.3">
      <c r="A35" s="205"/>
      <c r="B35" s="207"/>
      <c r="C35" s="209"/>
      <c r="D35" s="211"/>
      <c r="E35" s="213"/>
      <c r="F35" s="215"/>
      <c r="G35" s="141"/>
      <c r="H35" s="142"/>
      <c r="I35" s="143"/>
      <c r="J35" s="141"/>
      <c r="K35" s="142"/>
      <c r="L35" s="144"/>
      <c r="M35" s="142"/>
    </row>
    <row r="36" spans="1:13" ht="12.75" customHeight="1" x14ac:dyDescent="0.25">
      <c r="A36" s="204">
        <v>12</v>
      </c>
      <c r="B36" s="206" t="s">
        <v>67</v>
      </c>
      <c r="C36" s="208" t="s">
        <v>282</v>
      </c>
      <c r="D36" s="210">
        <v>2</v>
      </c>
      <c r="E36" s="212"/>
      <c r="F36" s="214" t="s">
        <v>277</v>
      </c>
      <c r="G36" s="137">
        <v>2</v>
      </c>
      <c r="H36" s="138"/>
      <c r="I36" s="139" t="s">
        <v>279</v>
      </c>
      <c r="J36" s="137"/>
      <c r="K36" s="138"/>
      <c r="L36" s="140"/>
      <c r="M36" s="138"/>
    </row>
    <row r="37" spans="1:13" ht="27" thickBot="1" x14ac:dyDescent="0.3">
      <c r="A37" s="205"/>
      <c r="B37" s="207"/>
      <c r="C37" s="209"/>
      <c r="D37" s="211"/>
      <c r="E37" s="213"/>
      <c r="F37" s="215"/>
      <c r="G37" s="141">
        <v>2</v>
      </c>
      <c r="H37" s="142"/>
      <c r="I37" s="143" t="s">
        <v>277</v>
      </c>
      <c r="J37" s="141"/>
      <c r="K37" s="142"/>
      <c r="L37" s="144"/>
      <c r="M37" s="142"/>
    </row>
    <row r="38" spans="1:13" ht="25.5" customHeight="1" x14ac:dyDescent="0.25">
      <c r="A38" s="204"/>
      <c r="B38" s="217"/>
      <c r="C38" s="208" t="s">
        <v>283</v>
      </c>
      <c r="D38" s="210"/>
      <c r="E38" s="212"/>
      <c r="F38" s="214"/>
      <c r="G38" s="137">
        <v>2</v>
      </c>
      <c r="H38" s="138"/>
      <c r="I38" s="139" t="s">
        <v>277</v>
      </c>
      <c r="J38" s="137"/>
      <c r="K38" s="138"/>
      <c r="L38" s="140"/>
      <c r="M38" s="138"/>
    </row>
    <row r="39" spans="1:13" ht="13.8" thickBot="1" x14ac:dyDescent="0.3">
      <c r="A39" s="205"/>
      <c r="B39" s="207"/>
      <c r="C39" s="209"/>
      <c r="D39" s="211"/>
      <c r="E39" s="213"/>
      <c r="F39" s="215"/>
      <c r="G39" s="141"/>
      <c r="H39" s="142"/>
      <c r="I39" s="143"/>
      <c r="J39" s="141"/>
      <c r="K39" s="142"/>
      <c r="L39" s="144"/>
      <c r="M39" s="142"/>
    </row>
    <row r="40" spans="1:13" ht="25.5" customHeight="1" x14ac:dyDescent="0.25">
      <c r="A40" s="204">
        <v>13</v>
      </c>
      <c r="B40" s="206" t="s">
        <v>82</v>
      </c>
      <c r="C40" s="208" t="s">
        <v>282</v>
      </c>
      <c r="D40" s="210">
        <v>2</v>
      </c>
      <c r="E40" s="212"/>
      <c r="F40" s="214" t="s">
        <v>241</v>
      </c>
      <c r="G40" s="137">
        <v>2</v>
      </c>
      <c r="H40" s="138"/>
      <c r="I40" s="139" t="s">
        <v>241</v>
      </c>
      <c r="J40" s="137"/>
      <c r="K40" s="138"/>
      <c r="L40" s="140"/>
      <c r="M40" s="138"/>
    </row>
    <row r="41" spans="1:13" ht="27" thickBot="1" x14ac:dyDescent="0.3">
      <c r="A41" s="205"/>
      <c r="B41" s="207"/>
      <c r="C41" s="209"/>
      <c r="D41" s="211"/>
      <c r="E41" s="213"/>
      <c r="F41" s="215"/>
      <c r="G41" s="141">
        <v>2</v>
      </c>
      <c r="H41" s="142"/>
      <c r="I41" s="143" t="s">
        <v>241</v>
      </c>
      <c r="J41" s="141"/>
      <c r="K41" s="142"/>
      <c r="L41" s="144"/>
      <c r="M41" s="142"/>
    </row>
    <row r="42" spans="1:13" ht="25.5" customHeight="1" x14ac:dyDescent="0.25">
      <c r="A42" s="204"/>
      <c r="B42" s="217"/>
      <c r="C42" s="208" t="s">
        <v>283</v>
      </c>
      <c r="D42" s="210"/>
      <c r="E42" s="212"/>
      <c r="F42" s="214"/>
      <c r="G42" s="137">
        <v>2</v>
      </c>
      <c r="H42" s="138"/>
      <c r="I42" s="139" t="s">
        <v>241</v>
      </c>
      <c r="J42" s="137"/>
      <c r="K42" s="138"/>
      <c r="L42" s="140"/>
      <c r="M42" s="138"/>
    </row>
    <row r="43" spans="1:13" ht="13.8" thickBot="1" x14ac:dyDescent="0.3">
      <c r="A43" s="205"/>
      <c r="B43" s="207"/>
      <c r="C43" s="209"/>
      <c r="D43" s="211"/>
      <c r="E43" s="213"/>
      <c r="F43" s="215"/>
      <c r="G43" s="141"/>
      <c r="H43" s="142"/>
      <c r="I43" s="143"/>
      <c r="J43" s="141"/>
      <c r="K43" s="142"/>
      <c r="L43" s="144"/>
      <c r="M43" s="142"/>
    </row>
    <row r="44" spans="1:13" ht="25.5" customHeight="1" x14ac:dyDescent="0.25">
      <c r="A44" s="204">
        <v>14</v>
      </c>
      <c r="B44" s="206" t="s">
        <v>92</v>
      </c>
      <c r="C44" s="208" t="s">
        <v>285</v>
      </c>
      <c r="D44" s="210">
        <v>2</v>
      </c>
      <c r="E44" s="212"/>
      <c r="F44" s="214" t="s">
        <v>304</v>
      </c>
      <c r="G44" s="137">
        <v>2</v>
      </c>
      <c r="H44" s="138"/>
      <c r="I44" s="139" t="s">
        <v>304</v>
      </c>
      <c r="J44" s="137"/>
      <c r="K44" s="138"/>
      <c r="L44" s="140"/>
      <c r="M44" s="138"/>
    </row>
    <row r="45" spans="1:13" ht="27" thickBot="1" x14ac:dyDescent="0.3">
      <c r="A45" s="205"/>
      <c r="B45" s="207"/>
      <c r="C45" s="209"/>
      <c r="D45" s="211"/>
      <c r="E45" s="213"/>
      <c r="F45" s="215"/>
      <c r="G45" s="141">
        <v>2</v>
      </c>
      <c r="H45" s="142"/>
      <c r="I45" s="143" t="s">
        <v>304</v>
      </c>
      <c r="J45" s="141"/>
      <c r="K45" s="142"/>
      <c r="L45" s="144"/>
      <c r="M45" s="142"/>
    </row>
    <row r="46" spans="1:13" ht="25.5" customHeight="1" x14ac:dyDescent="0.25">
      <c r="A46" s="204">
        <v>15</v>
      </c>
      <c r="B46" s="206" t="s">
        <v>94</v>
      </c>
      <c r="C46" s="208" t="s">
        <v>305</v>
      </c>
      <c r="D46" s="210">
        <v>2</v>
      </c>
      <c r="E46" s="212"/>
      <c r="F46" s="214" t="s">
        <v>267</v>
      </c>
      <c r="G46" s="137">
        <v>2</v>
      </c>
      <c r="H46" s="138"/>
      <c r="I46" s="139" t="s">
        <v>267</v>
      </c>
      <c r="J46" s="137"/>
      <c r="K46" s="138"/>
      <c r="L46" s="140"/>
      <c r="M46" s="138"/>
    </row>
    <row r="47" spans="1:13" ht="27" thickBot="1" x14ac:dyDescent="0.3">
      <c r="A47" s="205"/>
      <c r="B47" s="207"/>
      <c r="C47" s="209"/>
      <c r="D47" s="211"/>
      <c r="E47" s="213"/>
      <c r="F47" s="215"/>
      <c r="G47" s="141">
        <v>2</v>
      </c>
      <c r="H47" s="142"/>
      <c r="I47" s="143" t="s">
        <v>267</v>
      </c>
      <c r="J47" s="141"/>
      <c r="K47" s="142"/>
      <c r="L47" s="144"/>
      <c r="M47" s="142"/>
    </row>
    <row r="48" spans="1:13" ht="25.5" customHeight="1" x14ac:dyDescent="0.25">
      <c r="A48" s="204"/>
      <c r="B48" s="217" t="s">
        <v>248</v>
      </c>
      <c r="C48" s="208"/>
      <c r="D48" s="210"/>
      <c r="E48" s="212"/>
      <c r="F48" s="214"/>
      <c r="G48" s="137"/>
      <c r="H48" s="138"/>
      <c r="I48" s="139"/>
      <c r="J48" s="137"/>
      <c r="K48" s="138"/>
      <c r="L48" s="140"/>
      <c r="M48" s="138"/>
    </row>
    <row r="49" spans="1:13" ht="13.8" thickBot="1" x14ac:dyDescent="0.3">
      <c r="A49" s="205"/>
      <c r="B49" s="207"/>
      <c r="C49" s="209"/>
      <c r="D49" s="211"/>
      <c r="E49" s="213"/>
      <c r="F49" s="215"/>
      <c r="G49" s="141"/>
      <c r="H49" s="142"/>
      <c r="I49" s="143"/>
      <c r="J49" s="141"/>
      <c r="K49" s="142"/>
      <c r="L49" s="144"/>
      <c r="M49" s="142"/>
    </row>
    <row r="50" spans="1:13" ht="26.4" x14ac:dyDescent="0.25">
      <c r="A50" s="204">
        <v>16</v>
      </c>
      <c r="B50" s="206" t="s">
        <v>83</v>
      </c>
      <c r="C50" s="208" t="s">
        <v>286</v>
      </c>
      <c r="D50" s="210">
        <v>2</v>
      </c>
      <c r="E50" s="212"/>
      <c r="F50" s="214" t="s">
        <v>261</v>
      </c>
      <c r="G50" s="137">
        <v>2</v>
      </c>
      <c r="H50" s="138"/>
      <c r="I50" s="139" t="s">
        <v>261</v>
      </c>
      <c r="J50" s="137">
        <v>2</v>
      </c>
      <c r="K50" s="138"/>
      <c r="L50" s="140" t="s">
        <v>261</v>
      </c>
      <c r="M50" s="138"/>
    </row>
    <row r="51" spans="1:13" ht="27" thickBot="1" x14ac:dyDescent="0.3">
      <c r="A51" s="205"/>
      <c r="B51" s="207"/>
      <c r="C51" s="209"/>
      <c r="D51" s="211"/>
      <c r="E51" s="213"/>
      <c r="F51" s="215"/>
      <c r="G51" s="141">
        <v>2</v>
      </c>
      <c r="H51" s="142"/>
      <c r="I51" s="143" t="s">
        <v>261</v>
      </c>
      <c r="J51" s="141"/>
      <c r="K51" s="142"/>
      <c r="L51" s="144"/>
      <c r="M51" s="142"/>
    </row>
    <row r="52" spans="1:13" ht="26.4" x14ac:dyDescent="0.25">
      <c r="A52" s="204">
        <v>17</v>
      </c>
      <c r="B52" s="206" t="s">
        <v>69</v>
      </c>
      <c r="C52" s="208" t="s">
        <v>286</v>
      </c>
      <c r="D52" s="210" t="s">
        <v>306</v>
      </c>
      <c r="E52" s="212"/>
      <c r="F52" s="214" t="s">
        <v>249</v>
      </c>
      <c r="G52" s="137">
        <v>2</v>
      </c>
      <c r="H52" s="138"/>
      <c r="I52" s="139" t="s">
        <v>249</v>
      </c>
      <c r="J52" s="137"/>
      <c r="K52" s="138"/>
      <c r="L52" s="140"/>
      <c r="M52" s="138"/>
    </row>
    <row r="53" spans="1:13" ht="27" thickBot="1" x14ac:dyDescent="0.3">
      <c r="A53" s="205"/>
      <c r="B53" s="207"/>
      <c r="C53" s="209"/>
      <c r="D53" s="211"/>
      <c r="E53" s="213"/>
      <c r="F53" s="215"/>
      <c r="G53" s="141">
        <v>2</v>
      </c>
      <c r="H53" s="142"/>
      <c r="I53" s="143" t="s">
        <v>249</v>
      </c>
      <c r="J53" s="141"/>
      <c r="K53" s="142"/>
      <c r="L53" s="144"/>
      <c r="M53" s="142"/>
    </row>
    <row r="54" spans="1:13" ht="25.5" customHeight="1" x14ac:dyDescent="0.25">
      <c r="A54" s="204"/>
      <c r="B54" s="217"/>
      <c r="C54" s="208"/>
      <c r="D54" s="210"/>
      <c r="E54" s="212"/>
      <c r="F54" s="214"/>
      <c r="G54" s="137"/>
      <c r="H54" s="138"/>
      <c r="I54" s="139"/>
      <c r="J54" s="137"/>
      <c r="K54" s="138"/>
      <c r="L54" s="140"/>
      <c r="M54" s="138"/>
    </row>
    <row r="55" spans="1:13" ht="13.8" thickBot="1" x14ac:dyDescent="0.3">
      <c r="A55" s="205"/>
      <c r="B55" s="207"/>
      <c r="C55" s="209"/>
      <c r="D55" s="211"/>
      <c r="E55" s="213"/>
      <c r="F55" s="215"/>
      <c r="G55" s="141"/>
      <c r="H55" s="142"/>
      <c r="I55" s="143"/>
      <c r="J55" s="141"/>
      <c r="K55" s="142"/>
      <c r="L55" s="144"/>
      <c r="M55" s="142"/>
    </row>
    <row r="56" spans="1:13" ht="25.5" customHeight="1" x14ac:dyDescent="0.25">
      <c r="A56" s="204"/>
      <c r="B56" s="217" t="s">
        <v>239</v>
      </c>
      <c r="C56" s="208"/>
      <c r="D56" s="210"/>
      <c r="E56" s="212"/>
      <c r="F56" s="214"/>
      <c r="G56" s="137"/>
      <c r="H56" s="138"/>
      <c r="I56" s="139"/>
      <c r="J56" s="137"/>
      <c r="K56" s="138"/>
      <c r="L56" s="140"/>
      <c r="M56" s="138"/>
    </row>
    <row r="57" spans="1:13" ht="13.8" thickBot="1" x14ac:dyDescent="0.3">
      <c r="A57" s="205"/>
      <c r="B57" s="207"/>
      <c r="C57" s="209"/>
      <c r="D57" s="211"/>
      <c r="E57" s="213"/>
      <c r="F57" s="215"/>
      <c r="G57" s="141"/>
      <c r="H57" s="142"/>
      <c r="I57" s="143"/>
      <c r="J57" s="141"/>
      <c r="K57" s="142"/>
      <c r="L57" s="144"/>
      <c r="M57" s="142"/>
    </row>
    <row r="58" spans="1:13" ht="25.5" customHeight="1" x14ac:dyDescent="0.25">
      <c r="A58" s="204">
        <v>1</v>
      </c>
      <c r="B58" s="206" t="s">
        <v>153</v>
      </c>
      <c r="C58" s="208" t="s">
        <v>290</v>
      </c>
      <c r="D58" s="210" t="s">
        <v>265</v>
      </c>
      <c r="E58" s="212"/>
      <c r="F58" s="214" t="s">
        <v>280</v>
      </c>
      <c r="G58" s="137">
        <v>2</v>
      </c>
      <c r="H58" s="138"/>
      <c r="I58" s="139" t="s">
        <v>280</v>
      </c>
      <c r="J58" s="137"/>
      <c r="K58" s="138"/>
      <c r="L58" s="140"/>
      <c r="M58" s="138"/>
    </row>
    <row r="59" spans="1:13" ht="13.8" thickBot="1" x14ac:dyDescent="0.3">
      <c r="A59" s="205"/>
      <c r="B59" s="207"/>
      <c r="C59" s="209"/>
      <c r="D59" s="211"/>
      <c r="E59" s="213"/>
      <c r="F59" s="215"/>
      <c r="G59" s="141"/>
      <c r="H59" s="142"/>
      <c r="I59" s="143"/>
      <c r="J59" s="141"/>
      <c r="K59" s="142"/>
      <c r="L59" s="144"/>
      <c r="M59" s="142"/>
    </row>
    <row r="60" spans="1:13" x14ac:dyDescent="0.25">
      <c r="A60" s="204">
        <v>2</v>
      </c>
      <c r="B60" s="206" t="s">
        <v>154</v>
      </c>
      <c r="C60" s="208" t="s">
        <v>290</v>
      </c>
      <c r="D60" s="210" t="s">
        <v>265</v>
      </c>
      <c r="E60" s="212"/>
      <c r="F60" s="214" t="s">
        <v>246</v>
      </c>
      <c r="G60" s="137">
        <v>2</v>
      </c>
      <c r="H60" s="138"/>
      <c r="I60" s="139" t="s">
        <v>246</v>
      </c>
      <c r="J60" s="137"/>
      <c r="K60" s="138"/>
      <c r="L60" s="140"/>
      <c r="M60" s="138"/>
    </row>
    <row r="61" spans="1:13" ht="13.8" thickBot="1" x14ac:dyDescent="0.3">
      <c r="A61" s="205"/>
      <c r="B61" s="207"/>
      <c r="C61" s="209"/>
      <c r="D61" s="211"/>
      <c r="E61" s="213"/>
      <c r="F61" s="215"/>
      <c r="G61" s="141"/>
      <c r="H61" s="142"/>
      <c r="I61" s="143"/>
      <c r="J61" s="141"/>
      <c r="K61" s="142"/>
      <c r="L61" s="144"/>
      <c r="M61" s="142"/>
    </row>
    <row r="62" spans="1:13" ht="26.4" x14ac:dyDescent="0.25">
      <c r="A62" s="204">
        <v>3</v>
      </c>
      <c r="B62" s="206" t="s">
        <v>155</v>
      </c>
      <c r="C62" s="208" t="s">
        <v>290</v>
      </c>
      <c r="D62" s="210">
        <v>1</v>
      </c>
      <c r="E62" s="212"/>
      <c r="F62" s="214" t="s">
        <v>243</v>
      </c>
      <c r="G62" s="137">
        <v>1</v>
      </c>
      <c r="H62" s="138"/>
      <c r="I62" s="139" t="s">
        <v>243</v>
      </c>
      <c r="J62" s="137"/>
      <c r="K62" s="138"/>
      <c r="L62" s="140"/>
      <c r="M62" s="138"/>
    </row>
    <row r="63" spans="1:13" ht="13.8" thickBot="1" x14ac:dyDescent="0.3">
      <c r="A63" s="205"/>
      <c r="B63" s="207"/>
      <c r="C63" s="209"/>
      <c r="D63" s="211"/>
      <c r="E63" s="213"/>
      <c r="F63" s="215"/>
      <c r="G63" s="141"/>
      <c r="H63" s="142"/>
      <c r="I63" s="143"/>
      <c r="J63" s="141"/>
      <c r="K63" s="142"/>
      <c r="L63" s="144"/>
      <c r="M63" s="142"/>
    </row>
    <row r="64" spans="1:13" x14ac:dyDescent="0.25">
      <c r="A64" s="204"/>
      <c r="B64" s="217" t="s">
        <v>245</v>
      </c>
      <c r="C64" s="208"/>
      <c r="D64" s="210"/>
      <c r="E64" s="212"/>
      <c r="F64" s="214"/>
      <c r="G64" s="137"/>
      <c r="H64" s="138"/>
      <c r="I64" s="139"/>
      <c r="J64" s="137"/>
      <c r="K64" s="138"/>
      <c r="L64" s="140"/>
      <c r="M64" s="138"/>
    </row>
    <row r="65" spans="1:13" ht="13.8" thickBot="1" x14ac:dyDescent="0.3">
      <c r="A65" s="205"/>
      <c r="B65" s="207"/>
      <c r="C65" s="209"/>
      <c r="D65" s="211"/>
      <c r="E65" s="213"/>
      <c r="F65" s="215"/>
      <c r="G65" s="141"/>
      <c r="H65" s="142"/>
      <c r="I65" s="143"/>
      <c r="J65" s="141"/>
      <c r="K65" s="142"/>
      <c r="L65" s="144"/>
      <c r="M65" s="142"/>
    </row>
    <row r="66" spans="1:13" ht="12.75" customHeight="1" x14ac:dyDescent="0.25">
      <c r="A66" s="204"/>
      <c r="B66" s="217"/>
      <c r="C66" s="208"/>
      <c r="D66" s="210"/>
      <c r="E66" s="212"/>
      <c r="F66" s="214"/>
      <c r="G66" s="137"/>
      <c r="H66" s="138"/>
      <c r="I66" s="139"/>
      <c r="J66" s="137"/>
      <c r="K66" s="138"/>
      <c r="L66" s="140"/>
      <c r="M66" s="138"/>
    </row>
    <row r="67" spans="1:13" ht="13.8" thickBot="1" x14ac:dyDescent="0.3">
      <c r="A67" s="205"/>
      <c r="B67" s="207"/>
      <c r="C67" s="209"/>
      <c r="D67" s="211"/>
      <c r="E67" s="213"/>
      <c r="F67" s="215"/>
      <c r="G67" s="141"/>
      <c r="H67" s="142"/>
      <c r="I67" s="143"/>
      <c r="J67" s="141"/>
      <c r="K67" s="142"/>
      <c r="L67" s="144"/>
      <c r="M67" s="142"/>
    </row>
    <row r="68" spans="1:13" ht="25.5" customHeight="1" x14ac:dyDescent="0.25">
      <c r="A68" s="204"/>
      <c r="B68" s="217" t="s">
        <v>239</v>
      </c>
      <c r="C68" s="208"/>
      <c r="D68" s="210"/>
      <c r="E68" s="212"/>
      <c r="F68" s="214"/>
      <c r="G68" s="137"/>
      <c r="H68" s="138"/>
      <c r="I68" s="139"/>
      <c r="J68" s="137"/>
      <c r="K68" s="138"/>
      <c r="L68" s="140"/>
      <c r="M68" s="138"/>
    </row>
    <row r="69" spans="1:13" ht="13.8" thickBot="1" x14ac:dyDescent="0.3">
      <c r="A69" s="205"/>
      <c r="B69" s="207"/>
      <c r="C69" s="209"/>
      <c r="D69" s="211"/>
      <c r="E69" s="213"/>
      <c r="F69" s="215"/>
      <c r="G69" s="141"/>
      <c r="H69" s="142"/>
      <c r="I69" s="143"/>
      <c r="J69" s="141"/>
      <c r="K69" s="142"/>
      <c r="L69" s="144"/>
      <c r="M69" s="142"/>
    </row>
    <row r="70" spans="1:13" x14ac:dyDescent="0.25">
      <c r="A70" s="204">
        <v>1</v>
      </c>
      <c r="B70" s="206" t="s">
        <v>186</v>
      </c>
      <c r="C70" s="208" t="s">
        <v>294</v>
      </c>
      <c r="D70" s="210">
        <v>2</v>
      </c>
      <c r="E70" s="212"/>
      <c r="F70" s="214" t="s">
        <v>280</v>
      </c>
      <c r="G70" s="137">
        <v>2</v>
      </c>
      <c r="H70" s="138"/>
      <c r="I70" s="139" t="s">
        <v>280</v>
      </c>
      <c r="J70" s="137"/>
      <c r="K70" s="138"/>
      <c r="L70" s="140"/>
      <c r="M70" s="138"/>
    </row>
    <row r="71" spans="1:13" ht="13.8" thickBot="1" x14ac:dyDescent="0.3">
      <c r="A71" s="205"/>
      <c r="B71" s="207"/>
      <c r="C71" s="209"/>
      <c r="D71" s="211"/>
      <c r="E71" s="213"/>
      <c r="F71" s="215"/>
      <c r="G71" s="141">
        <v>2</v>
      </c>
      <c r="H71" s="142"/>
      <c r="I71" s="143" t="s">
        <v>280</v>
      </c>
      <c r="J71" s="141"/>
      <c r="K71" s="142"/>
      <c r="L71" s="144"/>
      <c r="M71" s="142"/>
    </row>
    <row r="72" spans="1:13" x14ac:dyDescent="0.25">
      <c r="A72" s="204"/>
      <c r="B72" s="217"/>
      <c r="C72" s="208" t="s">
        <v>295</v>
      </c>
      <c r="D72" s="210"/>
      <c r="E72" s="212"/>
      <c r="F72" s="214"/>
      <c r="G72" s="137">
        <v>2</v>
      </c>
      <c r="H72" s="138"/>
      <c r="I72" s="139" t="s">
        <v>280</v>
      </c>
      <c r="J72" s="137"/>
      <c r="K72" s="138"/>
      <c r="L72" s="140"/>
      <c r="M72" s="138"/>
    </row>
    <row r="73" spans="1:13" ht="13.8" thickBot="1" x14ac:dyDescent="0.3">
      <c r="A73" s="205"/>
      <c r="B73" s="207"/>
      <c r="C73" s="209"/>
      <c r="D73" s="211"/>
      <c r="E73" s="213"/>
      <c r="F73" s="215"/>
      <c r="G73" s="141"/>
      <c r="H73" s="142"/>
      <c r="I73" s="143"/>
      <c r="J73" s="141"/>
      <c r="K73" s="142"/>
      <c r="L73" s="144"/>
      <c r="M73" s="142"/>
    </row>
    <row r="74" spans="1:13" x14ac:dyDescent="0.25">
      <c r="A74" s="204">
        <v>2</v>
      </c>
      <c r="B74" s="206" t="s">
        <v>175</v>
      </c>
      <c r="C74" s="208" t="s">
        <v>294</v>
      </c>
      <c r="D74" s="210">
        <v>2</v>
      </c>
      <c r="E74" s="212"/>
      <c r="F74" s="214" t="s">
        <v>272</v>
      </c>
      <c r="G74" s="137">
        <v>2</v>
      </c>
      <c r="H74" s="138"/>
      <c r="I74" s="139" t="s">
        <v>272</v>
      </c>
      <c r="J74" s="137"/>
      <c r="K74" s="138"/>
      <c r="L74" s="140"/>
      <c r="M74" s="138"/>
    </row>
    <row r="75" spans="1:13" ht="13.8" thickBot="1" x14ac:dyDescent="0.3">
      <c r="A75" s="205"/>
      <c r="B75" s="207"/>
      <c r="C75" s="209"/>
      <c r="D75" s="211"/>
      <c r="E75" s="213"/>
      <c r="F75" s="215"/>
      <c r="G75" s="141">
        <v>2</v>
      </c>
      <c r="H75" s="142"/>
      <c r="I75" s="143" t="s">
        <v>272</v>
      </c>
      <c r="J75" s="141"/>
      <c r="K75" s="142"/>
      <c r="L75" s="144"/>
      <c r="M75" s="142"/>
    </row>
    <row r="76" spans="1:13" x14ac:dyDescent="0.25">
      <c r="A76" s="204"/>
      <c r="B76" s="217"/>
      <c r="C76" s="208" t="s">
        <v>295</v>
      </c>
      <c r="D76" s="210"/>
      <c r="E76" s="212"/>
      <c r="F76" s="214"/>
      <c r="G76" s="137">
        <v>2</v>
      </c>
      <c r="H76" s="138"/>
      <c r="I76" s="139" t="s">
        <v>272</v>
      </c>
      <c r="J76" s="137"/>
      <c r="K76" s="138"/>
      <c r="L76" s="140"/>
      <c r="M76" s="138"/>
    </row>
    <row r="77" spans="1:13" ht="13.8" thickBot="1" x14ac:dyDescent="0.3">
      <c r="A77" s="205"/>
      <c r="B77" s="207"/>
      <c r="C77" s="209"/>
      <c r="D77" s="211"/>
      <c r="E77" s="213"/>
      <c r="F77" s="215"/>
      <c r="G77" s="141"/>
      <c r="H77" s="142"/>
      <c r="I77" s="143"/>
      <c r="J77" s="141"/>
      <c r="K77" s="142"/>
      <c r="L77" s="144"/>
      <c r="M77" s="142"/>
    </row>
    <row r="78" spans="1:13" x14ac:dyDescent="0.25">
      <c r="A78" s="204">
        <v>3</v>
      </c>
      <c r="B78" s="206" t="s">
        <v>182</v>
      </c>
      <c r="C78" s="208" t="s">
        <v>296</v>
      </c>
      <c r="D78" s="210">
        <v>0</v>
      </c>
      <c r="E78" s="212"/>
      <c r="F78" s="214"/>
      <c r="G78" s="137">
        <v>2</v>
      </c>
      <c r="H78" s="138"/>
      <c r="I78" s="139" t="s">
        <v>272</v>
      </c>
      <c r="J78" s="137"/>
      <c r="K78" s="138"/>
      <c r="L78" s="140"/>
      <c r="M78" s="138"/>
    </row>
    <row r="79" spans="1:13" ht="13.8" thickBot="1" x14ac:dyDescent="0.3">
      <c r="A79" s="205"/>
      <c r="B79" s="207"/>
      <c r="C79" s="209"/>
      <c r="D79" s="211"/>
      <c r="E79" s="213"/>
      <c r="F79" s="215"/>
      <c r="G79" s="141">
        <v>2</v>
      </c>
      <c r="H79" s="142"/>
      <c r="I79" s="143" t="s">
        <v>272</v>
      </c>
      <c r="J79" s="141"/>
      <c r="K79" s="142"/>
      <c r="L79" s="144"/>
      <c r="M79" s="142"/>
    </row>
    <row r="80" spans="1:13" x14ac:dyDescent="0.25">
      <c r="A80" s="204">
        <v>4</v>
      </c>
      <c r="B80" s="206" t="s">
        <v>191</v>
      </c>
      <c r="C80" s="208" t="s">
        <v>296</v>
      </c>
      <c r="D80" s="210">
        <v>0</v>
      </c>
      <c r="E80" s="212"/>
      <c r="F80" s="214"/>
      <c r="G80" s="137">
        <v>2</v>
      </c>
      <c r="H80" s="138"/>
      <c r="I80" s="139" t="s">
        <v>280</v>
      </c>
      <c r="J80" s="137"/>
      <c r="K80" s="138"/>
      <c r="L80" s="140"/>
      <c r="M80" s="138"/>
    </row>
    <row r="81" spans="1:13" ht="13.8" thickBot="1" x14ac:dyDescent="0.3">
      <c r="A81" s="205"/>
      <c r="B81" s="207"/>
      <c r="C81" s="209"/>
      <c r="D81" s="211"/>
      <c r="E81" s="213"/>
      <c r="F81" s="215"/>
      <c r="G81" s="141">
        <v>2</v>
      </c>
      <c r="H81" s="142"/>
      <c r="I81" s="143" t="s">
        <v>280</v>
      </c>
      <c r="J81" s="141"/>
      <c r="K81" s="142"/>
      <c r="L81" s="144"/>
      <c r="M81" s="142"/>
    </row>
    <row r="82" spans="1:13" x14ac:dyDescent="0.25">
      <c r="A82" s="204">
        <v>5</v>
      </c>
      <c r="B82" s="206" t="s">
        <v>195</v>
      </c>
      <c r="C82" s="208" t="s">
        <v>307</v>
      </c>
      <c r="D82" s="210">
        <v>2</v>
      </c>
      <c r="E82" s="212"/>
      <c r="F82" s="214" t="s">
        <v>280</v>
      </c>
      <c r="G82" s="137">
        <v>1</v>
      </c>
      <c r="H82" s="138"/>
      <c r="I82" s="139" t="s">
        <v>280</v>
      </c>
      <c r="J82" s="137"/>
      <c r="K82" s="138"/>
      <c r="L82" s="140"/>
      <c r="M82" s="138"/>
    </row>
    <row r="83" spans="1:13" ht="13.8" thickBot="1" x14ac:dyDescent="0.3">
      <c r="A83" s="205"/>
      <c r="B83" s="207"/>
      <c r="C83" s="209"/>
      <c r="D83" s="211"/>
      <c r="E83" s="213"/>
      <c r="F83" s="215"/>
      <c r="G83" s="141">
        <v>1</v>
      </c>
      <c r="H83" s="142"/>
      <c r="I83" s="143" t="s">
        <v>280</v>
      </c>
      <c r="J83" s="141"/>
      <c r="K83" s="142"/>
      <c r="L83" s="144"/>
      <c r="M83" s="142"/>
    </row>
    <row r="84" spans="1:13" x14ac:dyDescent="0.25">
      <c r="A84" s="204"/>
      <c r="B84" s="217" t="s">
        <v>245</v>
      </c>
      <c r="C84" s="208"/>
      <c r="D84" s="210"/>
      <c r="E84" s="212"/>
      <c r="F84" s="214"/>
      <c r="G84" s="137"/>
      <c r="H84" s="138"/>
      <c r="I84" s="139"/>
      <c r="J84" s="137"/>
      <c r="K84" s="138"/>
      <c r="L84" s="140"/>
      <c r="M84" s="138"/>
    </row>
    <row r="85" spans="1:13" ht="13.8" thickBot="1" x14ac:dyDescent="0.3">
      <c r="A85" s="205"/>
      <c r="B85" s="207"/>
      <c r="C85" s="209"/>
      <c r="D85" s="211"/>
      <c r="E85" s="213"/>
      <c r="F85" s="215"/>
      <c r="G85" s="141"/>
      <c r="H85" s="142"/>
      <c r="I85" s="143"/>
      <c r="J85" s="141"/>
      <c r="K85" s="142"/>
      <c r="L85" s="144"/>
      <c r="M85" s="142"/>
    </row>
    <row r="86" spans="1:13" ht="26.4" x14ac:dyDescent="0.25">
      <c r="A86" s="204">
        <v>6</v>
      </c>
      <c r="B86" s="206" t="s">
        <v>187</v>
      </c>
      <c r="C86" s="208" t="s">
        <v>297</v>
      </c>
      <c r="D86" s="210">
        <v>2</v>
      </c>
      <c r="E86" s="212"/>
      <c r="F86" s="214" t="s">
        <v>289</v>
      </c>
      <c r="G86" s="137">
        <v>2</v>
      </c>
      <c r="H86" s="138"/>
      <c r="I86" s="139" t="s">
        <v>289</v>
      </c>
      <c r="J86" s="137"/>
      <c r="K86" s="138"/>
      <c r="L86" s="140"/>
      <c r="M86" s="138"/>
    </row>
    <row r="87" spans="1:13" ht="28.5" customHeight="1" thickBot="1" x14ac:dyDescent="0.3">
      <c r="A87" s="205"/>
      <c r="B87" s="207"/>
      <c r="C87" s="209"/>
      <c r="D87" s="211"/>
      <c r="E87" s="213"/>
      <c r="F87" s="215"/>
      <c r="G87" s="141">
        <v>2</v>
      </c>
      <c r="H87" s="142"/>
      <c r="I87" s="143" t="s">
        <v>289</v>
      </c>
      <c r="J87" s="141"/>
      <c r="K87" s="142"/>
      <c r="L87" s="144"/>
      <c r="M87" s="142"/>
    </row>
    <row r="88" spans="1:13" ht="26.4" x14ac:dyDescent="0.25">
      <c r="A88" s="204">
        <v>7</v>
      </c>
      <c r="B88" s="206" t="s">
        <v>192</v>
      </c>
      <c r="C88" s="208" t="s">
        <v>298</v>
      </c>
      <c r="D88" s="210">
        <v>0</v>
      </c>
      <c r="E88" s="212"/>
      <c r="F88" s="214"/>
      <c r="G88" s="137">
        <v>2</v>
      </c>
      <c r="H88" s="138"/>
      <c r="I88" s="139" t="s">
        <v>289</v>
      </c>
      <c r="J88" s="137"/>
      <c r="K88" s="138"/>
      <c r="L88" s="140"/>
      <c r="M88" s="138"/>
    </row>
    <row r="89" spans="1:13" ht="30.75" customHeight="1" thickBot="1" x14ac:dyDescent="0.3">
      <c r="A89" s="205"/>
      <c r="B89" s="207"/>
      <c r="C89" s="209"/>
      <c r="D89" s="211"/>
      <c r="E89" s="213"/>
      <c r="F89" s="215"/>
      <c r="G89" s="141">
        <v>2</v>
      </c>
      <c r="H89" s="142"/>
      <c r="I89" s="143" t="s">
        <v>289</v>
      </c>
      <c r="J89" s="141"/>
      <c r="K89" s="142"/>
      <c r="L89" s="144"/>
      <c r="M89" s="142"/>
    </row>
    <row r="90" spans="1:13" x14ac:dyDescent="0.25">
      <c r="A90" s="204"/>
      <c r="B90" s="217" t="s">
        <v>247</v>
      </c>
      <c r="C90" s="208"/>
      <c r="D90" s="210"/>
      <c r="E90" s="212"/>
      <c r="F90" s="214"/>
      <c r="G90" s="137"/>
      <c r="H90" s="138"/>
      <c r="I90" s="139"/>
      <c r="J90" s="137"/>
      <c r="K90" s="138"/>
      <c r="L90" s="140"/>
      <c r="M90" s="138"/>
    </row>
    <row r="91" spans="1:13" ht="13.8" thickBot="1" x14ac:dyDescent="0.3">
      <c r="A91" s="205"/>
      <c r="B91" s="207"/>
      <c r="C91" s="209"/>
      <c r="D91" s="211"/>
      <c r="E91" s="213"/>
      <c r="F91" s="215"/>
      <c r="G91" s="141"/>
      <c r="H91" s="142"/>
      <c r="I91" s="143"/>
      <c r="J91" s="141"/>
      <c r="K91" s="142"/>
      <c r="L91" s="144"/>
      <c r="M91" s="142"/>
    </row>
    <row r="92" spans="1:13" x14ac:dyDescent="0.25">
      <c r="A92" s="204"/>
      <c r="B92" s="217" t="s">
        <v>248</v>
      </c>
      <c r="C92" s="208"/>
      <c r="D92" s="210"/>
      <c r="E92" s="212"/>
      <c r="F92" s="214"/>
      <c r="G92" s="137"/>
      <c r="H92" s="138"/>
      <c r="I92" s="139"/>
      <c r="J92" s="137"/>
      <c r="K92" s="138"/>
      <c r="L92" s="140"/>
      <c r="M92" s="138"/>
    </row>
    <row r="93" spans="1:13" ht="24" customHeight="1" thickBot="1" x14ac:dyDescent="0.3">
      <c r="A93" s="205"/>
      <c r="B93" s="207"/>
      <c r="C93" s="209"/>
      <c r="D93" s="211"/>
      <c r="E93" s="213"/>
      <c r="F93" s="215"/>
      <c r="G93" s="141"/>
      <c r="H93" s="142"/>
      <c r="I93" s="143"/>
      <c r="J93" s="141"/>
      <c r="K93" s="142"/>
      <c r="L93" s="144"/>
      <c r="M93" s="142"/>
    </row>
    <row r="94" spans="1:13" ht="26.4" x14ac:dyDescent="0.25">
      <c r="A94" s="204">
        <v>8</v>
      </c>
      <c r="B94" s="206" t="s">
        <v>188</v>
      </c>
      <c r="C94" s="208" t="s">
        <v>301</v>
      </c>
      <c r="D94" s="210">
        <v>3</v>
      </c>
      <c r="E94" s="212"/>
      <c r="F94" s="214" t="s">
        <v>243</v>
      </c>
      <c r="G94" s="137">
        <v>6</v>
      </c>
      <c r="H94" s="138"/>
      <c r="I94" s="139" t="s">
        <v>243</v>
      </c>
      <c r="J94" s="137"/>
      <c r="K94" s="138"/>
      <c r="L94" s="140"/>
      <c r="M94" s="138"/>
    </row>
    <row r="95" spans="1:13" ht="28.5" customHeight="1" thickBot="1" x14ac:dyDescent="0.3">
      <c r="A95" s="205"/>
      <c r="B95" s="207"/>
      <c r="C95" s="209"/>
      <c r="D95" s="211"/>
      <c r="E95" s="213"/>
      <c r="F95" s="215"/>
      <c r="G95" s="141">
        <v>6</v>
      </c>
      <c r="H95" s="142"/>
      <c r="I95" s="143" t="s">
        <v>243</v>
      </c>
      <c r="J95" s="141"/>
      <c r="K95" s="142"/>
      <c r="L95" s="144"/>
      <c r="M95" s="142"/>
    </row>
    <row r="96" spans="1:13" ht="26.4" x14ac:dyDescent="0.25">
      <c r="A96" s="204">
        <v>9</v>
      </c>
      <c r="B96" s="206" t="s">
        <v>189</v>
      </c>
      <c r="C96" s="208" t="s">
        <v>301</v>
      </c>
      <c r="D96" s="210">
        <v>3</v>
      </c>
      <c r="E96" s="212"/>
      <c r="F96" s="214" t="s">
        <v>308</v>
      </c>
      <c r="G96" s="137">
        <v>5</v>
      </c>
      <c r="H96" s="138"/>
      <c r="I96" s="139" t="s">
        <v>308</v>
      </c>
      <c r="J96" s="137"/>
      <c r="K96" s="138"/>
      <c r="L96" s="140"/>
      <c r="M96" s="138"/>
    </row>
    <row r="97" spans="1:13" ht="27" thickBot="1" x14ac:dyDescent="0.3">
      <c r="A97" s="205"/>
      <c r="B97" s="207"/>
      <c r="C97" s="209"/>
      <c r="D97" s="211"/>
      <c r="E97" s="213"/>
      <c r="F97" s="215"/>
      <c r="G97" s="141">
        <v>5</v>
      </c>
      <c r="H97" s="142"/>
      <c r="I97" s="143" t="s">
        <v>308</v>
      </c>
      <c r="J97" s="141"/>
      <c r="K97" s="142"/>
      <c r="L97" s="144"/>
      <c r="M97" s="142"/>
    </row>
    <row r="98" spans="1:13" ht="26.4" x14ac:dyDescent="0.25">
      <c r="A98" s="204">
        <v>10</v>
      </c>
      <c r="B98" s="206" t="s">
        <v>190</v>
      </c>
      <c r="C98" s="208" t="s">
        <v>301</v>
      </c>
      <c r="D98" s="210">
        <v>2</v>
      </c>
      <c r="E98" s="212"/>
      <c r="F98" s="214" t="s">
        <v>244</v>
      </c>
      <c r="G98" s="137">
        <v>6</v>
      </c>
      <c r="H98" s="138"/>
      <c r="I98" s="139" t="s">
        <v>244</v>
      </c>
      <c r="J98" s="137"/>
      <c r="K98" s="138"/>
      <c r="L98" s="140"/>
      <c r="M98" s="138"/>
    </row>
    <row r="99" spans="1:13" ht="54.75" customHeight="1" thickBot="1" x14ac:dyDescent="0.3">
      <c r="A99" s="205"/>
      <c r="B99" s="207"/>
      <c r="C99" s="209"/>
      <c r="D99" s="211"/>
      <c r="E99" s="213"/>
      <c r="F99" s="215"/>
      <c r="G99" s="141">
        <v>6</v>
      </c>
      <c r="H99" s="142"/>
      <c r="I99" s="143" t="s">
        <v>244</v>
      </c>
      <c r="J99" s="141"/>
      <c r="K99" s="142"/>
      <c r="L99" s="144"/>
      <c r="M99" s="142"/>
    </row>
    <row r="100" spans="1:13" ht="26.4" x14ac:dyDescent="0.25">
      <c r="A100" s="204">
        <v>11</v>
      </c>
      <c r="B100" s="206" t="s">
        <v>193</v>
      </c>
      <c r="C100" s="208" t="s">
        <v>302</v>
      </c>
      <c r="D100" s="210">
        <v>0</v>
      </c>
      <c r="E100" s="212"/>
      <c r="F100" s="214"/>
      <c r="G100" s="137">
        <v>5</v>
      </c>
      <c r="H100" s="138"/>
      <c r="I100" s="139" t="s">
        <v>304</v>
      </c>
      <c r="J100" s="137"/>
      <c r="K100" s="138"/>
      <c r="L100" s="140"/>
      <c r="M100" s="138"/>
    </row>
    <row r="101" spans="1:13" ht="43.5" customHeight="1" thickBot="1" x14ac:dyDescent="0.3">
      <c r="A101" s="205"/>
      <c r="B101" s="207"/>
      <c r="C101" s="209"/>
      <c r="D101" s="211"/>
      <c r="E101" s="213"/>
      <c r="F101" s="215"/>
      <c r="G101" s="141">
        <v>5</v>
      </c>
      <c r="H101" s="142"/>
      <c r="I101" s="143" t="s">
        <v>304</v>
      </c>
      <c r="J101" s="141"/>
      <c r="K101" s="142"/>
      <c r="L101" s="144"/>
      <c r="M101" s="142"/>
    </row>
    <row r="102" spans="1:13" ht="26.4" x14ac:dyDescent="0.25">
      <c r="A102" s="204">
        <v>12</v>
      </c>
      <c r="B102" s="206" t="s">
        <v>194</v>
      </c>
      <c r="C102" s="208" t="s">
        <v>302</v>
      </c>
      <c r="D102" s="210">
        <v>4</v>
      </c>
      <c r="E102" s="212"/>
      <c r="F102" s="214" t="s">
        <v>244</v>
      </c>
      <c r="G102" s="137">
        <v>4</v>
      </c>
      <c r="H102" s="138"/>
      <c r="I102" s="139" t="s">
        <v>244</v>
      </c>
      <c r="J102" s="137"/>
      <c r="K102" s="138"/>
      <c r="L102" s="140"/>
      <c r="M102" s="138"/>
    </row>
    <row r="103" spans="1:13" ht="27" thickBot="1" x14ac:dyDescent="0.3">
      <c r="A103" s="205"/>
      <c r="B103" s="207"/>
      <c r="C103" s="209"/>
      <c r="D103" s="211"/>
      <c r="E103" s="213"/>
      <c r="F103" s="215"/>
      <c r="G103" s="141">
        <v>4</v>
      </c>
      <c r="H103" s="142"/>
      <c r="I103" s="143" t="s">
        <v>244</v>
      </c>
      <c r="J103" s="141"/>
      <c r="K103" s="142"/>
      <c r="L103" s="144"/>
      <c r="M103" s="142"/>
    </row>
    <row r="104" spans="1:13" x14ac:dyDescent="0.25">
      <c r="A104" s="204"/>
      <c r="B104" s="217"/>
      <c r="C104" s="208"/>
      <c r="D104" s="210"/>
      <c r="E104" s="212"/>
      <c r="F104" s="214"/>
      <c r="G104" s="137"/>
      <c r="H104" s="138"/>
      <c r="I104" s="139"/>
      <c r="J104" s="137"/>
      <c r="K104" s="138"/>
      <c r="L104" s="140"/>
      <c r="M104" s="138"/>
    </row>
    <row r="105" spans="1:13" ht="13.8" thickBot="1" x14ac:dyDescent="0.3">
      <c r="A105" s="205"/>
      <c r="B105" s="207"/>
      <c r="C105" s="209"/>
      <c r="D105" s="211"/>
      <c r="E105" s="213"/>
      <c r="F105" s="215"/>
      <c r="G105" s="141"/>
      <c r="H105" s="142"/>
      <c r="I105" s="143"/>
      <c r="J105" s="141"/>
      <c r="K105" s="142"/>
      <c r="L105" s="144"/>
      <c r="M105" s="142"/>
    </row>
    <row r="106" spans="1:13" x14ac:dyDescent="0.25">
      <c r="A106" s="204"/>
      <c r="B106" s="217"/>
      <c r="C106" s="208"/>
      <c r="D106" s="210"/>
      <c r="E106" s="212"/>
      <c r="F106" s="214"/>
      <c r="G106" s="137"/>
      <c r="H106" s="138"/>
      <c r="I106" s="139"/>
      <c r="J106" s="137"/>
      <c r="K106" s="138"/>
      <c r="L106" s="140"/>
      <c r="M106" s="138"/>
    </row>
    <row r="107" spans="1:13" ht="13.8" thickBot="1" x14ac:dyDescent="0.3">
      <c r="A107" s="205"/>
      <c r="B107" s="207"/>
      <c r="C107" s="209"/>
      <c r="D107" s="211"/>
      <c r="E107" s="213"/>
      <c r="F107" s="215"/>
      <c r="G107" s="141"/>
      <c r="H107" s="142"/>
      <c r="I107" s="143"/>
      <c r="J107" s="141"/>
      <c r="K107" s="142"/>
      <c r="L107" s="144"/>
      <c r="M107" s="142"/>
    </row>
    <row r="108" spans="1:13" x14ac:dyDescent="0.25">
      <c r="A108" s="204"/>
      <c r="B108" s="217"/>
      <c r="C108" s="208"/>
      <c r="D108" s="210"/>
      <c r="E108" s="212"/>
      <c r="F108" s="214"/>
      <c r="G108" s="137"/>
      <c r="H108" s="138"/>
      <c r="I108" s="139"/>
      <c r="J108" s="137"/>
      <c r="K108" s="138"/>
      <c r="L108" s="140"/>
      <c r="M108" s="138"/>
    </row>
    <row r="109" spans="1:13" ht="13.8" thickBot="1" x14ac:dyDescent="0.3">
      <c r="A109" s="205"/>
      <c r="B109" s="207"/>
      <c r="C109" s="209"/>
      <c r="D109" s="211"/>
      <c r="E109" s="213"/>
      <c r="F109" s="215"/>
      <c r="G109" s="141"/>
      <c r="H109" s="142"/>
      <c r="I109" s="143"/>
      <c r="J109" s="141"/>
      <c r="K109" s="142"/>
      <c r="L109" s="144"/>
      <c r="M109" s="142"/>
    </row>
    <row r="110" spans="1:13" x14ac:dyDescent="0.25">
      <c r="A110" s="204"/>
      <c r="B110" s="217"/>
      <c r="C110" s="208"/>
      <c r="D110" s="210"/>
      <c r="E110" s="212"/>
      <c r="F110" s="214"/>
      <c r="G110" s="137"/>
      <c r="H110" s="138"/>
      <c r="I110" s="139"/>
      <c r="J110" s="137"/>
      <c r="K110" s="138"/>
      <c r="L110" s="140"/>
      <c r="M110" s="138"/>
    </row>
    <row r="111" spans="1:13" ht="13.8" thickBot="1" x14ac:dyDescent="0.3">
      <c r="A111" s="205"/>
      <c r="B111" s="207"/>
      <c r="C111" s="209"/>
      <c r="D111" s="211"/>
      <c r="E111" s="213"/>
      <c r="F111" s="215"/>
      <c r="G111" s="141"/>
      <c r="H111" s="142"/>
      <c r="I111" s="143"/>
      <c r="J111" s="141"/>
      <c r="K111" s="142"/>
      <c r="L111" s="144"/>
      <c r="M111" s="142"/>
    </row>
    <row r="112" spans="1:13" x14ac:dyDescent="0.25">
      <c r="A112" s="204"/>
      <c r="B112" s="217"/>
      <c r="C112" s="208"/>
      <c r="D112" s="210"/>
      <c r="E112" s="212"/>
      <c r="F112" s="214"/>
      <c r="G112" s="137"/>
      <c r="H112" s="138"/>
      <c r="I112" s="139"/>
      <c r="J112" s="137"/>
      <c r="K112" s="138"/>
      <c r="L112" s="140"/>
      <c r="M112" s="138"/>
    </row>
    <row r="113" spans="1:13" ht="13.8" thickBot="1" x14ac:dyDescent="0.3">
      <c r="A113" s="205"/>
      <c r="B113" s="207"/>
      <c r="C113" s="209"/>
      <c r="D113" s="211"/>
      <c r="E113" s="213"/>
      <c r="F113" s="215"/>
      <c r="G113" s="141"/>
      <c r="H113" s="142"/>
      <c r="I113" s="143"/>
      <c r="J113" s="141"/>
      <c r="K113" s="142"/>
      <c r="L113" s="144"/>
      <c r="M113" s="142"/>
    </row>
    <row r="114" spans="1:13" x14ac:dyDescent="0.25">
      <c r="A114" s="204"/>
      <c r="B114" s="217"/>
      <c r="C114" s="208"/>
      <c r="D114" s="210"/>
      <c r="E114" s="212"/>
      <c r="F114" s="214"/>
      <c r="G114" s="137"/>
      <c r="H114" s="138"/>
      <c r="I114" s="139"/>
      <c r="J114" s="137"/>
      <c r="K114" s="138"/>
      <c r="L114" s="140"/>
      <c r="M114" s="138"/>
    </row>
    <row r="115" spans="1:13" ht="13.8" thickBot="1" x14ac:dyDescent="0.3">
      <c r="A115" s="205"/>
      <c r="B115" s="207"/>
      <c r="C115" s="209"/>
      <c r="D115" s="211"/>
      <c r="E115" s="213"/>
      <c r="F115" s="215"/>
      <c r="G115" s="141"/>
      <c r="H115" s="142"/>
      <c r="I115" s="143"/>
      <c r="J115" s="141"/>
      <c r="K115" s="142"/>
      <c r="L115" s="144"/>
      <c r="M115" s="142"/>
    </row>
    <row r="116" spans="1:13" x14ac:dyDescent="0.25">
      <c r="A116" s="204"/>
      <c r="B116" s="217"/>
      <c r="C116" s="208"/>
      <c r="D116" s="210"/>
      <c r="E116" s="212"/>
      <c r="F116" s="214"/>
      <c r="G116" s="137"/>
      <c r="H116" s="138"/>
      <c r="I116" s="139"/>
      <c r="J116" s="137"/>
      <c r="K116" s="138"/>
      <c r="L116" s="140"/>
      <c r="M116" s="138"/>
    </row>
    <row r="117" spans="1:13" ht="13.8" thickBot="1" x14ac:dyDescent="0.3">
      <c r="A117" s="205"/>
      <c r="B117" s="207"/>
      <c r="C117" s="209"/>
      <c r="D117" s="211"/>
      <c r="E117" s="213"/>
      <c r="F117" s="215"/>
      <c r="G117" s="141"/>
      <c r="H117" s="142"/>
      <c r="I117" s="143"/>
      <c r="J117" s="141"/>
      <c r="K117" s="142"/>
      <c r="L117" s="144"/>
      <c r="M117" s="142"/>
    </row>
    <row r="118" spans="1:13" x14ac:dyDescent="0.25">
      <c r="A118" s="204"/>
      <c r="B118" s="217"/>
      <c r="C118" s="208"/>
      <c r="D118" s="210"/>
      <c r="E118" s="212"/>
      <c r="F118" s="214"/>
      <c r="G118" s="137"/>
      <c r="H118" s="138"/>
      <c r="I118" s="139"/>
      <c r="J118" s="137"/>
      <c r="K118" s="138"/>
      <c r="L118" s="140"/>
      <c r="M118" s="138"/>
    </row>
    <row r="119" spans="1:13" ht="13.8" thickBot="1" x14ac:dyDescent="0.3">
      <c r="A119" s="205"/>
      <c r="B119" s="207"/>
      <c r="C119" s="209"/>
      <c r="D119" s="211"/>
      <c r="E119" s="213"/>
      <c r="F119" s="215"/>
      <c r="G119" s="141"/>
      <c r="H119" s="142"/>
      <c r="I119" s="143"/>
      <c r="J119" s="141"/>
      <c r="K119" s="142"/>
      <c r="L119" s="144"/>
      <c r="M119" s="142"/>
    </row>
    <row r="120" spans="1:13" x14ac:dyDescent="0.25">
      <c r="A120" s="204"/>
      <c r="B120" s="217"/>
      <c r="C120" s="208"/>
      <c r="D120" s="210"/>
      <c r="E120" s="212"/>
      <c r="F120" s="214"/>
      <c r="G120" s="137"/>
      <c r="H120" s="138"/>
      <c r="I120" s="139"/>
      <c r="J120" s="137"/>
      <c r="K120" s="138"/>
      <c r="L120" s="140"/>
      <c r="M120" s="138"/>
    </row>
    <row r="121" spans="1:13" ht="13.8" thickBot="1" x14ac:dyDescent="0.3">
      <c r="A121" s="205"/>
      <c r="B121" s="207"/>
      <c r="C121" s="209"/>
      <c r="D121" s="211"/>
      <c r="E121" s="213"/>
      <c r="F121" s="215"/>
      <c r="G121" s="141"/>
      <c r="H121" s="142"/>
      <c r="I121" s="143"/>
      <c r="J121" s="141"/>
      <c r="K121" s="142"/>
      <c r="L121" s="144"/>
      <c r="M121" s="142"/>
    </row>
    <row r="122" spans="1:13" x14ac:dyDescent="0.25">
      <c r="A122" s="204"/>
      <c r="B122" s="217"/>
      <c r="C122" s="208"/>
      <c r="D122" s="210"/>
      <c r="E122" s="212"/>
      <c r="F122" s="214"/>
      <c r="G122" s="137"/>
      <c r="H122" s="138"/>
      <c r="I122" s="139"/>
      <c r="J122" s="137"/>
      <c r="K122" s="138"/>
      <c r="L122" s="140"/>
      <c r="M122" s="138"/>
    </row>
    <row r="123" spans="1:13" ht="13.8" thickBot="1" x14ac:dyDescent="0.3">
      <c r="A123" s="205"/>
      <c r="B123" s="207"/>
      <c r="C123" s="209"/>
      <c r="D123" s="211"/>
      <c r="E123" s="213"/>
      <c r="F123" s="215"/>
      <c r="G123" s="141"/>
      <c r="H123" s="142"/>
      <c r="I123" s="143"/>
      <c r="J123" s="141"/>
      <c r="K123" s="142"/>
      <c r="L123" s="144"/>
      <c r="M123" s="142"/>
    </row>
    <row r="124" spans="1:13" x14ac:dyDescent="0.25">
      <c r="A124" s="204"/>
      <c r="B124" s="217"/>
      <c r="C124" s="208"/>
      <c r="D124" s="210"/>
      <c r="E124" s="212"/>
      <c r="F124" s="214"/>
      <c r="G124" s="137"/>
      <c r="H124" s="138"/>
      <c r="I124" s="139"/>
      <c r="J124" s="137"/>
      <c r="K124" s="138"/>
      <c r="L124" s="140"/>
      <c r="M124" s="138"/>
    </row>
    <row r="125" spans="1:13" ht="13.8" thickBot="1" x14ac:dyDescent="0.3">
      <c r="A125" s="205"/>
      <c r="B125" s="207"/>
      <c r="C125" s="209"/>
      <c r="D125" s="211"/>
      <c r="E125" s="213"/>
      <c r="F125" s="215"/>
      <c r="G125" s="141"/>
      <c r="H125" s="142"/>
      <c r="I125" s="143"/>
      <c r="J125" s="141"/>
      <c r="K125" s="142"/>
      <c r="L125" s="144"/>
      <c r="M125" s="142"/>
    </row>
    <row r="126" spans="1:13" x14ac:dyDescent="0.25">
      <c r="A126" s="204"/>
      <c r="B126" s="217"/>
      <c r="C126" s="208"/>
      <c r="D126" s="210"/>
      <c r="E126" s="212"/>
      <c r="F126" s="214"/>
      <c r="G126" s="137"/>
      <c r="H126" s="138"/>
      <c r="I126" s="139"/>
      <c r="J126" s="137"/>
      <c r="K126" s="138"/>
      <c r="L126" s="140"/>
      <c r="M126" s="138"/>
    </row>
    <row r="127" spans="1:13" ht="13.8" thickBot="1" x14ac:dyDescent="0.3">
      <c r="A127" s="205"/>
      <c r="B127" s="207"/>
      <c r="C127" s="209"/>
      <c r="D127" s="211"/>
      <c r="E127" s="213"/>
      <c r="F127" s="215"/>
      <c r="G127" s="141"/>
      <c r="H127" s="142"/>
      <c r="I127" s="143"/>
      <c r="J127" s="141"/>
      <c r="K127" s="142"/>
      <c r="L127" s="144"/>
      <c r="M127" s="142"/>
    </row>
    <row r="128" spans="1:13" x14ac:dyDescent="0.25">
      <c r="A128" s="204"/>
      <c r="B128" s="217"/>
      <c r="C128" s="208"/>
      <c r="D128" s="210"/>
      <c r="E128" s="212"/>
      <c r="F128" s="214"/>
      <c r="G128" s="137"/>
      <c r="H128" s="138"/>
      <c r="I128" s="139"/>
      <c r="J128" s="137"/>
      <c r="K128" s="138"/>
      <c r="L128" s="140"/>
      <c r="M128" s="138"/>
    </row>
    <row r="129" spans="1:13" ht="13.8" thickBot="1" x14ac:dyDescent="0.3">
      <c r="A129" s="205"/>
      <c r="B129" s="207"/>
      <c r="C129" s="209"/>
      <c r="D129" s="211"/>
      <c r="E129" s="213"/>
      <c r="F129" s="215"/>
      <c r="G129" s="141"/>
      <c r="H129" s="142"/>
      <c r="I129" s="143"/>
      <c r="J129" s="141"/>
      <c r="K129" s="142"/>
      <c r="L129" s="144"/>
      <c r="M129" s="142"/>
    </row>
    <row r="130" spans="1:13" x14ac:dyDescent="0.25">
      <c r="A130" s="204"/>
      <c r="B130" s="217"/>
      <c r="C130" s="208"/>
      <c r="D130" s="210"/>
      <c r="E130" s="212"/>
      <c r="F130" s="214"/>
      <c r="G130" s="137"/>
      <c r="H130" s="138"/>
      <c r="I130" s="139"/>
      <c r="J130" s="137"/>
      <c r="K130" s="138"/>
      <c r="L130" s="140"/>
      <c r="M130" s="138"/>
    </row>
    <row r="131" spans="1:13" ht="13.8" thickBot="1" x14ac:dyDescent="0.3">
      <c r="A131" s="205"/>
      <c r="B131" s="207"/>
      <c r="C131" s="209"/>
      <c r="D131" s="211"/>
      <c r="E131" s="213"/>
      <c r="F131" s="215"/>
      <c r="G131" s="141"/>
      <c r="H131" s="142"/>
      <c r="I131" s="143"/>
      <c r="J131" s="141"/>
      <c r="K131" s="142"/>
      <c r="L131" s="144"/>
      <c r="M131" s="142"/>
    </row>
    <row r="132" spans="1:13" x14ac:dyDescent="0.25">
      <c r="A132" s="204"/>
      <c r="B132" s="217"/>
      <c r="C132" s="208"/>
      <c r="D132" s="210"/>
      <c r="E132" s="212"/>
      <c r="F132" s="214"/>
      <c r="G132" s="137"/>
      <c r="H132" s="138"/>
      <c r="I132" s="139"/>
      <c r="J132" s="137"/>
      <c r="K132" s="138"/>
      <c r="L132" s="140"/>
      <c r="M132" s="138"/>
    </row>
    <row r="133" spans="1:13" ht="13.8" thickBot="1" x14ac:dyDescent="0.3">
      <c r="A133" s="205"/>
      <c r="B133" s="207"/>
      <c r="C133" s="209"/>
      <c r="D133" s="211"/>
      <c r="E133" s="213"/>
      <c r="F133" s="215"/>
      <c r="G133" s="141"/>
      <c r="H133" s="142"/>
      <c r="I133" s="143"/>
      <c r="J133" s="141"/>
      <c r="K133" s="142"/>
      <c r="L133" s="144"/>
      <c r="M133" s="142"/>
    </row>
    <row r="134" spans="1:13" x14ac:dyDescent="0.25">
      <c r="A134" s="204"/>
      <c r="B134" s="217"/>
      <c r="C134" s="208"/>
      <c r="D134" s="210"/>
      <c r="E134" s="212"/>
      <c r="F134" s="214"/>
      <c r="G134" s="137"/>
      <c r="H134" s="138"/>
      <c r="I134" s="139"/>
      <c r="J134" s="137"/>
      <c r="K134" s="138"/>
      <c r="L134" s="140"/>
      <c r="M134" s="138"/>
    </row>
    <row r="135" spans="1:13" ht="13.8" thickBot="1" x14ac:dyDescent="0.3">
      <c r="A135" s="205"/>
      <c r="B135" s="207"/>
      <c r="C135" s="209"/>
      <c r="D135" s="211"/>
      <c r="E135" s="213"/>
      <c r="F135" s="215"/>
      <c r="G135" s="141"/>
      <c r="H135" s="142"/>
      <c r="I135" s="143"/>
      <c r="J135" s="141"/>
      <c r="K135" s="142"/>
      <c r="L135" s="144"/>
      <c r="M135" s="142"/>
    </row>
    <row r="136" spans="1:13" x14ac:dyDescent="0.25">
      <c r="A136" s="204"/>
      <c r="B136" s="217"/>
      <c r="C136" s="208"/>
      <c r="D136" s="210"/>
      <c r="E136" s="212"/>
      <c r="F136" s="214"/>
      <c r="G136" s="137"/>
      <c r="H136" s="138"/>
      <c r="I136" s="139"/>
      <c r="J136" s="137"/>
      <c r="K136" s="138"/>
      <c r="L136" s="140"/>
      <c r="M136" s="138"/>
    </row>
    <row r="137" spans="1:13" ht="13.8" thickBot="1" x14ac:dyDescent="0.3">
      <c r="A137" s="205"/>
      <c r="B137" s="207"/>
      <c r="C137" s="209"/>
      <c r="D137" s="211"/>
      <c r="E137" s="213"/>
      <c r="F137" s="215"/>
      <c r="G137" s="141"/>
      <c r="H137" s="142"/>
      <c r="I137" s="143"/>
      <c r="J137" s="141"/>
      <c r="K137" s="142"/>
      <c r="L137" s="144"/>
      <c r="M137" s="142"/>
    </row>
    <row r="138" spans="1:13" x14ac:dyDescent="0.25">
      <c r="A138" s="204"/>
      <c r="B138" s="217"/>
      <c r="C138" s="208"/>
      <c r="D138" s="210"/>
      <c r="E138" s="212"/>
      <c r="F138" s="214"/>
      <c r="G138" s="137"/>
      <c r="H138" s="138"/>
      <c r="I138" s="139"/>
      <c r="J138" s="137"/>
      <c r="K138" s="138"/>
      <c r="L138" s="140"/>
      <c r="M138" s="138"/>
    </row>
    <row r="139" spans="1:13" ht="13.8" thickBot="1" x14ac:dyDescent="0.3">
      <c r="A139" s="205"/>
      <c r="B139" s="207"/>
      <c r="C139" s="209"/>
      <c r="D139" s="211"/>
      <c r="E139" s="213"/>
      <c r="F139" s="215"/>
      <c r="G139" s="141"/>
      <c r="H139" s="142"/>
      <c r="I139" s="143"/>
      <c r="J139" s="141"/>
      <c r="K139" s="142"/>
      <c r="L139" s="144"/>
      <c r="M139" s="142"/>
    </row>
    <row r="140" spans="1:13" x14ac:dyDescent="0.25">
      <c r="A140" s="204"/>
      <c r="B140" s="217"/>
      <c r="C140" s="208"/>
      <c r="D140" s="210"/>
      <c r="E140" s="212"/>
      <c r="F140" s="214"/>
      <c r="G140" s="137"/>
      <c r="H140" s="138"/>
      <c r="I140" s="139"/>
      <c r="J140" s="137"/>
      <c r="K140" s="138"/>
      <c r="L140" s="140"/>
      <c r="M140" s="138"/>
    </row>
    <row r="141" spans="1:13" ht="13.8" thickBot="1" x14ac:dyDescent="0.3">
      <c r="A141" s="205"/>
      <c r="B141" s="207"/>
      <c r="C141" s="209"/>
      <c r="D141" s="211"/>
      <c r="E141" s="213"/>
      <c r="F141" s="215"/>
      <c r="G141" s="141"/>
      <c r="H141" s="142"/>
      <c r="I141" s="143"/>
      <c r="J141" s="141"/>
      <c r="K141" s="142"/>
      <c r="L141" s="144"/>
      <c r="M141" s="142"/>
    </row>
    <row r="142" spans="1:13" x14ac:dyDescent="0.25">
      <c r="A142" s="204"/>
      <c r="B142" s="217"/>
      <c r="C142" s="208"/>
      <c r="D142" s="210"/>
      <c r="E142" s="212"/>
      <c r="F142" s="214"/>
      <c r="G142" s="137"/>
      <c r="H142" s="138"/>
      <c r="I142" s="139"/>
      <c r="J142" s="137"/>
      <c r="K142" s="138"/>
      <c r="L142" s="140"/>
      <c r="M142" s="138"/>
    </row>
    <row r="143" spans="1:13" ht="13.8" thickBot="1" x14ac:dyDescent="0.3">
      <c r="A143" s="205"/>
      <c r="B143" s="207"/>
      <c r="C143" s="209"/>
      <c r="D143" s="211"/>
      <c r="E143" s="213"/>
      <c r="F143" s="215"/>
      <c r="G143" s="141"/>
      <c r="H143" s="142"/>
      <c r="I143" s="143"/>
      <c r="J143" s="141"/>
      <c r="K143" s="142"/>
      <c r="L143" s="144"/>
      <c r="M143" s="142"/>
    </row>
    <row r="144" spans="1:13" x14ac:dyDescent="0.25">
      <c r="A144" s="204"/>
      <c r="B144" s="217"/>
      <c r="C144" s="208"/>
      <c r="D144" s="210"/>
      <c r="E144" s="212"/>
      <c r="F144" s="214"/>
      <c r="G144" s="137"/>
      <c r="H144" s="138"/>
      <c r="I144" s="139"/>
      <c r="J144" s="137"/>
      <c r="K144" s="138"/>
      <c r="L144" s="140"/>
      <c r="M144" s="138"/>
    </row>
    <row r="145" spans="1:13" ht="13.8" thickBot="1" x14ac:dyDescent="0.3">
      <c r="A145" s="205"/>
      <c r="B145" s="207"/>
      <c r="C145" s="209"/>
      <c r="D145" s="211"/>
      <c r="E145" s="213"/>
      <c r="F145" s="215"/>
      <c r="G145" s="141"/>
      <c r="H145" s="142"/>
      <c r="I145" s="143"/>
      <c r="J145" s="141"/>
      <c r="K145" s="142"/>
      <c r="L145" s="144"/>
      <c r="M145" s="142"/>
    </row>
    <row r="146" spans="1:13" x14ac:dyDescent="0.25">
      <c r="A146" s="204"/>
      <c r="B146" s="217"/>
      <c r="C146" s="208"/>
      <c r="D146" s="210"/>
      <c r="E146" s="212"/>
      <c r="F146" s="214"/>
      <c r="G146" s="137"/>
      <c r="H146" s="138"/>
      <c r="I146" s="139"/>
      <c r="J146" s="137"/>
      <c r="K146" s="138"/>
      <c r="L146" s="140"/>
      <c r="M146" s="138"/>
    </row>
    <row r="147" spans="1:13" ht="13.8" thickBot="1" x14ac:dyDescent="0.3">
      <c r="A147" s="205"/>
      <c r="B147" s="207"/>
      <c r="C147" s="209"/>
      <c r="D147" s="211"/>
      <c r="E147" s="213"/>
      <c r="F147" s="215"/>
      <c r="G147" s="141"/>
      <c r="H147" s="142"/>
      <c r="I147" s="143"/>
      <c r="J147" s="141"/>
      <c r="K147" s="142"/>
      <c r="L147" s="144"/>
      <c r="M147" s="142"/>
    </row>
    <row r="148" spans="1:13" x14ac:dyDescent="0.25">
      <c r="A148" s="204"/>
      <c r="B148" s="217"/>
      <c r="C148" s="208"/>
      <c r="D148" s="210"/>
      <c r="E148" s="212"/>
      <c r="F148" s="214"/>
      <c r="G148" s="137"/>
      <c r="H148" s="138"/>
      <c r="I148" s="139"/>
      <c r="J148" s="137"/>
      <c r="K148" s="138"/>
      <c r="L148" s="140"/>
      <c r="M148" s="138"/>
    </row>
    <row r="149" spans="1:13" ht="13.8" thickBot="1" x14ac:dyDescent="0.3">
      <c r="A149" s="205"/>
      <c r="B149" s="207"/>
      <c r="C149" s="209"/>
      <c r="D149" s="211"/>
      <c r="E149" s="213"/>
      <c r="F149" s="215"/>
      <c r="G149" s="141"/>
      <c r="H149" s="142"/>
      <c r="I149" s="143"/>
      <c r="J149" s="141"/>
      <c r="K149" s="142"/>
      <c r="L149" s="144"/>
      <c r="M149" s="142"/>
    </row>
    <row r="150" spans="1:13" x14ac:dyDescent="0.25">
      <c r="A150" s="204"/>
      <c r="B150" s="217"/>
      <c r="C150" s="208"/>
      <c r="D150" s="210"/>
      <c r="E150" s="212"/>
      <c r="F150" s="214"/>
      <c r="G150" s="137"/>
      <c r="H150" s="138"/>
      <c r="I150" s="139"/>
      <c r="J150" s="137"/>
      <c r="K150" s="138"/>
      <c r="L150" s="140"/>
      <c r="M150" s="138"/>
    </row>
    <row r="151" spans="1:13" ht="13.8" thickBot="1" x14ac:dyDescent="0.3">
      <c r="A151" s="205"/>
      <c r="B151" s="207"/>
      <c r="C151" s="209"/>
      <c r="D151" s="211"/>
      <c r="E151" s="213"/>
      <c r="F151" s="215"/>
      <c r="G151" s="141"/>
      <c r="H151" s="142"/>
      <c r="I151" s="143"/>
      <c r="J151" s="141"/>
      <c r="K151" s="142"/>
      <c r="L151" s="144"/>
      <c r="M151" s="142"/>
    </row>
    <row r="152" spans="1:13" x14ac:dyDescent="0.25">
      <c r="A152" s="204"/>
      <c r="B152" s="217"/>
      <c r="C152" s="208"/>
      <c r="D152" s="210"/>
      <c r="E152" s="212"/>
      <c r="F152" s="214"/>
      <c r="G152" s="137"/>
      <c r="H152" s="138"/>
      <c r="I152" s="139"/>
      <c r="J152" s="137"/>
      <c r="K152" s="138"/>
      <c r="L152" s="140"/>
      <c r="M152" s="138"/>
    </row>
    <row r="153" spans="1:13" ht="13.8" thickBot="1" x14ac:dyDescent="0.3">
      <c r="A153" s="205"/>
      <c r="B153" s="207"/>
      <c r="C153" s="209"/>
      <c r="D153" s="211"/>
      <c r="E153" s="213"/>
      <c r="F153" s="215"/>
      <c r="G153" s="141"/>
      <c r="H153" s="142"/>
      <c r="I153" s="143"/>
      <c r="J153" s="141"/>
      <c r="K153" s="142"/>
      <c r="L153" s="144"/>
      <c r="M153" s="142"/>
    </row>
    <row r="154" spans="1:13" x14ac:dyDescent="0.25">
      <c r="A154" s="204"/>
      <c r="B154" s="217"/>
      <c r="C154" s="208"/>
      <c r="D154" s="210"/>
      <c r="E154" s="212"/>
      <c r="F154" s="214"/>
      <c r="G154" s="137"/>
      <c r="H154" s="138"/>
      <c r="I154" s="139"/>
      <c r="J154" s="137"/>
      <c r="K154" s="138"/>
      <c r="L154" s="140"/>
      <c r="M154" s="138"/>
    </row>
    <row r="155" spans="1:13" ht="13.8" thickBot="1" x14ac:dyDescent="0.3">
      <c r="A155" s="205"/>
      <c r="B155" s="207"/>
      <c r="C155" s="209"/>
      <c r="D155" s="211"/>
      <c r="E155" s="213"/>
      <c r="F155" s="215"/>
      <c r="G155" s="141"/>
      <c r="H155" s="142"/>
      <c r="I155" s="143"/>
      <c r="J155" s="141"/>
      <c r="K155" s="142"/>
      <c r="L155" s="144"/>
      <c r="M155" s="142"/>
    </row>
    <row r="156" spans="1:13" x14ac:dyDescent="0.25">
      <c r="A156" s="204"/>
      <c r="B156" s="217"/>
      <c r="C156" s="208"/>
      <c r="D156" s="210"/>
      <c r="E156" s="212"/>
      <c r="F156" s="214"/>
      <c r="G156" s="137"/>
      <c r="H156" s="138"/>
      <c r="I156" s="139"/>
      <c r="J156" s="137"/>
      <c r="K156" s="138"/>
      <c r="L156" s="140"/>
      <c r="M156" s="138"/>
    </row>
    <row r="157" spans="1:13" ht="13.8" thickBot="1" x14ac:dyDescent="0.3">
      <c r="A157" s="205"/>
      <c r="B157" s="207"/>
      <c r="C157" s="209"/>
      <c r="D157" s="211"/>
      <c r="E157" s="213"/>
      <c r="F157" s="215"/>
      <c r="G157" s="141"/>
      <c r="H157" s="142"/>
      <c r="I157" s="143"/>
      <c r="J157" s="141"/>
      <c r="K157" s="142"/>
      <c r="L157" s="144"/>
      <c r="M157" s="142"/>
    </row>
    <row r="158" spans="1:13" x14ac:dyDescent="0.25">
      <c r="A158" s="204"/>
      <c r="B158" s="217"/>
      <c r="C158" s="208"/>
      <c r="D158" s="210"/>
      <c r="E158" s="212"/>
      <c r="F158" s="214"/>
      <c r="G158" s="137"/>
      <c r="H158" s="138"/>
      <c r="I158" s="139"/>
      <c r="J158" s="137"/>
      <c r="K158" s="138"/>
      <c r="L158" s="140"/>
      <c r="M158" s="138"/>
    </row>
    <row r="159" spans="1:13" ht="13.8" thickBot="1" x14ac:dyDescent="0.3">
      <c r="A159" s="205"/>
      <c r="B159" s="207"/>
      <c r="C159" s="209"/>
      <c r="D159" s="211"/>
      <c r="E159" s="213"/>
      <c r="F159" s="215"/>
      <c r="G159" s="141"/>
      <c r="H159" s="142"/>
      <c r="I159" s="143"/>
      <c r="J159" s="141"/>
      <c r="K159" s="142"/>
      <c r="L159" s="144"/>
      <c r="M159" s="142"/>
    </row>
    <row r="160" spans="1:13" x14ac:dyDescent="0.25">
      <c r="A160" s="204"/>
      <c r="B160" s="217"/>
      <c r="C160" s="208"/>
      <c r="D160" s="210"/>
      <c r="E160" s="212"/>
      <c r="F160" s="214"/>
      <c r="G160" s="137"/>
      <c r="H160" s="138"/>
      <c r="I160" s="139"/>
      <c r="J160" s="137"/>
      <c r="K160" s="138"/>
      <c r="L160" s="140"/>
      <c r="M160" s="138"/>
    </row>
    <row r="161" spans="1:13" ht="13.8" thickBot="1" x14ac:dyDescent="0.3">
      <c r="A161" s="205"/>
      <c r="B161" s="207"/>
      <c r="C161" s="209"/>
      <c r="D161" s="211"/>
      <c r="E161" s="213"/>
      <c r="F161" s="215"/>
      <c r="G161" s="141"/>
      <c r="H161" s="142"/>
      <c r="I161" s="143"/>
      <c r="J161" s="141"/>
      <c r="K161" s="142"/>
      <c r="L161" s="144"/>
      <c r="M161" s="142"/>
    </row>
    <row r="162" spans="1:13" x14ac:dyDescent="0.25">
      <c r="A162" s="204"/>
      <c r="B162" s="217"/>
      <c r="C162" s="208"/>
      <c r="D162" s="210"/>
      <c r="E162" s="212"/>
      <c r="F162" s="214"/>
      <c r="G162" s="137"/>
      <c r="H162" s="138"/>
      <c r="I162" s="139"/>
      <c r="J162" s="137"/>
      <c r="K162" s="138"/>
      <c r="L162" s="140"/>
      <c r="M162" s="138"/>
    </row>
    <row r="163" spans="1:13" ht="13.8" thickBot="1" x14ac:dyDescent="0.3">
      <c r="A163" s="205"/>
      <c r="B163" s="207"/>
      <c r="C163" s="209"/>
      <c r="D163" s="211"/>
      <c r="E163" s="213"/>
      <c r="F163" s="215"/>
      <c r="G163" s="141"/>
      <c r="H163" s="142"/>
      <c r="I163" s="143"/>
      <c r="J163" s="141"/>
      <c r="K163" s="142"/>
      <c r="L163" s="144"/>
      <c r="M163" s="142"/>
    </row>
    <row r="164" spans="1:13" x14ac:dyDescent="0.25">
      <c r="A164" s="204"/>
      <c r="B164" s="217"/>
      <c r="C164" s="208"/>
      <c r="D164" s="210"/>
      <c r="E164" s="212"/>
      <c r="F164" s="214"/>
      <c r="G164" s="137"/>
      <c r="H164" s="138"/>
      <c r="I164" s="139"/>
      <c r="J164" s="137"/>
      <c r="K164" s="138"/>
      <c r="L164" s="140"/>
      <c r="M164" s="138"/>
    </row>
    <row r="165" spans="1:13" ht="13.8" thickBot="1" x14ac:dyDescent="0.3">
      <c r="A165" s="205"/>
      <c r="B165" s="207"/>
      <c r="C165" s="209"/>
      <c r="D165" s="211"/>
      <c r="E165" s="213"/>
      <c r="F165" s="215"/>
      <c r="G165" s="141"/>
      <c r="H165" s="142"/>
      <c r="I165" s="143"/>
      <c r="J165" s="141"/>
      <c r="K165" s="142"/>
      <c r="L165" s="144"/>
      <c r="M165" s="142"/>
    </row>
    <row r="166" spans="1:13" x14ac:dyDescent="0.25">
      <c r="A166" s="204"/>
      <c r="B166" s="217"/>
      <c r="C166" s="208"/>
      <c r="D166" s="210"/>
      <c r="E166" s="212"/>
      <c r="F166" s="214"/>
      <c r="G166" s="137"/>
      <c r="H166" s="138"/>
      <c r="I166" s="139"/>
      <c r="J166" s="137"/>
      <c r="K166" s="138"/>
      <c r="L166" s="140"/>
      <c r="M166" s="138"/>
    </row>
    <row r="167" spans="1:13" ht="13.8" thickBot="1" x14ac:dyDescent="0.3">
      <c r="A167" s="205"/>
      <c r="B167" s="207"/>
      <c r="C167" s="209"/>
      <c r="D167" s="211"/>
      <c r="E167" s="213"/>
      <c r="F167" s="215"/>
      <c r="G167" s="141"/>
      <c r="H167" s="142"/>
      <c r="I167" s="143"/>
      <c r="J167" s="141"/>
      <c r="K167" s="142"/>
      <c r="L167" s="144"/>
      <c r="M167" s="142"/>
    </row>
    <row r="168" spans="1:13" x14ac:dyDescent="0.25">
      <c r="A168" s="204"/>
      <c r="B168" s="217"/>
      <c r="C168" s="208"/>
      <c r="D168" s="210"/>
      <c r="E168" s="212"/>
      <c r="F168" s="214"/>
      <c r="G168" s="137"/>
      <c r="H168" s="138"/>
      <c r="I168" s="139"/>
      <c r="J168" s="137"/>
      <c r="K168" s="138"/>
      <c r="L168" s="140"/>
      <c r="M168" s="138"/>
    </row>
    <row r="169" spans="1:13" ht="13.8" thickBot="1" x14ac:dyDescent="0.3">
      <c r="A169" s="205"/>
      <c r="B169" s="207"/>
      <c r="C169" s="209"/>
      <c r="D169" s="211"/>
      <c r="E169" s="213"/>
      <c r="F169" s="215"/>
      <c r="G169" s="141"/>
      <c r="H169" s="142"/>
      <c r="I169" s="143"/>
      <c r="J169" s="141"/>
      <c r="K169" s="142"/>
      <c r="L169" s="144"/>
      <c r="M169" s="142"/>
    </row>
    <row r="170" spans="1:13" x14ac:dyDescent="0.25">
      <c r="A170" s="204"/>
      <c r="B170" s="217"/>
      <c r="C170" s="208"/>
      <c r="D170" s="210"/>
      <c r="E170" s="212"/>
      <c r="F170" s="214"/>
      <c r="G170" s="137"/>
      <c r="H170" s="138"/>
      <c r="I170" s="139"/>
      <c r="J170" s="137"/>
      <c r="K170" s="138"/>
      <c r="L170" s="140"/>
      <c r="M170" s="138"/>
    </row>
    <row r="171" spans="1:13" ht="13.8" thickBot="1" x14ac:dyDescent="0.3">
      <c r="A171" s="205"/>
      <c r="B171" s="207"/>
      <c r="C171" s="209"/>
      <c r="D171" s="211"/>
      <c r="E171" s="213"/>
      <c r="F171" s="215"/>
      <c r="G171" s="141"/>
      <c r="H171" s="142"/>
      <c r="I171" s="143"/>
      <c r="J171" s="141"/>
      <c r="K171" s="142"/>
      <c r="L171" s="144"/>
      <c r="M171" s="142"/>
    </row>
    <row r="172" spans="1:13" x14ac:dyDescent="0.25">
      <c r="A172" s="200"/>
      <c r="B172" s="201"/>
      <c r="C172" s="201"/>
      <c r="D172" s="200"/>
      <c r="E172" s="202"/>
      <c r="F172" s="203"/>
      <c r="G172" s="124"/>
      <c r="I172" s="126"/>
      <c r="J172" s="124"/>
    </row>
    <row r="173" spans="1:13" x14ac:dyDescent="0.25">
      <c r="A173" s="200"/>
      <c r="B173" s="201"/>
      <c r="C173" s="201"/>
      <c r="D173" s="200"/>
      <c r="E173" s="202"/>
      <c r="F173" s="203"/>
      <c r="G173" s="124"/>
      <c r="I173" s="126"/>
      <c r="J173" s="124"/>
    </row>
    <row r="174" spans="1:13" x14ac:dyDescent="0.25">
      <c r="A174" s="200"/>
      <c r="B174" s="201"/>
      <c r="C174" s="201"/>
      <c r="D174" s="200"/>
      <c r="E174" s="202"/>
      <c r="F174" s="203"/>
      <c r="G174" s="124"/>
      <c r="I174" s="126"/>
      <c r="J174" s="124"/>
    </row>
    <row r="175" spans="1:13" x14ac:dyDescent="0.25">
      <c r="A175" s="200"/>
      <c r="B175" s="201"/>
      <c r="C175" s="201"/>
      <c r="D175" s="200"/>
      <c r="E175" s="202"/>
      <c r="F175" s="203"/>
      <c r="G175" s="124"/>
      <c r="I175" s="126"/>
      <c r="J175" s="124"/>
    </row>
    <row r="176" spans="1:13" x14ac:dyDescent="0.25">
      <c r="A176" s="200"/>
      <c r="B176" s="201"/>
      <c r="C176" s="201"/>
      <c r="D176" s="200"/>
      <c r="E176" s="202"/>
      <c r="F176" s="203"/>
      <c r="G176" s="124"/>
      <c r="I176" s="126"/>
      <c r="J176" s="124"/>
    </row>
    <row r="177" spans="1:10" x14ac:dyDescent="0.25">
      <c r="A177" s="200"/>
      <c r="B177" s="201"/>
      <c r="C177" s="201"/>
      <c r="D177" s="200"/>
      <c r="E177" s="202"/>
      <c r="F177" s="203"/>
      <c r="G177" s="124"/>
      <c r="I177" s="126"/>
      <c r="J177" s="124"/>
    </row>
    <row r="178" spans="1:10" x14ac:dyDescent="0.25">
      <c r="A178" s="200"/>
      <c r="B178" s="201"/>
      <c r="C178" s="201"/>
      <c r="D178" s="200"/>
      <c r="E178" s="202"/>
      <c r="F178" s="203"/>
      <c r="G178" s="124"/>
      <c r="I178" s="126"/>
      <c r="J178" s="124"/>
    </row>
    <row r="179" spans="1:10" x14ac:dyDescent="0.25">
      <c r="A179" s="200"/>
      <c r="B179" s="201"/>
      <c r="C179" s="201"/>
      <c r="D179" s="200"/>
      <c r="E179" s="202"/>
      <c r="F179" s="203"/>
      <c r="G179" s="124"/>
      <c r="I179" s="126"/>
      <c r="J179" s="124"/>
    </row>
    <row r="180" spans="1:10" x14ac:dyDescent="0.25">
      <c r="A180" s="200"/>
      <c r="B180" s="201"/>
      <c r="C180" s="201"/>
      <c r="D180" s="200"/>
      <c r="E180" s="202"/>
      <c r="F180" s="203"/>
      <c r="G180" s="124"/>
      <c r="I180" s="126"/>
      <c r="J180" s="124"/>
    </row>
    <row r="181" spans="1:10" x14ac:dyDescent="0.25">
      <c r="A181" s="200"/>
      <c r="B181" s="201"/>
      <c r="C181" s="201"/>
      <c r="D181" s="200"/>
      <c r="E181" s="202"/>
      <c r="F181" s="203"/>
      <c r="G181" s="124"/>
      <c r="I181" s="126"/>
      <c r="J181" s="124"/>
    </row>
    <row r="182" spans="1:10" x14ac:dyDescent="0.25">
      <c r="A182" s="200"/>
      <c r="B182" s="201"/>
      <c r="C182" s="201"/>
      <c r="D182" s="200"/>
      <c r="E182" s="202"/>
      <c r="F182" s="203"/>
      <c r="G182" s="124"/>
      <c r="I182" s="126"/>
      <c r="J182" s="124"/>
    </row>
    <row r="183" spans="1:10" x14ac:dyDescent="0.25">
      <c r="A183" s="200"/>
      <c r="B183" s="201"/>
      <c r="C183" s="201"/>
      <c r="D183" s="200"/>
      <c r="E183" s="202"/>
      <c r="F183" s="203"/>
      <c r="G183" s="124"/>
      <c r="I183" s="126"/>
      <c r="J183" s="124"/>
    </row>
    <row r="184" spans="1:10" x14ac:dyDescent="0.25">
      <c r="A184" s="200"/>
      <c r="B184" s="201"/>
      <c r="C184" s="201"/>
      <c r="D184" s="200"/>
      <c r="E184" s="202"/>
      <c r="F184" s="203"/>
      <c r="G184" s="124"/>
      <c r="I184" s="126"/>
      <c r="J184" s="124"/>
    </row>
    <row r="185" spans="1:10" x14ac:dyDescent="0.25">
      <c r="A185" s="200"/>
      <c r="B185" s="201"/>
      <c r="C185" s="201"/>
      <c r="D185" s="200"/>
      <c r="E185" s="202"/>
      <c r="F185" s="203"/>
      <c r="G185" s="124"/>
      <c r="I185" s="126"/>
      <c r="J185" s="124"/>
    </row>
    <row r="186" spans="1:10" x14ac:dyDescent="0.25">
      <c r="A186" s="200"/>
      <c r="B186" s="201"/>
      <c r="C186" s="201"/>
      <c r="D186" s="200"/>
      <c r="E186" s="202"/>
      <c r="F186" s="203"/>
      <c r="G186" s="124"/>
      <c r="I186" s="126"/>
      <c r="J186" s="124"/>
    </row>
    <row r="187" spans="1:10" x14ac:dyDescent="0.25">
      <c r="A187" s="200"/>
      <c r="B187" s="201"/>
      <c r="C187" s="201"/>
      <c r="D187" s="200"/>
      <c r="E187" s="202"/>
      <c r="F187" s="203"/>
      <c r="G187" s="124"/>
      <c r="I187" s="126"/>
      <c r="J187" s="124"/>
    </row>
    <row r="188" spans="1:10" x14ac:dyDescent="0.25">
      <c r="A188" s="200"/>
      <c r="B188" s="201"/>
      <c r="C188" s="201"/>
      <c r="D188" s="200"/>
      <c r="E188" s="202"/>
      <c r="F188" s="203"/>
      <c r="G188" s="124"/>
      <c r="I188" s="126"/>
      <c r="J188" s="124"/>
    </row>
    <row r="189" spans="1:10" x14ac:dyDescent="0.25">
      <c r="A189" s="200"/>
      <c r="B189" s="201"/>
      <c r="C189" s="201"/>
      <c r="D189" s="200"/>
      <c r="E189" s="202"/>
      <c r="F189" s="203"/>
      <c r="G189" s="124"/>
      <c r="I189" s="126"/>
      <c r="J189" s="124"/>
    </row>
  </sheetData>
  <mergeCells count="554">
    <mergeCell ref="A188:A189"/>
    <mergeCell ref="B188:B189"/>
    <mergeCell ref="C188:C189"/>
    <mergeCell ref="D188:D189"/>
    <mergeCell ref="E188:E189"/>
    <mergeCell ref="F188:F189"/>
    <mergeCell ref="A184:A185"/>
    <mergeCell ref="B184:B185"/>
    <mergeCell ref="C184:C185"/>
    <mergeCell ref="D184:D185"/>
    <mergeCell ref="E184:E185"/>
    <mergeCell ref="F184:F185"/>
    <mergeCell ref="A186:A187"/>
    <mergeCell ref="B186:B187"/>
    <mergeCell ref="C186:C187"/>
    <mergeCell ref="D186:D187"/>
    <mergeCell ref="E186:E187"/>
    <mergeCell ref="F186:F187"/>
    <mergeCell ref="A180:A181"/>
    <mergeCell ref="B180:B181"/>
    <mergeCell ref="C180:C181"/>
    <mergeCell ref="D180:D181"/>
    <mergeCell ref="E180:E181"/>
    <mergeCell ref="F180:F181"/>
    <mergeCell ref="A182:A183"/>
    <mergeCell ref="B182:B183"/>
    <mergeCell ref="C182:C183"/>
    <mergeCell ref="D182:D183"/>
    <mergeCell ref="E182:E183"/>
    <mergeCell ref="F182:F183"/>
    <mergeCell ref="A176:A177"/>
    <mergeCell ref="B176:B177"/>
    <mergeCell ref="C176:C177"/>
    <mergeCell ref="D176:D177"/>
    <mergeCell ref="E176:E177"/>
    <mergeCell ref="F176:F177"/>
    <mergeCell ref="A178:A179"/>
    <mergeCell ref="B178:B179"/>
    <mergeCell ref="C178:C179"/>
    <mergeCell ref="D178:D179"/>
    <mergeCell ref="E178:E179"/>
    <mergeCell ref="F178:F179"/>
    <mergeCell ref="A174:A175"/>
    <mergeCell ref="B174:B175"/>
    <mergeCell ref="C174:C175"/>
    <mergeCell ref="D174:D175"/>
    <mergeCell ref="E174:E175"/>
    <mergeCell ref="F174:F175"/>
    <mergeCell ref="A172:A173"/>
    <mergeCell ref="B172:B173"/>
    <mergeCell ref="C172:C173"/>
    <mergeCell ref="D172:D173"/>
    <mergeCell ref="E172:E173"/>
    <mergeCell ref="F172:F173"/>
    <mergeCell ref="A170:A171"/>
    <mergeCell ref="B170:B171"/>
    <mergeCell ref="C170:C171"/>
    <mergeCell ref="D170:D171"/>
    <mergeCell ref="E170:E171"/>
    <mergeCell ref="F170:F171"/>
    <mergeCell ref="A168:A169"/>
    <mergeCell ref="B168:B169"/>
    <mergeCell ref="C168:C169"/>
    <mergeCell ref="D168:D169"/>
    <mergeCell ref="E168:E169"/>
    <mergeCell ref="F168:F169"/>
    <mergeCell ref="A166:A167"/>
    <mergeCell ref="B166:B167"/>
    <mergeCell ref="C166:C167"/>
    <mergeCell ref="D166:D167"/>
    <mergeCell ref="E166:E167"/>
    <mergeCell ref="F166:F167"/>
    <mergeCell ref="A164:A165"/>
    <mergeCell ref="B164:B165"/>
    <mergeCell ref="C164:C165"/>
    <mergeCell ref="D164:D165"/>
    <mergeCell ref="E164:E165"/>
    <mergeCell ref="F164:F165"/>
    <mergeCell ref="A162:A163"/>
    <mergeCell ref="B162:B163"/>
    <mergeCell ref="C162:C163"/>
    <mergeCell ref="D162:D163"/>
    <mergeCell ref="E162:E163"/>
    <mergeCell ref="F162:F163"/>
    <mergeCell ref="A160:A161"/>
    <mergeCell ref="B160:B161"/>
    <mergeCell ref="C160:C161"/>
    <mergeCell ref="D160:D161"/>
    <mergeCell ref="E160:E161"/>
    <mergeCell ref="F160:F161"/>
    <mergeCell ref="A158:A159"/>
    <mergeCell ref="B158:B159"/>
    <mergeCell ref="C158:C159"/>
    <mergeCell ref="D158:D159"/>
    <mergeCell ref="E158:E159"/>
    <mergeCell ref="F158:F159"/>
    <mergeCell ref="A156:A157"/>
    <mergeCell ref="B156:B157"/>
    <mergeCell ref="C156:C157"/>
    <mergeCell ref="D156:D157"/>
    <mergeCell ref="E156:E157"/>
    <mergeCell ref="F156:F157"/>
    <mergeCell ref="A154:A155"/>
    <mergeCell ref="B154:B155"/>
    <mergeCell ref="C154:C155"/>
    <mergeCell ref="D154:D155"/>
    <mergeCell ref="E154:E155"/>
    <mergeCell ref="F154:F155"/>
    <mergeCell ref="A152:A153"/>
    <mergeCell ref="B152:B153"/>
    <mergeCell ref="C152:C153"/>
    <mergeCell ref="D152:D153"/>
    <mergeCell ref="E152:E153"/>
    <mergeCell ref="F152:F153"/>
    <mergeCell ref="A150:A151"/>
    <mergeCell ref="B150:B151"/>
    <mergeCell ref="C150:C151"/>
    <mergeCell ref="D150:D151"/>
    <mergeCell ref="E150:E151"/>
    <mergeCell ref="F150:F151"/>
    <mergeCell ref="A148:A149"/>
    <mergeCell ref="B148:B149"/>
    <mergeCell ref="C148:C149"/>
    <mergeCell ref="D148:D149"/>
    <mergeCell ref="E148:E149"/>
    <mergeCell ref="F148:F149"/>
    <mergeCell ref="A146:A147"/>
    <mergeCell ref="B146:B147"/>
    <mergeCell ref="C146:C147"/>
    <mergeCell ref="D146:D147"/>
    <mergeCell ref="E146:E147"/>
    <mergeCell ref="F146:F147"/>
    <mergeCell ref="A144:A145"/>
    <mergeCell ref="B144:B145"/>
    <mergeCell ref="C144:C145"/>
    <mergeCell ref="D144:D145"/>
    <mergeCell ref="E144:E145"/>
    <mergeCell ref="F144:F145"/>
    <mergeCell ref="A142:A143"/>
    <mergeCell ref="B142:B143"/>
    <mergeCell ref="C142:C143"/>
    <mergeCell ref="D142:D143"/>
    <mergeCell ref="E142:E143"/>
    <mergeCell ref="F142:F143"/>
    <mergeCell ref="A140:A141"/>
    <mergeCell ref="B140:B141"/>
    <mergeCell ref="C140:C141"/>
    <mergeCell ref="D140:D141"/>
    <mergeCell ref="E140:E141"/>
    <mergeCell ref="F140:F141"/>
    <mergeCell ref="A138:A139"/>
    <mergeCell ref="B138:B139"/>
    <mergeCell ref="C138:C139"/>
    <mergeCell ref="D138:D139"/>
    <mergeCell ref="E138:E139"/>
    <mergeCell ref="F138:F139"/>
    <mergeCell ref="A136:A137"/>
    <mergeCell ref="B136:B137"/>
    <mergeCell ref="C136:C137"/>
    <mergeCell ref="D136:D137"/>
    <mergeCell ref="E136:E137"/>
    <mergeCell ref="F136:F137"/>
    <mergeCell ref="A134:A135"/>
    <mergeCell ref="B134:B135"/>
    <mergeCell ref="C134:C135"/>
    <mergeCell ref="D134:D135"/>
    <mergeCell ref="E134:E135"/>
    <mergeCell ref="F134:F135"/>
    <mergeCell ref="A132:A133"/>
    <mergeCell ref="B132:B133"/>
    <mergeCell ref="C132:C133"/>
    <mergeCell ref="D132:D133"/>
    <mergeCell ref="E132:E133"/>
    <mergeCell ref="F132:F133"/>
    <mergeCell ref="A130:A131"/>
    <mergeCell ref="B130:B131"/>
    <mergeCell ref="C130:C131"/>
    <mergeCell ref="D130:D131"/>
    <mergeCell ref="E130:E131"/>
    <mergeCell ref="F130:F131"/>
    <mergeCell ref="A128:A129"/>
    <mergeCell ref="B128:B129"/>
    <mergeCell ref="C128:C129"/>
    <mergeCell ref="D128:D129"/>
    <mergeCell ref="E128:E129"/>
    <mergeCell ref="F128:F129"/>
    <mergeCell ref="A126:A127"/>
    <mergeCell ref="B126:B127"/>
    <mergeCell ref="C126:C127"/>
    <mergeCell ref="D126:D127"/>
    <mergeCell ref="E126:E127"/>
    <mergeCell ref="F126:F127"/>
    <mergeCell ref="A124:A125"/>
    <mergeCell ref="B124:B125"/>
    <mergeCell ref="C124:C125"/>
    <mergeCell ref="D124:D125"/>
    <mergeCell ref="E124:E125"/>
    <mergeCell ref="F124:F125"/>
    <mergeCell ref="A122:A123"/>
    <mergeCell ref="B122:B123"/>
    <mergeCell ref="C122:C123"/>
    <mergeCell ref="D122:D123"/>
    <mergeCell ref="E122:E123"/>
    <mergeCell ref="F122:F123"/>
    <mergeCell ref="A120:A121"/>
    <mergeCell ref="B120:B121"/>
    <mergeCell ref="C120:C121"/>
    <mergeCell ref="D120:D121"/>
    <mergeCell ref="E120:E121"/>
    <mergeCell ref="F120:F121"/>
    <mergeCell ref="A118:A119"/>
    <mergeCell ref="B118:B119"/>
    <mergeCell ref="C118:C119"/>
    <mergeCell ref="D118:D119"/>
    <mergeCell ref="E118:E119"/>
    <mergeCell ref="F118:F119"/>
    <mergeCell ref="A116:A117"/>
    <mergeCell ref="B116:B117"/>
    <mergeCell ref="C116:C117"/>
    <mergeCell ref="D116:D117"/>
    <mergeCell ref="E116:E117"/>
    <mergeCell ref="F116:F117"/>
    <mergeCell ref="A114:A115"/>
    <mergeCell ref="B114:B115"/>
    <mergeCell ref="C114:C115"/>
    <mergeCell ref="D114:D115"/>
    <mergeCell ref="E114:E115"/>
    <mergeCell ref="F114:F115"/>
    <mergeCell ref="A112:A113"/>
    <mergeCell ref="B112:B113"/>
    <mergeCell ref="C112:C113"/>
    <mergeCell ref="D112:D113"/>
    <mergeCell ref="E112:E113"/>
    <mergeCell ref="F112:F113"/>
    <mergeCell ref="A110:A111"/>
    <mergeCell ref="B110:B111"/>
    <mergeCell ref="C110:C111"/>
    <mergeCell ref="D110:D111"/>
    <mergeCell ref="E110:E111"/>
    <mergeCell ref="F110:F111"/>
    <mergeCell ref="A108:A109"/>
    <mergeCell ref="B108:B109"/>
    <mergeCell ref="C108:C109"/>
    <mergeCell ref="D108:D109"/>
    <mergeCell ref="E108:E109"/>
    <mergeCell ref="F108:F109"/>
    <mergeCell ref="A106:A107"/>
    <mergeCell ref="B106:B107"/>
    <mergeCell ref="C106:C107"/>
    <mergeCell ref="D106:D107"/>
    <mergeCell ref="E106:E107"/>
    <mergeCell ref="F106:F107"/>
    <mergeCell ref="A104:A105"/>
    <mergeCell ref="B104:B105"/>
    <mergeCell ref="C104:C105"/>
    <mergeCell ref="D104:D105"/>
    <mergeCell ref="E104:E105"/>
    <mergeCell ref="F104:F105"/>
    <mergeCell ref="A102:A103"/>
    <mergeCell ref="B102:B103"/>
    <mergeCell ref="C102:C103"/>
    <mergeCell ref="D102:D103"/>
    <mergeCell ref="E102:E103"/>
    <mergeCell ref="F102:F103"/>
    <mergeCell ref="A100:A101"/>
    <mergeCell ref="B100:B101"/>
    <mergeCell ref="C100:C101"/>
    <mergeCell ref="D100:D101"/>
    <mergeCell ref="E100:E101"/>
    <mergeCell ref="F100:F101"/>
    <mergeCell ref="A98:A99"/>
    <mergeCell ref="B98:B99"/>
    <mergeCell ref="C98:C99"/>
    <mergeCell ref="D98:D99"/>
    <mergeCell ref="E98:E99"/>
    <mergeCell ref="F98:F99"/>
    <mergeCell ref="A96:A97"/>
    <mergeCell ref="B96:B97"/>
    <mergeCell ref="C96:C97"/>
    <mergeCell ref="D96:D97"/>
    <mergeCell ref="E96:E97"/>
    <mergeCell ref="F96:F97"/>
    <mergeCell ref="A94:A95"/>
    <mergeCell ref="B94:B95"/>
    <mergeCell ref="C94:C95"/>
    <mergeCell ref="D94:D95"/>
    <mergeCell ref="E94:E95"/>
    <mergeCell ref="F94:F95"/>
    <mergeCell ref="A92:A93"/>
    <mergeCell ref="B92:B93"/>
    <mergeCell ref="C92:C93"/>
    <mergeCell ref="D92:D93"/>
    <mergeCell ref="E92:E93"/>
    <mergeCell ref="F92:F93"/>
    <mergeCell ref="A90:A91"/>
    <mergeCell ref="B90:B91"/>
    <mergeCell ref="C90:C91"/>
    <mergeCell ref="D90:D91"/>
    <mergeCell ref="E90:E91"/>
    <mergeCell ref="F90:F91"/>
    <mergeCell ref="A88:A89"/>
    <mergeCell ref="B88:B89"/>
    <mergeCell ref="C88:C89"/>
    <mergeCell ref="D88:D89"/>
    <mergeCell ref="E88:E89"/>
    <mergeCell ref="F88:F89"/>
    <mergeCell ref="A86:A87"/>
    <mergeCell ref="B86:B87"/>
    <mergeCell ref="C86:C87"/>
    <mergeCell ref="D86:D87"/>
    <mergeCell ref="E86:E87"/>
    <mergeCell ref="F86:F87"/>
    <mergeCell ref="A84:A85"/>
    <mergeCell ref="B84:B85"/>
    <mergeCell ref="C84:C85"/>
    <mergeCell ref="D84:D85"/>
    <mergeCell ref="E84:E85"/>
    <mergeCell ref="F84:F85"/>
    <mergeCell ref="A82:A83"/>
    <mergeCell ref="B82:B83"/>
    <mergeCell ref="C82:C83"/>
    <mergeCell ref="D82:D83"/>
    <mergeCell ref="E82:E83"/>
    <mergeCell ref="F82:F83"/>
    <mergeCell ref="A80:A81"/>
    <mergeCell ref="B80:B81"/>
    <mergeCell ref="C80:C81"/>
    <mergeCell ref="D80:D81"/>
    <mergeCell ref="E80:E81"/>
    <mergeCell ref="F80:F81"/>
    <mergeCell ref="A78:A79"/>
    <mergeCell ref="B78:B79"/>
    <mergeCell ref="C78:C79"/>
    <mergeCell ref="D78:D79"/>
    <mergeCell ref="E78:E79"/>
    <mergeCell ref="F78:F79"/>
    <mergeCell ref="A76:A77"/>
    <mergeCell ref="B76:B77"/>
    <mergeCell ref="C76:C77"/>
    <mergeCell ref="D76:D77"/>
    <mergeCell ref="E76:E77"/>
    <mergeCell ref="F76:F77"/>
    <mergeCell ref="A74:A75"/>
    <mergeCell ref="B74:B75"/>
    <mergeCell ref="C74:C75"/>
    <mergeCell ref="D74:D75"/>
    <mergeCell ref="E74:E75"/>
    <mergeCell ref="F74:F75"/>
    <mergeCell ref="A72:A73"/>
    <mergeCell ref="B72:B73"/>
    <mergeCell ref="C72:C73"/>
    <mergeCell ref="D72:D73"/>
    <mergeCell ref="E72:E73"/>
    <mergeCell ref="F72:F73"/>
    <mergeCell ref="A70:A71"/>
    <mergeCell ref="B70:B71"/>
    <mergeCell ref="C70:C71"/>
    <mergeCell ref="D70:D71"/>
    <mergeCell ref="E70:E71"/>
    <mergeCell ref="F70:F71"/>
    <mergeCell ref="A68:A69"/>
    <mergeCell ref="B68:B69"/>
    <mergeCell ref="C68:C69"/>
    <mergeCell ref="D68:D69"/>
    <mergeCell ref="E68:E69"/>
    <mergeCell ref="F68:F69"/>
    <mergeCell ref="A66:A67"/>
    <mergeCell ref="B66:B67"/>
    <mergeCell ref="C66:C67"/>
    <mergeCell ref="D66:D67"/>
    <mergeCell ref="E66:E67"/>
    <mergeCell ref="F66:F67"/>
    <mergeCell ref="A64:A65"/>
    <mergeCell ref="B64:B65"/>
    <mergeCell ref="C64:C65"/>
    <mergeCell ref="D64:D65"/>
    <mergeCell ref="E64:E65"/>
    <mergeCell ref="F64:F65"/>
    <mergeCell ref="A62:A63"/>
    <mergeCell ref="B62:B63"/>
    <mergeCell ref="C62:C63"/>
    <mergeCell ref="D62:D63"/>
    <mergeCell ref="E62:E63"/>
    <mergeCell ref="F62:F63"/>
    <mergeCell ref="A60:A61"/>
    <mergeCell ref="B60:B61"/>
    <mergeCell ref="C60:C61"/>
    <mergeCell ref="D60:D61"/>
    <mergeCell ref="E60:E61"/>
    <mergeCell ref="F60:F61"/>
    <mergeCell ref="A58:A59"/>
    <mergeCell ref="B58:B59"/>
    <mergeCell ref="C58:C59"/>
    <mergeCell ref="D58:D59"/>
    <mergeCell ref="E58:E59"/>
    <mergeCell ref="F58:F59"/>
    <mergeCell ref="A56:A57"/>
    <mergeCell ref="B56:B57"/>
    <mergeCell ref="C56:C57"/>
    <mergeCell ref="D56:D57"/>
    <mergeCell ref="E56:E57"/>
    <mergeCell ref="F56:F57"/>
    <mergeCell ref="A54:A55"/>
    <mergeCell ref="B54:B55"/>
    <mergeCell ref="C54:C55"/>
    <mergeCell ref="D54:D55"/>
    <mergeCell ref="E54:E55"/>
    <mergeCell ref="F54:F55"/>
    <mergeCell ref="A52:A53"/>
    <mergeCell ref="B52:B53"/>
    <mergeCell ref="C52:C53"/>
    <mergeCell ref="D52:D53"/>
    <mergeCell ref="E52:E53"/>
    <mergeCell ref="F52:F53"/>
    <mergeCell ref="A50:A51"/>
    <mergeCell ref="B50:B51"/>
    <mergeCell ref="C50:C51"/>
    <mergeCell ref="D50:D51"/>
    <mergeCell ref="E50:E51"/>
    <mergeCell ref="F50:F51"/>
    <mergeCell ref="A48:A49"/>
    <mergeCell ref="B48:B49"/>
    <mergeCell ref="C48:C49"/>
    <mergeCell ref="D48:D49"/>
    <mergeCell ref="E48:E49"/>
    <mergeCell ref="F48:F49"/>
    <mergeCell ref="A46:A47"/>
    <mergeCell ref="B46:B47"/>
    <mergeCell ref="C46:C47"/>
    <mergeCell ref="D46:D47"/>
    <mergeCell ref="E46:E47"/>
    <mergeCell ref="F46:F47"/>
    <mergeCell ref="A44:A45"/>
    <mergeCell ref="B44:B45"/>
    <mergeCell ref="C44:C45"/>
    <mergeCell ref="D44:D45"/>
    <mergeCell ref="E44:E45"/>
    <mergeCell ref="F44:F45"/>
    <mergeCell ref="A42:A43"/>
    <mergeCell ref="B42:B43"/>
    <mergeCell ref="C42:C43"/>
    <mergeCell ref="D42:D43"/>
    <mergeCell ref="E42:E43"/>
    <mergeCell ref="F42:F43"/>
    <mergeCell ref="A40:A41"/>
    <mergeCell ref="B40:B41"/>
    <mergeCell ref="C40:C41"/>
    <mergeCell ref="D40:D41"/>
    <mergeCell ref="E40:E41"/>
    <mergeCell ref="F40:F41"/>
    <mergeCell ref="A38:A39"/>
    <mergeCell ref="B38:B39"/>
    <mergeCell ref="C38:C39"/>
    <mergeCell ref="D38:D39"/>
    <mergeCell ref="E38:E39"/>
    <mergeCell ref="F38:F39"/>
    <mergeCell ref="A36:A37"/>
    <mergeCell ref="B36:B37"/>
    <mergeCell ref="C36:C37"/>
    <mergeCell ref="D36:D37"/>
    <mergeCell ref="E36:E37"/>
    <mergeCell ref="F36:F37"/>
    <mergeCell ref="A34:A35"/>
    <mergeCell ref="B34:B35"/>
    <mergeCell ref="C34:C35"/>
    <mergeCell ref="D34:D35"/>
    <mergeCell ref="E34:E35"/>
    <mergeCell ref="F34:F35"/>
    <mergeCell ref="A32:A33"/>
    <mergeCell ref="B32:B33"/>
    <mergeCell ref="C32:C33"/>
    <mergeCell ref="D32:D33"/>
    <mergeCell ref="E32:E33"/>
    <mergeCell ref="F32:F33"/>
    <mergeCell ref="A30:A31"/>
    <mergeCell ref="B30:B31"/>
    <mergeCell ref="C30:C31"/>
    <mergeCell ref="D30:D31"/>
    <mergeCell ref="E30:E31"/>
    <mergeCell ref="F30:F31"/>
    <mergeCell ref="A28:A29"/>
    <mergeCell ref="B28:B29"/>
    <mergeCell ref="C28:C29"/>
    <mergeCell ref="D28:D29"/>
    <mergeCell ref="E28:E29"/>
    <mergeCell ref="F28:F29"/>
    <mergeCell ref="A26:A27"/>
    <mergeCell ref="B26:B27"/>
    <mergeCell ref="C26:C27"/>
    <mergeCell ref="D26:D27"/>
    <mergeCell ref="E26:E27"/>
    <mergeCell ref="F26:F27"/>
    <mergeCell ref="A24:A25"/>
    <mergeCell ref="B24:B25"/>
    <mergeCell ref="C24:C25"/>
    <mergeCell ref="D24:D25"/>
    <mergeCell ref="E24:E25"/>
    <mergeCell ref="F24:F25"/>
    <mergeCell ref="A22:A23"/>
    <mergeCell ref="B22:B23"/>
    <mergeCell ref="C22:C23"/>
    <mergeCell ref="D22:D23"/>
    <mergeCell ref="E22:E23"/>
    <mergeCell ref="F22:F23"/>
    <mergeCell ref="A20:A21"/>
    <mergeCell ref="B20:B21"/>
    <mergeCell ref="C20:C21"/>
    <mergeCell ref="D20:D21"/>
    <mergeCell ref="E20:E21"/>
    <mergeCell ref="F20:F21"/>
    <mergeCell ref="A18:A19"/>
    <mergeCell ref="B18:B19"/>
    <mergeCell ref="C18:C19"/>
    <mergeCell ref="D18:D19"/>
    <mergeCell ref="E18:E19"/>
    <mergeCell ref="F18:F19"/>
    <mergeCell ref="A16:A17"/>
    <mergeCell ref="B16:B17"/>
    <mergeCell ref="C16:C17"/>
    <mergeCell ref="D16:D17"/>
    <mergeCell ref="E16:E17"/>
    <mergeCell ref="F16:F17"/>
    <mergeCell ref="A14:A15"/>
    <mergeCell ref="B14:B15"/>
    <mergeCell ref="C14:C15"/>
    <mergeCell ref="D14:D15"/>
    <mergeCell ref="E14:E15"/>
    <mergeCell ref="F14:F15"/>
    <mergeCell ref="A12:A13"/>
    <mergeCell ref="B12:B13"/>
    <mergeCell ref="C12:C13"/>
    <mergeCell ref="D12:D13"/>
    <mergeCell ref="E12:E13"/>
    <mergeCell ref="F12:F13"/>
    <mergeCell ref="E10:E11"/>
    <mergeCell ref="F10:F11"/>
    <mergeCell ref="A8:A9"/>
    <mergeCell ref="B8:B9"/>
    <mergeCell ref="C8:C9"/>
    <mergeCell ref="D8:D9"/>
    <mergeCell ref="E8:E9"/>
    <mergeCell ref="F8:F9"/>
    <mergeCell ref="B1:L1"/>
    <mergeCell ref="B2:L2"/>
    <mergeCell ref="A6:A7"/>
    <mergeCell ref="B6:B7"/>
    <mergeCell ref="C6:C7"/>
    <mergeCell ref="D6:D7"/>
    <mergeCell ref="E6:E7"/>
    <mergeCell ref="F6:F7"/>
    <mergeCell ref="A10:A11"/>
    <mergeCell ref="B10:B11"/>
    <mergeCell ref="C10:C11"/>
    <mergeCell ref="D10:D11"/>
  </mergeCells>
  <pageMargins left="0.39370078740157483" right="0.70866141732283472" top="0.78740157480314965" bottom="0.78740157480314965" header="0.31496062992125984" footer="0.31496062992125984"/>
  <pageSetup paperSize="9" orientation="landscape" horizontalDpi="1200" verticalDpi="1200" r:id="rId1"/>
  <rowBreaks count="2" manualBreakCount="2">
    <brk id="55" max="16383" man="1"/>
    <brk id="67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7</vt:i4>
      </vt:variant>
    </vt:vector>
  </HeadingPairs>
  <TitlesOfParts>
    <vt:vector size="11" baseType="lpstr">
      <vt:lpstr>Распределение РБ</vt:lpstr>
      <vt:lpstr>Распределение РФ</vt:lpstr>
      <vt:lpstr>СведенияОсень</vt:lpstr>
      <vt:lpstr>СведенияВесна</vt:lpstr>
      <vt:lpstr>'Распределение РБ'!Заголовки_для_печати</vt:lpstr>
      <vt:lpstr>'Распределение РФ'!Заголовки_для_печати</vt:lpstr>
      <vt:lpstr>СведенияВесна!Заголовки_для_печати</vt:lpstr>
      <vt:lpstr>СведенияОсень!Заголовки_для_печати</vt:lpstr>
      <vt:lpstr>'Распределение РФ'!Область_печати</vt:lpstr>
      <vt:lpstr>ПреподавателиРБ</vt:lpstr>
      <vt:lpstr>ПреподавателиРФ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Расчет штата кафедры</dc:title>
  <dc:creator>VicShir</dc:creator>
  <dc:description>Исправленный набор, распределено все кроме ДП и практики</dc:description>
  <cp:lastModifiedBy>Yauheni Masanin</cp:lastModifiedBy>
  <cp:lastPrinted>2021-11-04T19:57:40Z</cp:lastPrinted>
  <dcterms:created xsi:type="dcterms:W3CDTF">1955-03-05T12:00:10Z</dcterms:created>
  <dcterms:modified xsi:type="dcterms:W3CDTF">2022-03-15T17:49:06Z</dcterms:modified>
</cp:coreProperties>
</file>