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АСУ\Нагрузка\Масанин\"/>
    </mc:Choice>
  </mc:AlternateContent>
  <bookViews>
    <workbookView xWindow="0" yWindow="0" windowWidth="23040" windowHeight="8808" tabRatio="732"/>
  </bookViews>
  <sheets>
    <sheet name="Распределение РБ" sheetId="36" r:id="rId1"/>
    <sheet name="Распределение РФ" sheetId="38" r:id="rId2"/>
  </sheets>
  <definedNames>
    <definedName name="DKontingent">#REF!</definedName>
    <definedName name="АСОИ_14Б1">#REF!</definedName>
    <definedName name="АСОИ_14Б2">#REF!</definedName>
    <definedName name="АСОИ_14Б3">#REF!</definedName>
    <definedName name="АСОИ_14Б4">#REF!</definedName>
    <definedName name="АСОИ_14БГ1">#REF!</definedName>
    <definedName name="АСОИ_14БГ2">#REF!</definedName>
    <definedName name="АСОИ_14БГ3">#REF!</definedName>
    <definedName name="АСОИ_14БГ4">#REF!</definedName>
    <definedName name="АСОИ_14В1">#REF!</definedName>
    <definedName name="АСОИ_14В2">#REF!</definedName>
    <definedName name="АСОИ_14В3">#REF!</definedName>
    <definedName name="АСОИ_14В4">#REF!</definedName>
    <definedName name="АСОИ_14ВГ1">#REF!</definedName>
    <definedName name="АСОИ_14ВГ2">#REF!</definedName>
    <definedName name="АСОИ_14ВГ3">#REF!</definedName>
    <definedName name="АСОИ_14ВГ4">#REF!</definedName>
    <definedName name="АСОИ_21Б1">#REF!</definedName>
    <definedName name="АСОИ_21Б2">#REF!</definedName>
    <definedName name="АСОИ_21Б3">#REF!</definedName>
    <definedName name="АСОИ_21Б4">#REF!</definedName>
    <definedName name="АСОИ_21БГ1">#REF!</definedName>
    <definedName name="АСОИ_21БГ2">#REF!</definedName>
    <definedName name="АСОИ_21БГ3">#REF!</definedName>
    <definedName name="АСОИ_21БГ4">#REF!</definedName>
    <definedName name="АСОИ_21В1">#REF!</definedName>
    <definedName name="АСОИ_21В2">#REF!</definedName>
    <definedName name="АСОИ_21В3">#REF!</definedName>
    <definedName name="АСОИ_21В4">#REF!</definedName>
    <definedName name="АСОИ_21ВГ1">#REF!</definedName>
    <definedName name="АСОИ_21ВГ2">#REF!</definedName>
    <definedName name="АСОИ_21ВГ3">#REF!</definedName>
    <definedName name="АСОИ_21ВГ4">#REF!</definedName>
    <definedName name="АСОИзаоБ1">#REF!</definedName>
    <definedName name="АСОИзаоБ2">#REF!</definedName>
    <definedName name="АСОИзаоБ3">#REF!</definedName>
    <definedName name="АСОИзаоБ4">#REF!</definedName>
    <definedName name="АСОИзаоБ5">#REF!</definedName>
    <definedName name="АСОИзаоБГ1">#REF!</definedName>
    <definedName name="АСОИзаоБГ2">#REF!</definedName>
    <definedName name="АСОИзаоБГ3">#REF!</definedName>
    <definedName name="АСОИзаоБГ4">#REF!</definedName>
    <definedName name="АСОИзаоБГ5">#REF!</definedName>
    <definedName name="АСОИзаоВ1">#REF!</definedName>
    <definedName name="АСОИзаоВ2">#REF!</definedName>
    <definedName name="АСОИзаоВ3">#REF!</definedName>
    <definedName name="АСОИзаоВ4">#REF!</definedName>
    <definedName name="АСОИзаоВ5">#REF!</definedName>
    <definedName name="АСОИзаоВГ1">#REF!</definedName>
    <definedName name="АСОИзаоВГ2">#REF!</definedName>
    <definedName name="АСОИзаоВГ3">#REF!</definedName>
    <definedName name="АСОИзаоВГ4">#REF!</definedName>
    <definedName name="АСОИзаоВГ5">#REF!</definedName>
    <definedName name="АСОИсокрБ1">#REF!</definedName>
    <definedName name="АСОИсокрБ2">#REF!</definedName>
    <definedName name="АСОИсокрБ3">#REF!</definedName>
    <definedName name="АСОИсокрБ4">#REF!</definedName>
    <definedName name="АСОИсокрБ5">#REF!</definedName>
    <definedName name="АСОИсокрБГ1">#REF!</definedName>
    <definedName name="АСОИсокрБГ2">#REF!</definedName>
    <definedName name="АСОИсокрБГ3">#REF!</definedName>
    <definedName name="АСОИсокрБГ4">#REF!</definedName>
    <definedName name="АСОИсокрБГ5">#REF!</definedName>
    <definedName name="АСОИсокрВ1">#REF!</definedName>
    <definedName name="АСОИсокрВ2">#REF!</definedName>
    <definedName name="АСОИсокрВ3">#REF!</definedName>
    <definedName name="АСОИсокрВ4">#REF!</definedName>
    <definedName name="АСОИсокрВ5">#REF!</definedName>
    <definedName name="АСОИсокрВГ1">#REF!</definedName>
    <definedName name="АСОИсокрВГ2">#REF!</definedName>
    <definedName name="АСОИсокрВГ3">#REF!</definedName>
    <definedName name="АСОИсокрВГ4">#REF!</definedName>
    <definedName name="АСОИсокрВГ5">#REF!</definedName>
    <definedName name="ВеснаБакДневноеРБ">#REF!</definedName>
    <definedName name="ВеснаБакДневноеРФ">#REF!</definedName>
    <definedName name="ВеснаБакЗаочноеРБ">#REF!</definedName>
    <definedName name="ВеснаМагДневноеРБ">#REF!</definedName>
    <definedName name="ВеснаМагЗаочноеРБ">#REF!</definedName>
    <definedName name="ДКонтингент">#REF!</definedName>
    <definedName name="ДПРБ">#REF!</definedName>
    <definedName name="ДПРФ">#REF!</definedName>
    <definedName name="_xlnm.Print_Titles" localSheetId="0">'Распределение РБ'!$A:$W,'Распределение РБ'!$5:$8</definedName>
    <definedName name="_xlnm.Print_Titles" localSheetId="1">'Распределение РФ'!$A:$W,'Распределение РФ'!$5:$8</definedName>
    <definedName name="ЗРБ1">#REF!</definedName>
    <definedName name="ЗРБ2">#REF!</definedName>
    <definedName name="ЗРБ3">#REF!</definedName>
    <definedName name="ЗРБ4">#REF!</definedName>
    <definedName name="ЗРБГ1">#REF!</definedName>
    <definedName name="ЗРБГ2">#REF!</definedName>
    <definedName name="ЗРБГ3">#REF!</definedName>
    <definedName name="ЗРБГ4">#REF!</definedName>
    <definedName name="ЗРВ1">#REF!</definedName>
    <definedName name="ЗРВ2">#REF!</definedName>
    <definedName name="ЗРВ3">#REF!</definedName>
    <definedName name="ЗРВ4">#REF!</definedName>
    <definedName name="ЗРВГ1">#REF!</definedName>
    <definedName name="ЗРВГ2">#REF!</definedName>
    <definedName name="ЗРВГ3">#REF!</definedName>
    <definedName name="ЗРВГ4">#REF!</definedName>
    <definedName name="ИВТ_17Б1">#REF!</definedName>
    <definedName name="ИВТ_17Б2">#REF!</definedName>
    <definedName name="ИВТ_17Б3">#REF!</definedName>
    <definedName name="ИВТ_17Б4">#REF!</definedName>
    <definedName name="ИВТ_17БГ1">#REF!</definedName>
    <definedName name="ИВТ_17БГ2">#REF!</definedName>
    <definedName name="ИВТ_17БГ3">#REF!</definedName>
    <definedName name="ИВТ_17БГ4">#REF!</definedName>
    <definedName name="ИВТ_17В1">#REF!</definedName>
    <definedName name="ИВТ_17В2">#REF!</definedName>
    <definedName name="ИВТ_17В3">#REF!</definedName>
    <definedName name="ИВТ_17В4">#REF!</definedName>
    <definedName name="ИВТ_17ВГ1">#REF!</definedName>
    <definedName name="ИВТ_17ВГ2">#REF!</definedName>
    <definedName name="ИВТ_17ВГ3">#REF!</definedName>
    <definedName name="ИВТ_17ВГ4">#REF!</definedName>
    <definedName name="ИВТ_20Б1">#REF!</definedName>
    <definedName name="ИВТ_20Б2">#REF!</definedName>
    <definedName name="ИВТ_20Б3">#REF!</definedName>
    <definedName name="ИВТ_20Б4">#REF!</definedName>
    <definedName name="ИВТ_20БГ1">#REF!</definedName>
    <definedName name="ИВТ_20БГ2">#REF!</definedName>
    <definedName name="ИВТ_20БГ3">#REF!</definedName>
    <definedName name="ИВТ_20БГ4">#REF!</definedName>
    <definedName name="ИВТ_20В1">#REF!</definedName>
    <definedName name="ИВТ_20В2">#REF!</definedName>
    <definedName name="ИВТ_20В3">#REF!</definedName>
    <definedName name="ИВТ_20В4">#REF!</definedName>
    <definedName name="ИВТ_20ВГ1">#REF!</definedName>
    <definedName name="ИВТ_20ВГ2">#REF!</definedName>
    <definedName name="ИВТ_20ВГ3">#REF!</definedName>
    <definedName name="ИВТ_20ВГ4">#REF!</definedName>
    <definedName name="ИСиТБ1">#REF!</definedName>
    <definedName name="ИСиТБ2">#REF!</definedName>
    <definedName name="ИСиТБ3">#REF!</definedName>
    <definedName name="ИСиТБ4">#REF!</definedName>
    <definedName name="ИСиТБГ1">#REF!</definedName>
    <definedName name="ИСиТБГ2">#REF!</definedName>
    <definedName name="ИСиТБГ3">#REF!</definedName>
    <definedName name="ИСиТБГ4">#REF!</definedName>
    <definedName name="ИСиТВ1">#REF!</definedName>
    <definedName name="ИСиТВ2">#REF!</definedName>
    <definedName name="ИСиТВ3">#REF!</definedName>
    <definedName name="ИСиТВ4">#REF!</definedName>
    <definedName name="ИСиТВГ1">#REF!</definedName>
    <definedName name="ИСиТВГ2">#REF!</definedName>
    <definedName name="ИСиТВГ3">#REF!</definedName>
    <definedName name="ИСиТВГ4">#REF!</definedName>
    <definedName name="ИСиТсокрБ1">#REF!</definedName>
    <definedName name="ИСиТсокрБ2">#REF!</definedName>
    <definedName name="ИСиТсокрБ3">#REF!</definedName>
    <definedName name="ИСиТсокрБ4">#REF!</definedName>
    <definedName name="ИСиТсокрБ5">#REF!</definedName>
    <definedName name="ИСиТсокрБГ1">#REF!</definedName>
    <definedName name="ИСиТсокрБГ2">#REF!</definedName>
    <definedName name="ИСиТсокрБГ3">#REF!</definedName>
    <definedName name="ИСиТсокрБГ4">#REF!</definedName>
    <definedName name="ИСиТсокрБГ5">#REF!</definedName>
    <definedName name="ИСиТсокрВ1">#REF!</definedName>
    <definedName name="ИСиТсокрВ2">#REF!</definedName>
    <definedName name="ИСиТсокрВ3">#REF!</definedName>
    <definedName name="ИСиТсокрВ4">#REF!</definedName>
    <definedName name="ИСиТсокрВ5">#REF!</definedName>
    <definedName name="ИСиТсокрВГ1">#REF!</definedName>
    <definedName name="ИСиТсокрВГ2">#REF!</definedName>
    <definedName name="ИСиТсокрВГ3">#REF!</definedName>
    <definedName name="ИСиТсокрВГ4">#REF!</definedName>
    <definedName name="ИСиТсокрВГ5">#REF!</definedName>
    <definedName name="КП">#REF!</definedName>
    <definedName name="КР">#REF!</definedName>
    <definedName name="КЧРБ">#REF!</definedName>
    <definedName name="КЧРФ">#REF!</definedName>
    <definedName name="МИРБ1">#REF!</definedName>
    <definedName name="МИРБ2">#REF!</definedName>
    <definedName name="МИРБ3">#REF!</definedName>
    <definedName name="МИРБ4">#REF!</definedName>
    <definedName name="МИРБГ1">#REF!</definedName>
    <definedName name="МИРБГ2">#REF!</definedName>
    <definedName name="МИРБГ3">#REF!</definedName>
    <definedName name="МИРБГ4">#REF!</definedName>
    <definedName name="МИРВ1">#REF!</definedName>
    <definedName name="МИРВ2">#REF!</definedName>
    <definedName name="МИРВ3">#REF!</definedName>
    <definedName name="МИРВ4">#REF!</definedName>
    <definedName name="МИРВГ1">#REF!</definedName>
    <definedName name="МИРВГ2">#REF!</definedName>
    <definedName name="МИРВГ3">#REF!</definedName>
    <definedName name="МИРВГ4">#REF!</definedName>
    <definedName name="МПКБ1">#REF!</definedName>
    <definedName name="МПКБ2">#REF!</definedName>
    <definedName name="МПКБ3">#REF!</definedName>
    <definedName name="МПКБ4">#REF!</definedName>
    <definedName name="МПКБГ1">#REF!</definedName>
    <definedName name="МПКБГ2">#REF!</definedName>
    <definedName name="МПКБГ3">#REF!</definedName>
    <definedName name="МПКБГ4">#REF!</definedName>
    <definedName name="МПКВ1">#REF!</definedName>
    <definedName name="МПКВ2">#REF!</definedName>
    <definedName name="МПКВ3">#REF!</definedName>
    <definedName name="МПКВ4">#REF!</definedName>
    <definedName name="МПКВГ1">#REF!</definedName>
    <definedName name="МПКВГ2">#REF!</definedName>
    <definedName name="МПКВГ3">#REF!</definedName>
    <definedName name="МПКВГ4">#REF!</definedName>
    <definedName name="НКРБ">#REF!</definedName>
    <definedName name="НКРФ">#REF!</definedName>
    <definedName name="_xlnm.Print_Area" localSheetId="1">'Распределение РФ'!$A$1:$X$722</definedName>
    <definedName name="ОсеньБакДневноеРБ">#REF!</definedName>
    <definedName name="ОсеньБакДневноеРФ">#REF!</definedName>
    <definedName name="ОсеньБакЗаочноеРБ">#REF!</definedName>
    <definedName name="ОсеньМагДневноеРБ">#REF!</definedName>
    <definedName name="ОсеньМагЗаочноеРБ">#REF!</definedName>
    <definedName name="ПИОТТБ1">#REF!</definedName>
    <definedName name="ПИОТТБ2">#REF!</definedName>
    <definedName name="ПИОТТБ3">#REF!</definedName>
    <definedName name="ПИОТТБ4">#REF!</definedName>
    <definedName name="ПИОТТБГ1">#REF!</definedName>
    <definedName name="ПИОТТБГ2">#REF!</definedName>
    <definedName name="ПИОТТБГ3">#REF!</definedName>
    <definedName name="ПИОТТБГ4">#REF!</definedName>
    <definedName name="ПИОТТВ1">#REF!</definedName>
    <definedName name="ПИОТТВ2">#REF!</definedName>
    <definedName name="ПИОТТВ3">#REF!</definedName>
    <definedName name="ПИОТТВ4">#REF!</definedName>
    <definedName name="ПИОТТВГ1">#REF!</definedName>
    <definedName name="ПИОТТВГ2">#REF!</definedName>
    <definedName name="ПИОТТВГ3">#REF!</definedName>
    <definedName name="ПИОТТВГ4">#REF!</definedName>
    <definedName name="ПИОТТзаоБ1">#REF!</definedName>
    <definedName name="ПИОТТзаоБ2">#REF!</definedName>
    <definedName name="ПИОТТзаоБ3">#REF!</definedName>
    <definedName name="ПИОТТзаоБ4">#REF!</definedName>
    <definedName name="ПИОТТзаоБ5">#REF!</definedName>
    <definedName name="ПИОТТзаоБГ1">#REF!</definedName>
    <definedName name="ПИОТТзаоБГ2">#REF!</definedName>
    <definedName name="ПИОТТзаоБГ3">#REF!</definedName>
    <definedName name="ПИОТТзаоБГ4">#REF!</definedName>
    <definedName name="ПИОТТзаоБГ5">#REF!</definedName>
    <definedName name="ПИОТТзаоВ1">#REF!</definedName>
    <definedName name="ПИОТТзаоВ2">#REF!</definedName>
    <definedName name="ПИОТТзаоВ3">#REF!</definedName>
    <definedName name="ПИОТТзаоВ4">#REF!</definedName>
    <definedName name="ПИОТТзаоВ5">#REF!</definedName>
    <definedName name="ПИОТТзаоВГ1">#REF!</definedName>
    <definedName name="ПИОТТзаоВГ2">#REF!</definedName>
    <definedName name="ПИОТТзаоВГ3">#REF!</definedName>
    <definedName name="ПИОТТзаоВГ4">#REF!</definedName>
    <definedName name="ПИОТТзаоВГ5">#REF!</definedName>
    <definedName name="ПИР_17Б1">#REF!</definedName>
    <definedName name="ПИР_17Б2">#REF!</definedName>
    <definedName name="ПИР_17Б3">#REF!</definedName>
    <definedName name="ПИР_17Б4">#REF!</definedName>
    <definedName name="ПИР_17БГ1">#REF!</definedName>
    <definedName name="ПИР_17БГ2">#REF!</definedName>
    <definedName name="ПИР_17БГ3">#REF!</definedName>
    <definedName name="ПИР_17БГ4">#REF!</definedName>
    <definedName name="ПИР_17В1">#REF!</definedName>
    <definedName name="ПИР_17В2">#REF!</definedName>
    <definedName name="ПИР_17В3">#REF!</definedName>
    <definedName name="ПИР_17В4">#REF!</definedName>
    <definedName name="ПИР_17ВГ1">#REF!</definedName>
    <definedName name="ПИР_17ВГ2">#REF!</definedName>
    <definedName name="ПИР_17ВГ3">#REF!</definedName>
    <definedName name="ПИР_17ВГ4">#REF!</definedName>
    <definedName name="ПИР_20Б1">#REF!</definedName>
    <definedName name="ПИР_20Б2">#REF!</definedName>
    <definedName name="ПИР_20Б3">#REF!</definedName>
    <definedName name="ПИР_20Б4">#REF!</definedName>
    <definedName name="ПИР_20БГ1">#REF!</definedName>
    <definedName name="ПИР_20БГ2">#REF!</definedName>
    <definedName name="ПИР_20БГ3">#REF!</definedName>
    <definedName name="ПИР_20БГ4">#REF!</definedName>
    <definedName name="ПИР_20В1">#REF!</definedName>
    <definedName name="ПИР_20В2">#REF!</definedName>
    <definedName name="ПИР_20В3">#REF!</definedName>
    <definedName name="ПИР_20В4">#REF!</definedName>
    <definedName name="ПИР_20ВГ1">#REF!</definedName>
    <definedName name="ПИР_20ВГ2">#REF!</definedName>
    <definedName name="ПИР_20ВГ3">#REF!</definedName>
    <definedName name="ПИР_20ВГ4">#REF!</definedName>
    <definedName name="ПМБ1">#REF!</definedName>
    <definedName name="ПМБ2">#REF!</definedName>
    <definedName name="ПМБ3">#REF!</definedName>
    <definedName name="ПМБ4">#REF!</definedName>
    <definedName name="ПМБГ1">#REF!</definedName>
    <definedName name="ПМБГ2">#REF!</definedName>
    <definedName name="ПМБГ3">#REF!</definedName>
    <definedName name="ПМБГ4">#REF!</definedName>
    <definedName name="ПМВ1">#REF!</definedName>
    <definedName name="ПМВ2">#REF!</definedName>
    <definedName name="ПМВ3">#REF!</definedName>
    <definedName name="ПМВ4">#REF!</definedName>
    <definedName name="ПМВГ1">#REF!</definedName>
    <definedName name="ПМВГ2">#REF!</definedName>
    <definedName name="ПМВГ3">#REF!</definedName>
    <definedName name="ПМВГ4">#REF!</definedName>
    <definedName name="ПреподавателиРБ">'Распределение РБ'!$A$9:$W$716</definedName>
    <definedName name="ПреподавателиРФ">'Распределение РФ'!$A$9:$W$715</definedName>
    <definedName name="РРБ">#REF!</definedName>
    <definedName name="РРФ">#REF!</definedName>
    <definedName name="СА1.5Б1">#REF!</definedName>
    <definedName name="СА1.5Б2">#REF!</definedName>
    <definedName name="СА1.5Б3">#REF!</definedName>
    <definedName name="СА1.5Б4">#REF!</definedName>
    <definedName name="СА1.5БГ1">#REF!</definedName>
    <definedName name="СА1.5БГ2">#REF!</definedName>
    <definedName name="СА1.5БГ3">#REF!</definedName>
    <definedName name="СА1.5БГ4">#REF!</definedName>
    <definedName name="СА1.5В1">#REF!</definedName>
    <definedName name="СА1.5В2">#REF!</definedName>
    <definedName name="СА1.5В3">#REF!</definedName>
    <definedName name="СА1.5В4">#REF!</definedName>
    <definedName name="СА1.5ВГ1">#REF!</definedName>
    <definedName name="СА1.5ВГ2">#REF!</definedName>
    <definedName name="СА1.5ВГ3">#REF!</definedName>
    <definedName name="СА1.5ВГ4">#REF!</definedName>
    <definedName name="СА1.75Б1">#REF!</definedName>
    <definedName name="СА1.75Б2">#REF!</definedName>
    <definedName name="СА1.75Б3">#REF!</definedName>
    <definedName name="СА1.75Б4">#REF!</definedName>
    <definedName name="СА1.75БГ1">#REF!</definedName>
    <definedName name="СА1.75БГ2">#REF!</definedName>
    <definedName name="СА1.75БГ3">#REF!</definedName>
    <definedName name="СА1.75БГ4">#REF!</definedName>
    <definedName name="СА1.75В1">#REF!</definedName>
    <definedName name="СА1.75В2">#REF!</definedName>
    <definedName name="СА1.75В3">#REF!</definedName>
    <definedName name="СА1.75В4">#REF!</definedName>
    <definedName name="СА1.75ВГ1">#REF!</definedName>
    <definedName name="СА1.75ВГ2">#REF!</definedName>
    <definedName name="СА1.75ВГ3">#REF!</definedName>
    <definedName name="СА1.75ВГ4">#REF!</definedName>
    <definedName name="СА2.0_19заоБ1">#REF!</definedName>
    <definedName name="СА2.0_19заоБ2">#REF!</definedName>
    <definedName name="СА2.0_19заоБ3">#REF!</definedName>
    <definedName name="СА2.0_19заоБ4">#REF!</definedName>
    <definedName name="СА2.0_19заоБ5">#REF!</definedName>
    <definedName name="СА2.0_19заоБГ1">#REF!</definedName>
    <definedName name="СА2.0_19заоБГ2">#REF!</definedName>
    <definedName name="СА2.0_19заоБГ3">#REF!</definedName>
    <definedName name="СА2.0_19заоБГ4">#REF!</definedName>
    <definedName name="СА2.0_19заоБГ5">#REF!</definedName>
    <definedName name="СА2.0_19заоВ1">#REF!</definedName>
    <definedName name="СА2.0_19заоВ2">#REF!</definedName>
    <definedName name="СА2.0_19заоВ3">#REF!</definedName>
    <definedName name="СА2.0_19заоВ4">#REF!</definedName>
    <definedName name="СА2.0_19заоВ5">#REF!</definedName>
    <definedName name="СА2.0_19заоВГ1">#REF!</definedName>
    <definedName name="СА2.0_19заоВГ2">#REF!</definedName>
    <definedName name="СА2.0_19заоВГ3">#REF!</definedName>
    <definedName name="СА2.0_19заоВГ4">#REF!</definedName>
    <definedName name="СА2.0_19заоВГ5">#REF!</definedName>
    <definedName name="САУиОДБ1">#REF!</definedName>
    <definedName name="САУиОДБ2">#REF!</definedName>
    <definedName name="САУиОДБ3">#REF!</definedName>
    <definedName name="САУиОДБ4">#REF!</definedName>
    <definedName name="САУиОДБГ1">#REF!</definedName>
    <definedName name="САУиОДБГ2">#REF!</definedName>
    <definedName name="САУиОДБГ3">#REF!</definedName>
    <definedName name="САУиОДБГ4">#REF!</definedName>
    <definedName name="САУиОДВ1">#REF!</definedName>
    <definedName name="САУиОДВ2">#REF!</definedName>
    <definedName name="САУиОДВ3">#REF!</definedName>
    <definedName name="САУиОДВ4">#REF!</definedName>
    <definedName name="САУиОДВГ1">#REF!</definedName>
    <definedName name="САУиОДВГ2">#REF!</definedName>
    <definedName name="САУиОДВГ3">#REF!</definedName>
    <definedName name="САУиОДВГ4">#REF!</definedName>
    <definedName name="СПБ1">#REF!</definedName>
    <definedName name="СПБ2">#REF!</definedName>
    <definedName name="СПБ3">#REF!</definedName>
    <definedName name="СПБ4">#REF!</definedName>
    <definedName name="СПБГ1">#REF!</definedName>
    <definedName name="СПБГ2">#REF!</definedName>
    <definedName name="СПБГ3">#REF!</definedName>
    <definedName name="СПБГ4">#REF!</definedName>
    <definedName name="СПВ1">#REF!</definedName>
    <definedName name="СПВ2">#REF!</definedName>
    <definedName name="СПВ3">#REF!</definedName>
    <definedName name="СПВ4">#REF!</definedName>
    <definedName name="СПВГ1">#REF!</definedName>
    <definedName name="СПВГ2">#REF!</definedName>
    <definedName name="СПВГ3">#REF!</definedName>
    <definedName name="СПВГ4">#REF!</definedName>
    <definedName name="СПзаоБ1">#REF!</definedName>
    <definedName name="СПзаоБ2">#REF!</definedName>
    <definedName name="СПзаоБ3">#REF!</definedName>
    <definedName name="СПзаоБ4">#REF!</definedName>
    <definedName name="СПзаоБ5">#REF!</definedName>
    <definedName name="СПзаоБГ1">#REF!</definedName>
    <definedName name="СПзаоБГ2">#REF!</definedName>
    <definedName name="СПзаоБГ3">#REF!</definedName>
    <definedName name="СПзаоБГ4">#REF!</definedName>
    <definedName name="СПзаоБГ5">#REF!</definedName>
    <definedName name="СПзаоВ1">#REF!</definedName>
    <definedName name="СПзаоВ2">#REF!</definedName>
    <definedName name="СПзаоВ3">#REF!</definedName>
    <definedName name="СПзаоВ4">#REF!</definedName>
    <definedName name="СПзаоВ5">#REF!</definedName>
    <definedName name="СПзаоВГ1">#REF!</definedName>
    <definedName name="СПзаоВГ2">#REF!</definedName>
    <definedName name="СПзаоВГ3">#REF!</definedName>
    <definedName name="СПзаоВГ4">#REF!</definedName>
    <definedName name="СПзаоВГ5">#REF!</definedName>
    <definedName name="СПсокрБ1">#REF!</definedName>
    <definedName name="СПсокрБ2">#REF!</definedName>
    <definedName name="СПсокрБ3">#REF!</definedName>
    <definedName name="СПсокрБ4">#REF!</definedName>
    <definedName name="СПсокрБ5">#REF!</definedName>
    <definedName name="СПсокрБГ1">#REF!</definedName>
    <definedName name="СПсокрБГ2">#REF!</definedName>
    <definedName name="СПсокрБГ3">#REF!</definedName>
    <definedName name="СПсокрБГ4">#REF!</definedName>
    <definedName name="СПсокрБГ5">#REF!</definedName>
    <definedName name="СПсокрВ1">#REF!</definedName>
    <definedName name="СПсокрВ2">#REF!</definedName>
    <definedName name="СПсокрВ3">#REF!</definedName>
    <definedName name="СПсокрВ4">#REF!</definedName>
    <definedName name="СПсокрВ5">#REF!</definedName>
    <definedName name="СПсокрВГ1">#REF!</definedName>
    <definedName name="СПсокрВГ2">#REF!</definedName>
    <definedName name="СПсокрВГ3">#REF!</definedName>
    <definedName name="СПсокрВГ4">#REF!</definedName>
    <definedName name="СПсокрВГ5">#REF!</definedName>
    <definedName name="ТМБ1">#REF!</definedName>
    <definedName name="ТМБ2">#REF!</definedName>
    <definedName name="ТМБ3">#REF!</definedName>
    <definedName name="ТМБ4">#REF!</definedName>
    <definedName name="ТМБГ1">#REF!</definedName>
    <definedName name="ТМБГ2">#REF!</definedName>
    <definedName name="ТМБГ3">#REF!</definedName>
    <definedName name="ТМБГ4">#REF!</definedName>
    <definedName name="ТМВ1">#REF!</definedName>
    <definedName name="ТМВ2">#REF!</definedName>
    <definedName name="ТМВ3">#REF!</definedName>
    <definedName name="ТМВ4">#REF!</definedName>
    <definedName name="ТМВГ1">#REF!</definedName>
    <definedName name="ТМВГ2">#REF!</definedName>
    <definedName name="ТМВГ3">#REF!</definedName>
    <definedName name="ТМВГ4">#REF!</definedName>
    <definedName name="ТМзаоБ1">#REF!</definedName>
    <definedName name="ТМзаоБ2">#REF!</definedName>
    <definedName name="ТМзаоБ3">#REF!</definedName>
    <definedName name="ТМзаоБ4">#REF!</definedName>
    <definedName name="ТМзаоБ5">#REF!</definedName>
    <definedName name="ТМзаоБГ1">#REF!</definedName>
    <definedName name="ТМзаоБГ2">#REF!</definedName>
    <definedName name="ТМзаоБГ3">#REF!</definedName>
    <definedName name="ТМзаоБГ4">#REF!</definedName>
    <definedName name="ТМзаоБГ5">#REF!</definedName>
    <definedName name="ТМзаоВ1">#REF!</definedName>
    <definedName name="ТМзаоВ2">#REF!</definedName>
    <definedName name="ТМзаоВ3">#REF!</definedName>
    <definedName name="ТМзаоВ4">#REF!</definedName>
    <definedName name="ТМзаоВ5">#REF!</definedName>
    <definedName name="ТМзаоВГ1">#REF!</definedName>
    <definedName name="ТМзаоВГ2">#REF!</definedName>
    <definedName name="ТМзаоВГ3">#REF!</definedName>
    <definedName name="ТМзаоВГ4">#REF!</definedName>
    <definedName name="ТМзаоВГ5">#REF!</definedName>
    <definedName name="ТМсокрБ1">#REF!</definedName>
    <definedName name="ТМсокрБ2">#REF!</definedName>
    <definedName name="ТМсокрБ3">#REF!</definedName>
    <definedName name="ТМсокрБ4">#REF!</definedName>
    <definedName name="ТМсокрБ5">#REF!</definedName>
    <definedName name="ТМсокрБГ1">#REF!</definedName>
    <definedName name="ТМсокрБГ2">#REF!</definedName>
    <definedName name="ТМсокрБГ3">#REF!</definedName>
    <definedName name="ТМсокрБГ4">#REF!</definedName>
    <definedName name="ТМсокрБГ5">#REF!</definedName>
    <definedName name="ТМсокрВ1">#REF!</definedName>
    <definedName name="ТМсокрВ2">#REF!</definedName>
    <definedName name="ТМсокрВ3">#REF!</definedName>
    <definedName name="ТМсокрВ4">#REF!</definedName>
    <definedName name="ТМсокрВ5">#REF!</definedName>
    <definedName name="ТМсокрВГ1">#REF!</definedName>
    <definedName name="ТМсокрВГ2">#REF!</definedName>
    <definedName name="ТМсокрВГ3">#REF!</definedName>
    <definedName name="ТМсокрВГ4">#REF!</definedName>
    <definedName name="ТМсокрВГ5">#REF!</definedName>
    <definedName name="ТОМПБ1">#REF!</definedName>
    <definedName name="ТОМПБ2">#REF!</definedName>
    <definedName name="ТОМПБ3">#REF!</definedName>
    <definedName name="ТОМПБ4">#REF!</definedName>
    <definedName name="ТОМПБГ1">#REF!</definedName>
    <definedName name="ТОМПБГ2">#REF!</definedName>
    <definedName name="ТОМПБГ3">#REF!</definedName>
    <definedName name="ТОМПБГ4">#REF!</definedName>
    <definedName name="ТОМПВ1">#REF!</definedName>
    <definedName name="ТОМПВ2">#REF!</definedName>
    <definedName name="ТОМПВ3">#REF!</definedName>
    <definedName name="ТОМПВ4">#REF!</definedName>
    <definedName name="ТОМПВГ1">#REF!</definedName>
    <definedName name="ТОМПВГ2">#REF!</definedName>
    <definedName name="ТОМПВГ3">#REF!</definedName>
    <definedName name="ТОМПВГ4">#REF!</definedName>
    <definedName name="ТОМПсокрБ1">#REF!</definedName>
    <definedName name="ТОМПсокрБ2">#REF!</definedName>
    <definedName name="ТОМПсокрБ3">#REF!</definedName>
    <definedName name="ТОМПсокрБ4">#REF!</definedName>
    <definedName name="ТОМПсокрБ5">#REF!</definedName>
    <definedName name="ТОМПсокрБГ1">#REF!</definedName>
    <definedName name="ТОМПсокрБГ2">#REF!</definedName>
    <definedName name="ТОМПсокрБГ3">#REF!</definedName>
    <definedName name="ТОМПсокрБГ4">#REF!</definedName>
    <definedName name="ТОМПсокрБГ5">#REF!</definedName>
    <definedName name="ТОМПсокрВ1">#REF!</definedName>
    <definedName name="ТОМПсокрВ2">#REF!</definedName>
    <definedName name="ТОМПсокрВ3">#REF!</definedName>
    <definedName name="ТОМПсокрВ4">#REF!</definedName>
    <definedName name="ТОМПсокрВ5">#REF!</definedName>
    <definedName name="ТОМПсокрВГ1">#REF!</definedName>
    <definedName name="ТОМПсокрВГ2">#REF!</definedName>
    <definedName name="ТОМПсокрВГ3">#REF!</definedName>
    <definedName name="ТОМПсокрВГ4">#REF!</definedName>
    <definedName name="ТОМПсокрВГ5">#REF!</definedName>
    <definedName name="УРБ">#REF!</definedName>
    <definedName name="УРФ">#REF!</definedName>
    <definedName name="ФКБ1">#REF!</definedName>
    <definedName name="ФКБ2">#REF!</definedName>
    <definedName name="ФКБ3">#REF!</definedName>
    <definedName name="ФКБ4">#REF!</definedName>
    <definedName name="ФКБГ1">#REF!</definedName>
    <definedName name="ФКБГ2">#REF!</definedName>
    <definedName name="ФКБГ3">#REF!</definedName>
    <definedName name="ФКБГ4">#REF!</definedName>
    <definedName name="ФКВ1">#REF!</definedName>
    <definedName name="ФКВ2">#REF!</definedName>
    <definedName name="ФКВ3">#REF!</definedName>
    <definedName name="ФКВ4">#REF!</definedName>
    <definedName name="ФКВГ1">#REF!</definedName>
    <definedName name="ФКВГ2">#REF!</definedName>
    <definedName name="ФКВГ3">#REF!</definedName>
    <definedName name="ФКВГ4">#REF!</definedName>
    <definedName name="ФКзаоБ1">#REF!</definedName>
    <definedName name="ФКзаоБ2">#REF!</definedName>
    <definedName name="ФКзаоБ3">#REF!</definedName>
    <definedName name="ФКзаоБ4">#REF!</definedName>
    <definedName name="ФКзаоБ5">#REF!</definedName>
    <definedName name="ФКзаоБГ1">#REF!</definedName>
    <definedName name="ФКзаоБГ2">#REF!</definedName>
    <definedName name="ФКзаоБГ3">#REF!</definedName>
    <definedName name="ФКзаоБГ4">#REF!</definedName>
    <definedName name="ФКзаоБГ5">#REF!</definedName>
    <definedName name="ФКзаоВ1">#REF!</definedName>
    <definedName name="ФКзаоВ2">#REF!</definedName>
    <definedName name="ФКзаоВ3">#REF!</definedName>
    <definedName name="ФКзаоВ4">#REF!</definedName>
    <definedName name="ФКзаоВ5">#REF!</definedName>
    <definedName name="ФКзаоВГ1">#REF!</definedName>
    <definedName name="ФКзаоВГ2">#REF!</definedName>
    <definedName name="ФКзаоВГ3">#REF!</definedName>
    <definedName name="ФКзаоВГ4">#REF!</definedName>
    <definedName name="ФКзаоВГ5">#REF!</definedName>
    <definedName name="ФКсокрБ1">#REF!</definedName>
    <definedName name="ФКсокрБ2">#REF!</definedName>
    <definedName name="ФКсокрБ3">#REF!</definedName>
    <definedName name="ФКсокрБ4">#REF!</definedName>
    <definedName name="ФКсокрБ5">#REF!</definedName>
    <definedName name="ФКсокрБГ1">#REF!</definedName>
    <definedName name="ФКсокрБГ2">#REF!</definedName>
    <definedName name="ФКсокрБГ3">#REF!</definedName>
    <definedName name="ФКсокрБГ4">#REF!</definedName>
    <definedName name="ФКсокрБГ5">#REF!</definedName>
    <definedName name="ФКсокрВ1">#REF!</definedName>
    <definedName name="ФКсокрВ2">#REF!</definedName>
    <definedName name="ФКсокрВ3">#REF!</definedName>
    <definedName name="ФКсокрВ4">#REF!</definedName>
    <definedName name="ФКсокрВ5">#REF!</definedName>
    <definedName name="ФКсокрВГ1">#REF!</definedName>
    <definedName name="ФКсокрВГ2">#REF!</definedName>
    <definedName name="ФКсокрВГ3">#REF!</definedName>
    <definedName name="ФКсокрВГ4">#REF!</definedName>
    <definedName name="ФКсокрВГ5">#REF!</definedName>
    <definedName name="ЭМБ1">#REF!</definedName>
    <definedName name="ЭМБ2">#REF!</definedName>
    <definedName name="ЭМБ3">#REF!</definedName>
    <definedName name="ЭМБ4">#REF!</definedName>
    <definedName name="ЭМБГ1">#REF!</definedName>
    <definedName name="ЭМБГ2">#REF!</definedName>
    <definedName name="ЭМБГ3">#REF!</definedName>
    <definedName name="ЭМБГ4">#REF!</definedName>
    <definedName name="ЭМВ1">#REF!</definedName>
    <definedName name="ЭМВ2">#REF!</definedName>
    <definedName name="ЭМВ3">#REF!</definedName>
    <definedName name="ЭМВ4">#REF!</definedName>
    <definedName name="ЭМВГ1">#REF!</definedName>
    <definedName name="ЭМВГ2">#REF!</definedName>
    <definedName name="ЭМВГ3">#REF!</definedName>
    <definedName name="ЭМВГ4">#REF!</definedName>
    <definedName name="ЭМзаоБ1">#REF!</definedName>
    <definedName name="ЭМзаоБ2">#REF!</definedName>
    <definedName name="ЭМзаоБ3">#REF!</definedName>
    <definedName name="ЭМзаоБ4">#REF!</definedName>
    <definedName name="ЭМзаоБ5">#REF!</definedName>
    <definedName name="ЭМзаоБГ1">#REF!</definedName>
    <definedName name="ЭМзаоБГ2">#REF!</definedName>
    <definedName name="ЭМзаоБГ3">#REF!</definedName>
    <definedName name="ЭМзаоБГ4">#REF!</definedName>
    <definedName name="ЭМзаоБГ5">#REF!</definedName>
    <definedName name="ЭМзаоВ1">#REF!</definedName>
    <definedName name="ЭМзаоВ2">#REF!</definedName>
    <definedName name="ЭМзаоВ3">#REF!</definedName>
    <definedName name="ЭМзаоВ4">#REF!</definedName>
    <definedName name="ЭМзаоВ5">#REF!</definedName>
    <definedName name="ЭМзаоВГ1">#REF!</definedName>
    <definedName name="ЭМзаоВГ2">#REF!</definedName>
    <definedName name="ЭМзаоВГ3">#REF!</definedName>
    <definedName name="ЭМзаоВГ4">#REF!</definedName>
    <definedName name="ЭМзаоВГ5">#REF!</definedName>
    <definedName name="ЭМсокрБ1">#REF!</definedName>
    <definedName name="ЭМсокрБ2">#REF!</definedName>
    <definedName name="ЭМсокрБ3">#REF!</definedName>
    <definedName name="ЭМсокрБ4">#REF!</definedName>
    <definedName name="ЭМсокрБ5">#REF!</definedName>
    <definedName name="ЭМсокрБГ1">#REF!</definedName>
    <definedName name="ЭМсокрБГ2">#REF!</definedName>
    <definedName name="ЭМсокрБГ3">#REF!</definedName>
    <definedName name="ЭМсокрБГ4">#REF!</definedName>
    <definedName name="ЭМсокрБГ5">#REF!</definedName>
    <definedName name="ЭМсокрВ1">#REF!</definedName>
    <definedName name="ЭМсокрВ2">#REF!</definedName>
    <definedName name="ЭМсокрВ3">#REF!</definedName>
    <definedName name="ЭМсокрВ4">#REF!</definedName>
    <definedName name="ЭМсокрВ5">#REF!</definedName>
    <definedName name="ЭМсокрВГ1">#REF!</definedName>
    <definedName name="ЭМсокрВГ2">#REF!</definedName>
    <definedName name="ЭМсокрВГ3">#REF!</definedName>
    <definedName name="ЭМсокрВГ4">#REF!</definedName>
    <definedName name="ЭМсокрВГ5">#REF!</definedName>
  </definedNames>
  <calcPr calcId="162913"/>
</workbook>
</file>

<file path=xl/calcChain.xml><?xml version="1.0" encoding="utf-8"?>
<calcChain xmlns="http://schemas.openxmlformats.org/spreadsheetml/2006/main">
  <c r="V50" i="36" l="1"/>
  <c r="S589" i="36" l="1"/>
  <c r="F654" i="36" l="1"/>
  <c r="F653" i="36"/>
  <c r="F717" i="36" s="1"/>
  <c r="N118" i="36" l="1"/>
  <c r="V705" i="36" l="1"/>
  <c r="V694" i="36"/>
  <c r="F692" i="38" l="1"/>
  <c r="F691" i="38"/>
  <c r="V28" i="36" l="1"/>
  <c r="V27" i="36"/>
  <c r="V26" i="36"/>
  <c r="V25" i="36"/>
  <c r="V191" i="36"/>
  <c r="V192" i="36"/>
  <c r="V193" i="36"/>
  <c r="V194" i="36"/>
  <c r="V29" i="36"/>
  <c r="V30" i="36"/>
  <c r="F718" i="36"/>
  <c r="V618" i="36"/>
  <c r="V617" i="36"/>
  <c r="V616" i="36"/>
  <c r="V615" i="36"/>
  <c r="V614" i="36"/>
  <c r="V613" i="36"/>
  <c r="V612" i="36"/>
  <c r="V611" i="36"/>
  <c r="V610" i="36"/>
  <c r="V609" i="36"/>
  <c r="V608" i="36"/>
  <c r="V607" i="36"/>
  <c r="V606" i="36"/>
  <c r="V605" i="36"/>
  <c r="V604" i="36"/>
  <c r="V603" i="36"/>
  <c r="V602" i="36"/>
  <c r="V600" i="36"/>
  <c r="V599" i="36"/>
  <c r="V598" i="36"/>
  <c r="V597" i="36"/>
  <c r="V596" i="36"/>
  <c r="V595" i="36"/>
  <c r="V594" i="36"/>
  <c r="V593" i="36"/>
  <c r="V592" i="36"/>
  <c r="V591" i="36"/>
  <c r="U590" i="36"/>
  <c r="T590" i="36"/>
  <c r="S590" i="36"/>
  <c r="R590" i="36"/>
  <c r="Q590" i="36"/>
  <c r="P590" i="36"/>
  <c r="O590" i="36"/>
  <c r="N590" i="36"/>
  <c r="M590" i="36"/>
  <c r="L590" i="36"/>
  <c r="K590" i="36"/>
  <c r="J590" i="36"/>
  <c r="I590" i="36"/>
  <c r="H590" i="36"/>
  <c r="G590" i="36"/>
  <c r="U589" i="36"/>
  <c r="T589" i="36"/>
  <c r="R589" i="36"/>
  <c r="Q589" i="36"/>
  <c r="P589" i="36"/>
  <c r="O589" i="36"/>
  <c r="N589" i="36"/>
  <c r="M589" i="36"/>
  <c r="L589" i="36"/>
  <c r="K589" i="36"/>
  <c r="J589" i="36"/>
  <c r="I589" i="36"/>
  <c r="H589" i="36"/>
  <c r="G589" i="36"/>
  <c r="V586" i="36"/>
  <c r="V585" i="36"/>
  <c r="V584" i="36"/>
  <c r="V583" i="36"/>
  <c r="V582" i="36"/>
  <c r="V581" i="36"/>
  <c r="V580" i="36"/>
  <c r="V579" i="36"/>
  <c r="V578" i="36"/>
  <c r="V577" i="36"/>
  <c r="V576" i="36"/>
  <c r="V575" i="36"/>
  <c r="V574" i="36"/>
  <c r="V573" i="36"/>
  <c r="V572" i="36"/>
  <c r="V571" i="36"/>
  <c r="V570" i="36"/>
  <c r="V568" i="36"/>
  <c r="V567" i="36"/>
  <c r="V566" i="36"/>
  <c r="V565" i="36"/>
  <c r="V564" i="36"/>
  <c r="V563" i="36"/>
  <c r="V562" i="36"/>
  <c r="V561" i="36"/>
  <c r="V560" i="36"/>
  <c r="V559" i="36"/>
  <c r="U558" i="36"/>
  <c r="T558" i="36"/>
  <c r="S558" i="36"/>
  <c r="R558" i="36"/>
  <c r="Q558" i="36"/>
  <c r="P558" i="36"/>
  <c r="O558" i="36"/>
  <c r="N558" i="36"/>
  <c r="M558" i="36"/>
  <c r="L558" i="36"/>
  <c r="K558" i="36"/>
  <c r="J558" i="36"/>
  <c r="I558" i="36"/>
  <c r="H558" i="36"/>
  <c r="G558" i="36"/>
  <c r="U557" i="36"/>
  <c r="T557" i="36"/>
  <c r="S557" i="36"/>
  <c r="R557" i="36"/>
  <c r="Q557" i="36"/>
  <c r="P557" i="36"/>
  <c r="O557" i="36"/>
  <c r="N557" i="36"/>
  <c r="M557" i="36"/>
  <c r="L557" i="36"/>
  <c r="K557" i="36"/>
  <c r="J557" i="36"/>
  <c r="I557" i="36"/>
  <c r="H557" i="36"/>
  <c r="G557" i="36"/>
  <c r="V190" i="36"/>
  <c r="V195" i="36"/>
  <c r="V22" i="36"/>
  <c r="V23" i="36"/>
  <c r="V24" i="36"/>
  <c r="V31" i="36"/>
  <c r="V32" i="36"/>
  <c r="U661" i="38"/>
  <c r="T661" i="38"/>
  <c r="S661" i="38"/>
  <c r="R661" i="38"/>
  <c r="Q661" i="38"/>
  <c r="P661" i="38"/>
  <c r="O661" i="38"/>
  <c r="N661" i="38"/>
  <c r="M661" i="38"/>
  <c r="L661" i="38"/>
  <c r="K661" i="38"/>
  <c r="J661" i="38"/>
  <c r="I661" i="38"/>
  <c r="H661" i="38"/>
  <c r="G661" i="38"/>
  <c r="U660" i="38"/>
  <c r="T660" i="38"/>
  <c r="S660" i="38"/>
  <c r="R660" i="38"/>
  <c r="Q660" i="38"/>
  <c r="P660" i="38"/>
  <c r="O660" i="38"/>
  <c r="N660" i="38"/>
  <c r="M660" i="38"/>
  <c r="L660" i="38"/>
  <c r="K660" i="38"/>
  <c r="J660" i="38"/>
  <c r="I660" i="38"/>
  <c r="H660" i="38"/>
  <c r="G660" i="38"/>
  <c r="U630" i="38"/>
  <c r="T630" i="38"/>
  <c r="S630" i="38"/>
  <c r="R630" i="38"/>
  <c r="Q630" i="38"/>
  <c r="P630" i="38"/>
  <c r="O630" i="38"/>
  <c r="N630" i="38"/>
  <c r="M630" i="38"/>
  <c r="L630" i="38"/>
  <c r="K630" i="38"/>
  <c r="J630" i="38"/>
  <c r="I630" i="38"/>
  <c r="H630" i="38"/>
  <c r="G630" i="38"/>
  <c r="U629" i="38"/>
  <c r="T629" i="38"/>
  <c r="S629" i="38"/>
  <c r="R629" i="38"/>
  <c r="Q629" i="38"/>
  <c r="P629" i="38"/>
  <c r="O629" i="38"/>
  <c r="N629" i="38"/>
  <c r="M629" i="38"/>
  <c r="L629" i="38"/>
  <c r="K629" i="38"/>
  <c r="J629" i="38"/>
  <c r="I629" i="38"/>
  <c r="H629" i="38"/>
  <c r="G629" i="38"/>
  <c r="U599" i="38"/>
  <c r="T599" i="38"/>
  <c r="S599" i="38"/>
  <c r="R599" i="38"/>
  <c r="Q599" i="38"/>
  <c r="P599" i="38"/>
  <c r="O599" i="38"/>
  <c r="N599" i="38"/>
  <c r="M599" i="38"/>
  <c r="L599" i="38"/>
  <c r="K599" i="38"/>
  <c r="J599" i="38"/>
  <c r="I599" i="38"/>
  <c r="H599" i="38"/>
  <c r="G599" i="38"/>
  <c r="U598" i="38"/>
  <c r="T598" i="38"/>
  <c r="S598" i="38"/>
  <c r="R598" i="38"/>
  <c r="Q598" i="38"/>
  <c r="P598" i="38"/>
  <c r="O598" i="38"/>
  <c r="N598" i="38"/>
  <c r="M598" i="38"/>
  <c r="L598" i="38"/>
  <c r="K598" i="38"/>
  <c r="J598" i="38"/>
  <c r="I598" i="38"/>
  <c r="H598" i="38"/>
  <c r="G598" i="38"/>
  <c r="U568" i="38"/>
  <c r="T568" i="38"/>
  <c r="S568" i="38"/>
  <c r="R568" i="38"/>
  <c r="Q568" i="38"/>
  <c r="P568" i="38"/>
  <c r="O568" i="38"/>
  <c r="N568" i="38"/>
  <c r="M568" i="38"/>
  <c r="L568" i="38"/>
  <c r="K568" i="38"/>
  <c r="J568" i="38"/>
  <c r="I568" i="38"/>
  <c r="H568" i="38"/>
  <c r="G568" i="38"/>
  <c r="U567" i="38"/>
  <c r="T567" i="38"/>
  <c r="S567" i="38"/>
  <c r="R567" i="38"/>
  <c r="Q567" i="38"/>
  <c r="P567" i="38"/>
  <c r="O567" i="38"/>
  <c r="N567" i="38"/>
  <c r="M567" i="38"/>
  <c r="L567" i="38"/>
  <c r="K567" i="38"/>
  <c r="J567" i="38"/>
  <c r="I567" i="38"/>
  <c r="H567" i="38"/>
  <c r="G567" i="38"/>
  <c r="U622" i="36"/>
  <c r="T622" i="36"/>
  <c r="S622" i="36"/>
  <c r="R622" i="36"/>
  <c r="Q622" i="36"/>
  <c r="P622" i="36"/>
  <c r="O622" i="36"/>
  <c r="N622" i="36"/>
  <c r="M622" i="36"/>
  <c r="L622" i="36"/>
  <c r="K622" i="36"/>
  <c r="J622" i="36"/>
  <c r="I622" i="36"/>
  <c r="H622" i="36"/>
  <c r="G622" i="36"/>
  <c r="U621" i="36"/>
  <c r="T621" i="36"/>
  <c r="S621" i="36"/>
  <c r="R621" i="36"/>
  <c r="Q621" i="36"/>
  <c r="P621" i="36"/>
  <c r="O621" i="36"/>
  <c r="N621" i="36"/>
  <c r="M621" i="36"/>
  <c r="L621" i="36"/>
  <c r="K621" i="36"/>
  <c r="J621" i="36"/>
  <c r="I621" i="36"/>
  <c r="H621" i="36"/>
  <c r="G621" i="36"/>
  <c r="U537" i="38"/>
  <c r="T537" i="38"/>
  <c r="S537" i="38"/>
  <c r="R537" i="38"/>
  <c r="Q537" i="38"/>
  <c r="P537" i="38"/>
  <c r="O537" i="38"/>
  <c r="N537" i="38"/>
  <c r="M537" i="38"/>
  <c r="L537" i="38"/>
  <c r="K537" i="38"/>
  <c r="J537" i="38"/>
  <c r="I537" i="38"/>
  <c r="H537" i="38"/>
  <c r="G537" i="38"/>
  <c r="U536" i="38"/>
  <c r="T536" i="38"/>
  <c r="S536" i="38"/>
  <c r="R536" i="38"/>
  <c r="Q536" i="38"/>
  <c r="P536" i="38"/>
  <c r="O536" i="38"/>
  <c r="N536" i="38"/>
  <c r="M536" i="38"/>
  <c r="L536" i="38"/>
  <c r="K536" i="38"/>
  <c r="J536" i="38"/>
  <c r="I536" i="38"/>
  <c r="H536" i="38"/>
  <c r="G536" i="38"/>
  <c r="U258" i="38"/>
  <c r="T258" i="38"/>
  <c r="S258" i="38"/>
  <c r="R258" i="38"/>
  <c r="Q258" i="38"/>
  <c r="P258" i="38"/>
  <c r="O258" i="38"/>
  <c r="N258" i="38"/>
  <c r="M258" i="38"/>
  <c r="L258" i="38"/>
  <c r="K258" i="38"/>
  <c r="J258" i="38"/>
  <c r="I258" i="38"/>
  <c r="H258" i="38"/>
  <c r="G258" i="38"/>
  <c r="U257" i="38"/>
  <c r="T257" i="38"/>
  <c r="S257" i="38"/>
  <c r="R257" i="38"/>
  <c r="Q257" i="38"/>
  <c r="P257" i="38"/>
  <c r="O257" i="38"/>
  <c r="N257" i="38"/>
  <c r="M257" i="38"/>
  <c r="L257" i="38"/>
  <c r="K257" i="38"/>
  <c r="J257" i="38"/>
  <c r="I257" i="38"/>
  <c r="H257" i="38"/>
  <c r="G257" i="38"/>
  <c r="U227" i="38"/>
  <c r="T227" i="38"/>
  <c r="S227" i="38"/>
  <c r="R227" i="38"/>
  <c r="Q227" i="38"/>
  <c r="P227" i="38"/>
  <c r="O227" i="38"/>
  <c r="N227" i="38"/>
  <c r="M227" i="38"/>
  <c r="L227" i="38"/>
  <c r="K227" i="38"/>
  <c r="J227" i="38"/>
  <c r="I227" i="38"/>
  <c r="H227" i="38"/>
  <c r="G227" i="38"/>
  <c r="U226" i="38"/>
  <c r="T226" i="38"/>
  <c r="S226" i="38"/>
  <c r="R226" i="38"/>
  <c r="Q226" i="38"/>
  <c r="P226" i="38"/>
  <c r="O226" i="38"/>
  <c r="N226" i="38"/>
  <c r="M226" i="38"/>
  <c r="L226" i="38"/>
  <c r="K226" i="38"/>
  <c r="J226" i="38"/>
  <c r="I226" i="38"/>
  <c r="H226" i="38"/>
  <c r="G226" i="38"/>
  <c r="U527" i="36"/>
  <c r="T527" i="36"/>
  <c r="S527" i="36"/>
  <c r="R527" i="36"/>
  <c r="Q527" i="36"/>
  <c r="P527" i="36"/>
  <c r="O527" i="36"/>
  <c r="N527" i="36"/>
  <c r="M527" i="36"/>
  <c r="L527" i="36"/>
  <c r="K527" i="36"/>
  <c r="J527" i="36"/>
  <c r="I527" i="36"/>
  <c r="H527" i="36"/>
  <c r="G527" i="36"/>
  <c r="U526" i="36"/>
  <c r="T526" i="36"/>
  <c r="S526" i="36"/>
  <c r="R526" i="36"/>
  <c r="Q526" i="36"/>
  <c r="P526" i="36"/>
  <c r="O526" i="36"/>
  <c r="N526" i="36"/>
  <c r="M526" i="36"/>
  <c r="L526" i="36"/>
  <c r="K526" i="36"/>
  <c r="J526" i="36"/>
  <c r="I526" i="36"/>
  <c r="H526" i="36"/>
  <c r="G526" i="36"/>
  <c r="G656" i="36"/>
  <c r="H656" i="36"/>
  <c r="I656" i="36"/>
  <c r="J656" i="36"/>
  <c r="K656" i="36"/>
  <c r="L656" i="36"/>
  <c r="M656" i="36"/>
  <c r="N656" i="36"/>
  <c r="O656" i="36"/>
  <c r="P656" i="36"/>
  <c r="Q656" i="36"/>
  <c r="R656" i="36"/>
  <c r="S656" i="36"/>
  <c r="T656" i="36"/>
  <c r="U656" i="36"/>
  <c r="G657" i="36"/>
  <c r="H657" i="36"/>
  <c r="I657" i="36"/>
  <c r="J657" i="36"/>
  <c r="K657" i="36"/>
  <c r="L657" i="36"/>
  <c r="M657" i="36"/>
  <c r="N657" i="36"/>
  <c r="O657" i="36"/>
  <c r="P657" i="36"/>
  <c r="Q657" i="36"/>
  <c r="R657" i="36"/>
  <c r="S657" i="36"/>
  <c r="T657" i="36"/>
  <c r="U657" i="36"/>
  <c r="V700" i="38"/>
  <c r="V701" i="38"/>
  <c r="V702" i="38"/>
  <c r="V703" i="38"/>
  <c r="U496" i="36"/>
  <c r="T496" i="36"/>
  <c r="S496" i="36"/>
  <c r="R496" i="36"/>
  <c r="Q496" i="36"/>
  <c r="P496" i="36"/>
  <c r="O496" i="36"/>
  <c r="N496" i="36"/>
  <c r="M496" i="36"/>
  <c r="L496" i="36"/>
  <c r="K496" i="36"/>
  <c r="J496" i="36"/>
  <c r="I496" i="36"/>
  <c r="H496" i="36"/>
  <c r="G496" i="36"/>
  <c r="U495" i="36"/>
  <c r="T495" i="36"/>
  <c r="S495" i="36"/>
  <c r="R495" i="36"/>
  <c r="Q495" i="36"/>
  <c r="P495" i="36"/>
  <c r="O495" i="36"/>
  <c r="N495" i="36"/>
  <c r="M495" i="36"/>
  <c r="L495" i="36"/>
  <c r="K495" i="36"/>
  <c r="J495" i="36"/>
  <c r="I495" i="36"/>
  <c r="H495" i="36"/>
  <c r="G495" i="36"/>
  <c r="S84" i="36"/>
  <c r="G84" i="36"/>
  <c r="H84" i="36"/>
  <c r="I84" i="36"/>
  <c r="J84" i="36"/>
  <c r="K84" i="36"/>
  <c r="L84" i="36"/>
  <c r="M84" i="36"/>
  <c r="N84" i="36"/>
  <c r="O84" i="36"/>
  <c r="P84" i="36"/>
  <c r="Q84" i="36"/>
  <c r="R84" i="36"/>
  <c r="T84" i="36"/>
  <c r="U84" i="36"/>
  <c r="F716" i="38"/>
  <c r="F717" i="38"/>
  <c r="V565" i="38"/>
  <c r="V564" i="38"/>
  <c r="V563" i="38"/>
  <c r="V562" i="38"/>
  <c r="V561" i="38"/>
  <c r="V560" i="38"/>
  <c r="V559" i="38"/>
  <c r="V558" i="38"/>
  <c r="V557" i="38"/>
  <c r="V556" i="38"/>
  <c r="V555" i="38"/>
  <c r="V554" i="38"/>
  <c r="V553" i="38"/>
  <c r="V552" i="38"/>
  <c r="V551" i="38"/>
  <c r="V550" i="38"/>
  <c r="V549" i="38"/>
  <c r="V547" i="38"/>
  <c r="V546" i="38"/>
  <c r="V545" i="38"/>
  <c r="V544" i="38"/>
  <c r="V543" i="38"/>
  <c r="V542" i="38"/>
  <c r="V541" i="38"/>
  <c r="V540" i="38"/>
  <c r="V539" i="38"/>
  <c r="V538" i="38"/>
  <c r="V534" i="38"/>
  <c r="V533" i="38"/>
  <c r="V532" i="38"/>
  <c r="V531" i="38"/>
  <c r="V530" i="38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6" i="38"/>
  <c r="V515" i="38"/>
  <c r="V514" i="38"/>
  <c r="V513" i="38"/>
  <c r="V512" i="38"/>
  <c r="V511" i="38"/>
  <c r="V510" i="38"/>
  <c r="V509" i="38"/>
  <c r="V508" i="38"/>
  <c r="V507" i="38"/>
  <c r="U506" i="38"/>
  <c r="T506" i="38"/>
  <c r="S506" i="38"/>
  <c r="R506" i="38"/>
  <c r="Q506" i="38"/>
  <c r="P506" i="38"/>
  <c r="O506" i="38"/>
  <c r="N506" i="38"/>
  <c r="M506" i="38"/>
  <c r="L506" i="38"/>
  <c r="K506" i="38"/>
  <c r="J506" i="38"/>
  <c r="I506" i="38"/>
  <c r="H506" i="38"/>
  <c r="G506" i="38"/>
  <c r="U505" i="38"/>
  <c r="T505" i="38"/>
  <c r="S505" i="38"/>
  <c r="R505" i="38"/>
  <c r="Q505" i="38"/>
  <c r="P505" i="38"/>
  <c r="O505" i="38"/>
  <c r="N505" i="38"/>
  <c r="M505" i="38"/>
  <c r="L505" i="38"/>
  <c r="K505" i="38"/>
  <c r="J505" i="38"/>
  <c r="I505" i="38"/>
  <c r="H505" i="38"/>
  <c r="G505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V489" i="38"/>
  <c r="V488" i="38"/>
  <c r="V487" i="38"/>
  <c r="V485" i="38"/>
  <c r="V484" i="38"/>
  <c r="V483" i="38"/>
  <c r="V482" i="38"/>
  <c r="V481" i="38"/>
  <c r="V480" i="38"/>
  <c r="V479" i="38"/>
  <c r="V478" i="38"/>
  <c r="V477" i="38"/>
  <c r="V476" i="38"/>
  <c r="U475" i="38"/>
  <c r="T475" i="38"/>
  <c r="S475" i="38"/>
  <c r="R475" i="38"/>
  <c r="Q475" i="38"/>
  <c r="P475" i="38"/>
  <c r="O475" i="38"/>
  <c r="N475" i="38"/>
  <c r="M475" i="38"/>
  <c r="L475" i="38"/>
  <c r="K475" i="38"/>
  <c r="J475" i="38"/>
  <c r="I475" i="38"/>
  <c r="H475" i="38"/>
  <c r="G475" i="38"/>
  <c r="U474" i="38"/>
  <c r="T474" i="38"/>
  <c r="S474" i="38"/>
  <c r="R474" i="38"/>
  <c r="Q474" i="38"/>
  <c r="P474" i="38"/>
  <c r="O474" i="38"/>
  <c r="N474" i="38"/>
  <c r="M474" i="38"/>
  <c r="L474" i="38"/>
  <c r="K474" i="38"/>
  <c r="J474" i="38"/>
  <c r="I474" i="38"/>
  <c r="H474" i="38"/>
  <c r="G474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4" i="38"/>
  <c r="V453" i="38"/>
  <c r="V452" i="38"/>
  <c r="V451" i="38"/>
  <c r="V450" i="38"/>
  <c r="V449" i="38"/>
  <c r="V448" i="38"/>
  <c r="V447" i="38"/>
  <c r="V446" i="38"/>
  <c r="V445" i="38"/>
  <c r="U444" i="38"/>
  <c r="T444" i="38"/>
  <c r="S444" i="38"/>
  <c r="R444" i="38"/>
  <c r="Q444" i="38"/>
  <c r="P444" i="38"/>
  <c r="O444" i="38"/>
  <c r="N444" i="38"/>
  <c r="M444" i="38"/>
  <c r="L444" i="38"/>
  <c r="K444" i="38"/>
  <c r="J444" i="38"/>
  <c r="I444" i="38"/>
  <c r="H444" i="38"/>
  <c r="G444" i="38"/>
  <c r="U443" i="38"/>
  <c r="T443" i="38"/>
  <c r="S443" i="38"/>
  <c r="R443" i="38"/>
  <c r="Q443" i="38"/>
  <c r="P443" i="38"/>
  <c r="O443" i="38"/>
  <c r="N443" i="38"/>
  <c r="M443" i="38"/>
  <c r="L443" i="38"/>
  <c r="K443" i="38"/>
  <c r="J443" i="38"/>
  <c r="I443" i="38"/>
  <c r="H443" i="38"/>
  <c r="G443" i="38"/>
  <c r="V441" i="38"/>
  <c r="V440" i="38"/>
  <c r="V439" i="38"/>
  <c r="V438" i="38"/>
  <c r="V437" i="38"/>
  <c r="V436" i="38"/>
  <c r="V435" i="38"/>
  <c r="V434" i="38"/>
  <c r="V433" i="38"/>
  <c r="V432" i="38"/>
  <c r="V431" i="38"/>
  <c r="V430" i="38"/>
  <c r="V429" i="38"/>
  <c r="V428" i="38"/>
  <c r="V427" i="38"/>
  <c r="V426" i="38"/>
  <c r="V425" i="38"/>
  <c r="V423" i="38"/>
  <c r="V422" i="38"/>
  <c r="V421" i="38"/>
  <c r="V420" i="38"/>
  <c r="V419" i="38"/>
  <c r="V418" i="38"/>
  <c r="V417" i="38"/>
  <c r="V416" i="38"/>
  <c r="V415" i="38"/>
  <c r="V414" i="38"/>
  <c r="U413" i="38"/>
  <c r="T413" i="38"/>
  <c r="S413" i="38"/>
  <c r="R413" i="38"/>
  <c r="Q413" i="38"/>
  <c r="P413" i="38"/>
  <c r="O413" i="38"/>
  <c r="N413" i="38"/>
  <c r="M413" i="38"/>
  <c r="L413" i="38"/>
  <c r="K413" i="38"/>
  <c r="J413" i="38"/>
  <c r="I413" i="38"/>
  <c r="H413" i="38"/>
  <c r="G413" i="38"/>
  <c r="U412" i="38"/>
  <c r="T412" i="38"/>
  <c r="S412" i="38"/>
  <c r="R412" i="38"/>
  <c r="Q412" i="38"/>
  <c r="P412" i="38"/>
  <c r="O412" i="38"/>
  <c r="N412" i="38"/>
  <c r="M412" i="38"/>
  <c r="L412" i="38"/>
  <c r="K412" i="38"/>
  <c r="J412" i="38"/>
  <c r="I412" i="38"/>
  <c r="H412" i="38"/>
  <c r="G412" i="38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V394" i="38"/>
  <c r="V392" i="38"/>
  <c r="V391" i="38"/>
  <c r="V390" i="38"/>
  <c r="V389" i="38"/>
  <c r="V388" i="38"/>
  <c r="V387" i="38"/>
  <c r="V386" i="38"/>
  <c r="V385" i="38"/>
  <c r="V384" i="38"/>
  <c r="V383" i="38"/>
  <c r="U382" i="38"/>
  <c r="T382" i="38"/>
  <c r="S382" i="38"/>
  <c r="R382" i="38"/>
  <c r="Q382" i="38"/>
  <c r="P382" i="38"/>
  <c r="O382" i="38"/>
  <c r="N382" i="38"/>
  <c r="M382" i="38"/>
  <c r="L382" i="38"/>
  <c r="K382" i="38"/>
  <c r="J382" i="38"/>
  <c r="I382" i="38"/>
  <c r="H382" i="38"/>
  <c r="G382" i="38"/>
  <c r="U381" i="38"/>
  <c r="T381" i="38"/>
  <c r="S381" i="38"/>
  <c r="R381" i="38"/>
  <c r="Q381" i="38"/>
  <c r="P381" i="38"/>
  <c r="O381" i="38"/>
  <c r="N381" i="38"/>
  <c r="M381" i="38"/>
  <c r="L381" i="38"/>
  <c r="K381" i="38"/>
  <c r="J381" i="38"/>
  <c r="I381" i="38"/>
  <c r="H381" i="38"/>
  <c r="G381" i="38"/>
  <c r="V379" i="38"/>
  <c r="V378" i="38"/>
  <c r="V377" i="38"/>
  <c r="V376" i="38"/>
  <c r="V375" i="38"/>
  <c r="V374" i="38"/>
  <c r="V373" i="38"/>
  <c r="V372" i="38"/>
  <c r="V371" i="38"/>
  <c r="V370" i="38"/>
  <c r="V369" i="38"/>
  <c r="V368" i="38"/>
  <c r="V367" i="38"/>
  <c r="V366" i="38"/>
  <c r="V365" i="38"/>
  <c r="V364" i="38"/>
  <c r="V363" i="38"/>
  <c r="V361" i="38"/>
  <c r="V360" i="38"/>
  <c r="V359" i="38"/>
  <c r="V358" i="38"/>
  <c r="V357" i="38"/>
  <c r="V356" i="38"/>
  <c r="V355" i="38"/>
  <c r="V354" i="38"/>
  <c r="V353" i="38"/>
  <c r="V352" i="38"/>
  <c r="U351" i="38"/>
  <c r="T351" i="38"/>
  <c r="S351" i="38"/>
  <c r="R351" i="38"/>
  <c r="Q351" i="38"/>
  <c r="P351" i="38"/>
  <c r="O351" i="38"/>
  <c r="N351" i="38"/>
  <c r="M351" i="38"/>
  <c r="L351" i="38"/>
  <c r="K351" i="38"/>
  <c r="J351" i="38"/>
  <c r="I351" i="38"/>
  <c r="H351" i="38"/>
  <c r="G351" i="38"/>
  <c r="U350" i="38"/>
  <c r="T350" i="38"/>
  <c r="S350" i="38"/>
  <c r="R350" i="38"/>
  <c r="Q350" i="38"/>
  <c r="P350" i="38"/>
  <c r="O350" i="38"/>
  <c r="N350" i="38"/>
  <c r="M350" i="38"/>
  <c r="L350" i="38"/>
  <c r="K350" i="38"/>
  <c r="J350" i="38"/>
  <c r="I350" i="38"/>
  <c r="H350" i="38"/>
  <c r="G350" i="38"/>
  <c r="V348" i="38"/>
  <c r="V347" i="38"/>
  <c r="V346" i="38"/>
  <c r="V345" i="38"/>
  <c r="V344" i="38"/>
  <c r="V343" i="38"/>
  <c r="V342" i="38"/>
  <c r="V341" i="38"/>
  <c r="V340" i="38"/>
  <c r="V339" i="38"/>
  <c r="V338" i="38"/>
  <c r="V337" i="38"/>
  <c r="V336" i="38"/>
  <c r="V335" i="38"/>
  <c r="V334" i="38"/>
  <c r="V333" i="38"/>
  <c r="V332" i="38"/>
  <c r="V330" i="38"/>
  <c r="V329" i="38"/>
  <c r="V328" i="38"/>
  <c r="V327" i="38"/>
  <c r="V326" i="38"/>
  <c r="V325" i="38"/>
  <c r="V324" i="38"/>
  <c r="V323" i="38"/>
  <c r="V322" i="38"/>
  <c r="V321" i="38"/>
  <c r="U320" i="38"/>
  <c r="T320" i="38"/>
  <c r="S320" i="38"/>
  <c r="R320" i="38"/>
  <c r="Q320" i="38"/>
  <c r="P320" i="38"/>
  <c r="O320" i="38"/>
  <c r="N320" i="38"/>
  <c r="M320" i="38"/>
  <c r="L320" i="38"/>
  <c r="K320" i="38"/>
  <c r="J320" i="38"/>
  <c r="I320" i="38"/>
  <c r="H320" i="38"/>
  <c r="G320" i="38"/>
  <c r="U319" i="38"/>
  <c r="T319" i="38"/>
  <c r="S319" i="38"/>
  <c r="R319" i="38"/>
  <c r="Q319" i="38"/>
  <c r="P319" i="38"/>
  <c r="O319" i="38"/>
  <c r="N319" i="38"/>
  <c r="M319" i="38"/>
  <c r="L319" i="38"/>
  <c r="K319" i="38"/>
  <c r="J319" i="38"/>
  <c r="I319" i="38"/>
  <c r="H319" i="38"/>
  <c r="G319" i="38"/>
  <c r="V317" i="38"/>
  <c r="V316" i="38"/>
  <c r="V315" i="38"/>
  <c r="V314" i="38"/>
  <c r="V313" i="38"/>
  <c r="V312" i="38"/>
  <c r="V311" i="38"/>
  <c r="V310" i="38"/>
  <c r="V309" i="38"/>
  <c r="V308" i="38"/>
  <c r="V307" i="38"/>
  <c r="V306" i="38"/>
  <c r="V305" i="38"/>
  <c r="V304" i="38"/>
  <c r="V303" i="38"/>
  <c r="V302" i="38"/>
  <c r="V301" i="38"/>
  <c r="V299" i="38"/>
  <c r="V298" i="38"/>
  <c r="V297" i="38"/>
  <c r="V296" i="38"/>
  <c r="V295" i="38"/>
  <c r="V294" i="38"/>
  <c r="V293" i="38"/>
  <c r="V292" i="38"/>
  <c r="V291" i="38"/>
  <c r="V290" i="38"/>
  <c r="U289" i="38"/>
  <c r="T289" i="38"/>
  <c r="S289" i="38"/>
  <c r="R289" i="38"/>
  <c r="Q289" i="38"/>
  <c r="P289" i="38"/>
  <c r="O289" i="38"/>
  <c r="N289" i="38"/>
  <c r="M289" i="38"/>
  <c r="L289" i="38"/>
  <c r="K289" i="38"/>
  <c r="J289" i="38"/>
  <c r="I289" i="38"/>
  <c r="H289" i="38"/>
  <c r="G289" i="38"/>
  <c r="U288" i="38"/>
  <c r="T288" i="38"/>
  <c r="S288" i="38"/>
  <c r="R288" i="38"/>
  <c r="Q288" i="38"/>
  <c r="P288" i="38"/>
  <c r="O288" i="38"/>
  <c r="N288" i="38"/>
  <c r="M288" i="38"/>
  <c r="L288" i="38"/>
  <c r="K288" i="38"/>
  <c r="J288" i="38"/>
  <c r="I288" i="38"/>
  <c r="H288" i="38"/>
  <c r="G288" i="38"/>
  <c r="V286" i="38"/>
  <c r="V285" i="38"/>
  <c r="V284" i="38"/>
  <c r="V283" i="38"/>
  <c r="V282" i="38"/>
  <c r="V281" i="38"/>
  <c r="V280" i="38"/>
  <c r="V279" i="38"/>
  <c r="V278" i="38"/>
  <c r="V277" i="38"/>
  <c r="V276" i="38"/>
  <c r="V275" i="38"/>
  <c r="V274" i="38"/>
  <c r="V273" i="38"/>
  <c r="V272" i="38"/>
  <c r="V271" i="38"/>
  <c r="V270" i="38"/>
  <c r="V268" i="38"/>
  <c r="V267" i="38"/>
  <c r="V266" i="38"/>
  <c r="V265" i="38"/>
  <c r="V264" i="38"/>
  <c r="V263" i="38"/>
  <c r="V262" i="38"/>
  <c r="V261" i="38"/>
  <c r="V260" i="38"/>
  <c r="V259" i="38"/>
  <c r="V255" i="38"/>
  <c r="V254" i="38"/>
  <c r="V253" i="38"/>
  <c r="V252" i="38"/>
  <c r="V251" i="38"/>
  <c r="V250" i="38"/>
  <c r="V249" i="38"/>
  <c r="V248" i="38"/>
  <c r="V247" i="38"/>
  <c r="V246" i="38"/>
  <c r="V245" i="38"/>
  <c r="V244" i="38"/>
  <c r="V243" i="38"/>
  <c r="V242" i="38"/>
  <c r="V241" i="38"/>
  <c r="V240" i="38"/>
  <c r="V239" i="38"/>
  <c r="V237" i="38"/>
  <c r="V236" i="38"/>
  <c r="V235" i="38"/>
  <c r="V234" i="38"/>
  <c r="V233" i="38"/>
  <c r="V232" i="38"/>
  <c r="V231" i="38"/>
  <c r="V230" i="38"/>
  <c r="V229" i="38"/>
  <c r="V228" i="38"/>
  <c r="V224" i="38"/>
  <c r="V223" i="38"/>
  <c r="V222" i="38"/>
  <c r="V221" i="38"/>
  <c r="V220" i="38"/>
  <c r="V219" i="38"/>
  <c r="V218" i="38"/>
  <c r="V217" i="38"/>
  <c r="V216" i="38"/>
  <c r="V215" i="38"/>
  <c r="V214" i="38"/>
  <c r="V213" i="38"/>
  <c r="V212" i="38"/>
  <c r="V211" i="38"/>
  <c r="V210" i="38"/>
  <c r="V209" i="38"/>
  <c r="V208" i="38"/>
  <c r="V206" i="38"/>
  <c r="V205" i="38"/>
  <c r="V204" i="38"/>
  <c r="V203" i="38"/>
  <c r="V202" i="38"/>
  <c r="V201" i="38"/>
  <c r="V200" i="38"/>
  <c r="V199" i="38"/>
  <c r="V198" i="38"/>
  <c r="V197" i="38"/>
  <c r="U196" i="38"/>
  <c r="T196" i="38"/>
  <c r="S196" i="38"/>
  <c r="R196" i="38"/>
  <c r="Q196" i="38"/>
  <c r="P196" i="38"/>
  <c r="O196" i="38"/>
  <c r="N196" i="38"/>
  <c r="M196" i="38"/>
  <c r="L196" i="38"/>
  <c r="K196" i="38"/>
  <c r="J196" i="38"/>
  <c r="I196" i="38"/>
  <c r="H196" i="38"/>
  <c r="G196" i="38"/>
  <c r="U195" i="38"/>
  <c r="T195" i="38"/>
  <c r="S195" i="38"/>
  <c r="R195" i="38"/>
  <c r="Q195" i="38"/>
  <c r="P195" i="38"/>
  <c r="O195" i="38"/>
  <c r="N195" i="38"/>
  <c r="M195" i="38"/>
  <c r="L195" i="38"/>
  <c r="K195" i="38"/>
  <c r="J195" i="38"/>
  <c r="I195" i="38"/>
  <c r="H195" i="38"/>
  <c r="G195" i="38"/>
  <c r="V193" i="38"/>
  <c r="V192" i="38"/>
  <c r="V191" i="38"/>
  <c r="V190" i="38"/>
  <c r="V189" i="38"/>
  <c r="V188" i="38"/>
  <c r="V187" i="38"/>
  <c r="V186" i="38"/>
  <c r="V185" i="38"/>
  <c r="V184" i="38"/>
  <c r="V183" i="38"/>
  <c r="V182" i="38"/>
  <c r="V181" i="38"/>
  <c r="V180" i="38"/>
  <c r="V179" i="38"/>
  <c r="V178" i="38"/>
  <c r="V177" i="38"/>
  <c r="V175" i="38"/>
  <c r="V174" i="38"/>
  <c r="V173" i="38"/>
  <c r="V172" i="38"/>
  <c r="V171" i="38"/>
  <c r="V170" i="38"/>
  <c r="V169" i="38"/>
  <c r="V168" i="38"/>
  <c r="V167" i="38"/>
  <c r="V166" i="38"/>
  <c r="U165" i="38"/>
  <c r="T165" i="38"/>
  <c r="S165" i="38"/>
  <c r="R165" i="38"/>
  <c r="Q165" i="38"/>
  <c r="P165" i="38"/>
  <c r="O165" i="38"/>
  <c r="N165" i="38"/>
  <c r="M165" i="38"/>
  <c r="L165" i="38"/>
  <c r="K165" i="38"/>
  <c r="J165" i="38"/>
  <c r="I165" i="38"/>
  <c r="H165" i="38"/>
  <c r="G165" i="38"/>
  <c r="U164" i="38"/>
  <c r="T164" i="38"/>
  <c r="S164" i="38"/>
  <c r="R164" i="38"/>
  <c r="Q164" i="38"/>
  <c r="P164" i="38"/>
  <c r="O164" i="38"/>
  <c r="N164" i="38"/>
  <c r="M164" i="38"/>
  <c r="L164" i="38"/>
  <c r="K164" i="38"/>
  <c r="J164" i="38"/>
  <c r="I164" i="38"/>
  <c r="H164" i="38"/>
  <c r="G164" i="38"/>
  <c r="V162" i="38"/>
  <c r="V161" i="38"/>
  <c r="V160" i="38"/>
  <c r="V159" i="38"/>
  <c r="V158" i="38"/>
  <c r="V157" i="38"/>
  <c r="V156" i="38"/>
  <c r="V155" i="38"/>
  <c r="V154" i="38"/>
  <c r="V153" i="38"/>
  <c r="V152" i="38"/>
  <c r="V151" i="38"/>
  <c r="V150" i="38"/>
  <c r="V149" i="38"/>
  <c r="V148" i="38"/>
  <c r="V147" i="38"/>
  <c r="V146" i="38"/>
  <c r="V144" i="38"/>
  <c r="V143" i="38"/>
  <c r="V142" i="38"/>
  <c r="V141" i="38"/>
  <c r="V140" i="38"/>
  <c r="V139" i="38"/>
  <c r="V138" i="38"/>
  <c r="V137" i="38"/>
  <c r="V136" i="38"/>
  <c r="V135" i="38"/>
  <c r="U134" i="38"/>
  <c r="T134" i="38"/>
  <c r="S134" i="38"/>
  <c r="R134" i="38"/>
  <c r="Q134" i="38"/>
  <c r="P134" i="38"/>
  <c r="O134" i="38"/>
  <c r="N134" i="38"/>
  <c r="M134" i="38"/>
  <c r="L134" i="38"/>
  <c r="K134" i="38"/>
  <c r="J134" i="38"/>
  <c r="I134" i="38"/>
  <c r="H134" i="38"/>
  <c r="G134" i="38"/>
  <c r="U133" i="38"/>
  <c r="T133" i="38"/>
  <c r="S133" i="38"/>
  <c r="R133" i="38"/>
  <c r="Q133" i="38"/>
  <c r="P133" i="38"/>
  <c r="O133" i="38"/>
  <c r="N133" i="38"/>
  <c r="M133" i="38"/>
  <c r="L133" i="38"/>
  <c r="K133" i="38"/>
  <c r="J133" i="38"/>
  <c r="I133" i="38"/>
  <c r="H133" i="38"/>
  <c r="G133" i="38"/>
  <c r="V131" i="38"/>
  <c r="V130" i="38"/>
  <c r="V129" i="38"/>
  <c r="V128" i="38"/>
  <c r="V127" i="38"/>
  <c r="V126" i="38"/>
  <c r="V125" i="38"/>
  <c r="V124" i="38"/>
  <c r="V123" i="38"/>
  <c r="V122" i="38"/>
  <c r="V121" i="38"/>
  <c r="V120" i="38"/>
  <c r="V119" i="38"/>
  <c r="V118" i="38"/>
  <c r="V117" i="38"/>
  <c r="V116" i="38"/>
  <c r="V115" i="38"/>
  <c r="V113" i="38"/>
  <c r="V112" i="38"/>
  <c r="V111" i="38"/>
  <c r="V110" i="38"/>
  <c r="V109" i="38"/>
  <c r="V108" i="38"/>
  <c r="V107" i="38"/>
  <c r="V106" i="38"/>
  <c r="V105" i="38"/>
  <c r="V104" i="38"/>
  <c r="U103" i="38"/>
  <c r="T103" i="38"/>
  <c r="S103" i="38"/>
  <c r="R103" i="38"/>
  <c r="Q103" i="38"/>
  <c r="P103" i="38"/>
  <c r="O103" i="38"/>
  <c r="N103" i="38"/>
  <c r="M103" i="38"/>
  <c r="L103" i="38"/>
  <c r="K103" i="38"/>
  <c r="J103" i="38"/>
  <c r="I103" i="38"/>
  <c r="H103" i="38"/>
  <c r="G103" i="38"/>
  <c r="U102" i="38"/>
  <c r="T102" i="38"/>
  <c r="S102" i="38"/>
  <c r="R102" i="38"/>
  <c r="Q102" i="38"/>
  <c r="P102" i="38"/>
  <c r="O102" i="38"/>
  <c r="N102" i="38"/>
  <c r="M102" i="38"/>
  <c r="L102" i="38"/>
  <c r="K102" i="38"/>
  <c r="J102" i="38"/>
  <c r="I102" i="38"/>
  <c r="H102" i="38"/>
  <c r="G102" i="38"/>
  <c r="V555" i="36"/>
  <c r="V554" i="36"/>
  <c r="V553" i="36"/>
  <c r="V552" i="36"/>
  <c r="V551" i="36"/>
  <c r="V550" i="36"/>
  <c r="V549" i="36"/>
  <c r="V548" i="36"/>
  <c r="V547" i="36"/>
  <c r="V546" i="36"/>
  <c r="V545" i="36"/>
  <c r="V544" i="36"/>
  <c r="V543" i="36"/>
  <c r="V542" i="36"/>
  <c r="V541" i="36"/>
  <c r="V540" i="36"/>
  <c r="V539" i="36"/>
  <c r="V537" i="36"/>
  <c r="V536" i="36"/>
  <c r="V535" i="36"/>
  <c r="V534" i="36"/>
  <c r="V533" i="36"/>
  <c r="V532" i="36"/>
  <c r="V531" i="36"/>
  <c r="V530" i="36"/>
  <c r="V529" i="36"/>
  <c r="V528" i="36"/>
  <c r="V524" i="36"/>
  <c r="V523" i="36"/>
  <c r="V522" i="36"/>
  <c r="V521" i="36"/>
  <c r="V520" i="36"/>
  <c r="V519" i="36"/>
  <c r="V518" i="36"/>
  <c r="V517" i="36"/>
  <c r="V516" i="36"/>
  <c r="V515" i="36"/>
  <c r="V514" i="36"/>
  <c r="V513" i="36"/>
  <c r="V512" i="36"/>
  <c r="V511" i="36"/>
  <c r="V510" i="36"/>
  <c r="V509" i="36"/>
  <c r="V508" i="36"/>
  <c r="V506" i="36"/>
  <c r="V505" i="36"/>
  <c r="V504" i="36"/>
  <c r="V503" i="36"/>
  <c r="V502" i="36"/>
  <c r="V501" i="36"/>
  <c r="V500" i="36"/>
  <c r="V499" i="36"/>
  <c r="V498" i="36"/>
  <c r="V497" i="36"/>
  <c r="V493" i="36"/>
  <c r="V492" i="36"/>
  <c r="V491" i="36"/>
  <c r="V490" i="36"/>
  <c r="V489" i="36"/>
  <c r="V488" i="36"/>
  <c r="V487" i="36"/>
  <c r="V486" i="36"/>
  <c r="V485" i="36"/>
  <c r="V484" i="36"/>
  <c r="V483" i="36"/>
  <c r="V482" i="36"/>
  <c r="V481" i="36"/>
  <c r="V480" i="36"/>
  <c r="V479" i="36"/>
  <c r="V478" i="36"/>
  <c r="V477" i="36"/>
  <c r="V475" i="36"/>
  <c r="V474" i="36"/>
  <c r="V473" i="36"/>
  <c r="V472" i="36"/>
  <c r="V471" i="36"/>
  <c r="V470" i="36"/>
  <c r="V469" i="36"/>
  <c r="V468" i="36"/>
  <c r="V467" i="36"/>
  <c r="V466" i="36"/>
  <c r="U465" i="36"/>
  <c r="T465" i="36"/>
  <c r="S465" i="36"/>
  <c r="R465" i="36"/>
  <c r="Q465" i="36"/>
  <c r="P465" i="36"/>
  <c r="O465" i="36"/>
  <c r="N465" i="36"/>
  <c r="M465" i="36"/>
  <c r="L465" i="36"/>
  <c r="K465" i="36"/>
  <c r="J465" i="36"/>
  <c r="I465" i="36"/>
  <c r="H465" i="36"/>
  <c r="G465" i="36"/>
  <c r="U464" i="36"/>
  <c r="T464" i="36"/>
  <c r="S464" i="36"/>
  <c r="R464" i="36"/>
  <c r="Q464" i="36"/>
  <c r="P464" i="36"/>
  <c r="O464" i="36"/>
  <c r="N464" i="36"/>
  <c r="M464" i="36"/>
  <c r="L464" i="36"/>
  <c r="K464" i="36"/>
  <c r="J464" i="36"/>
  <c r="I464" i="36"/>
  <c r="H464" i="36"/>
  <c r="G464" i="36"/>
  <c r="V462" i="36"/>
  <c r="V461" i="36"/>
  <c r="V460" i="36"/>
  <c r="V459" i="36"/>
  <c r="V458" i="36"/>
  <c r="V457" i="36"/>
  <c r="V456" i="36"/>
  <c r="V455" i="36"/>
  <c r="V454" i="36"/>
  <c r="V453" i="36"/>
  <c r="V452" i="36"/>
  <c r="V451" i="36"/>
  <c r="V450" i="36"/>
  <c r="V449" i="36"/>
  <c r="V448" i="36"/>
  <c r="V447" i="36"/>
  <c r="V446" i="36"/>
  <c r="V444" i="36"/>
  <c r="V443" i="36"/>
  <c r="V442" i="36"/>
  <c r="V441" i="36"/>
  <c r="V440" i="36"/>
  <c r="V439" i="36"/>
  <c r="V438" i="36"/>
  <c r="V437" i="36"/>
  <c r="V436" i="36"/>
  <c r="V435" i="36"/>
  <c r="U434" i="36"/>
  <c r="T434" i="36"/>
  <c r="S434" i="36"/>
  <c r="R434" i="36"/>
  <c r="Q434" i="36"/>
  <c r="P434" i="36"/>
  <c r="O434" i="36"/>
  <c r="N434" i="36"/>
  <c r="M434" i="36"/>
  <c r="L434" i="36"/>
  <c r="K434" i="36"/>
  <c r="J434" i="36"/>
  <c r="I434" i="36"/>
  <c r="H434" i="36"/>
  <c r="G434" i="36"/>
  <c r="U433" i="36"/>
  <c r="T433" i="36"/>
  <c r="S433" i="36"/>
  <c r="R433" i="36"/>
  <c r="Q433" i="36"/>
  <c r="P433" i="36"/>
  <c r="O433" i="36"/>
  <c r="N433" i="36"/>
  <c r="M433" i="36"/>
  <c r="L433" i="36"/>
  <c r="K433" i="36"/>
  <c r="J433" i="36"/>
  <c r="I433" i="36"/>
  <c r="H433" i="36"/>
  <c r="G433" i="36"/>
  <c r="V400" i="36"/>
  <c r="V399" i="36"/>
  <c r="V398" i="36"/>
  <c r="V397" i="36"/>
  <c r="V396" i="36"/>
  <c r="V395" i="36"/>
  <c r="V394" i="36"/>
  <c r="V393" i="36"/>
  <c r="V392" i="36"/>
  <c r="V391" i="36"/>
  <c r="V390" i="36"/>
  <c r="V389" i="36"/>
  <c r="V388" i="36"/>
  <c r="V387" i="36"/>
  <c r="V386" i="36"/>
  <c r="V385" i="36"/>
  <c r="V384" i="36"/>
  <c r="V382" i="36"/>
  <c r="V381" i="36"/>
  <c r="V380" i="36"/>
  <c r="V379" i="36"/>
  <c r="V378" i="36"/>
  <c r="V377" i="36"/>
  <c r="V376" i="36"/>
  <c r="V375" i="36"/>
  <c r="V374" i="36"/>
  <c r="V373" i="36"/>
  <c r="U372" i="36"/>
  <c r="T372" i="36"/>
  <c r="S372" i="36"/>
  <c r="R372" i="36"/>
  <c r="Q372" i="36"/>
  <c r="P372" i="36"/>
  <c r="O372" i="36"/>
  <c r="N372" i="36"/>
  <c r="M372" i="36"/>
  <c r="L372" i="36"/>
  <c r="K372" i="36"/>
  <c r="J372" i="36"/>
  <c r="I372" i="36"/>
  <c r="H372" i="36"/>
  <c r="G372" i="36"/>
  <c r="U371" i="36"/>
  <c r="T371" i="36"/>
  <c r="S371" i="36"/>
  <c r="R371" i="36"/>
  <c r="Q371" i="36"/>
  <c r="P371" i="36"/>
  <c r="O371" i="36"/>
  <c r="N371" i="36"/>
  <c r="M371" i="36"/>
  <c r="L371" i="36"/>
  <c r="K371" i="36"/>
  <c r="J371" i="36"/>
  <c r="I371" i="36"/>
  <c r="H371" i="36"/>
  <c r="G371" i="36"/>
  <c r="V369" i="36"/>
  <c r="V368" i="36"/>
  <c r="V367" i="36"/>
  <c r="V366" i="36"/>
  <c r="V365" i="36"/>
  <c r="V364" i="36"/>
  <c r="V363" i="36"/>
  <c r="V362" i="36"/>
  <c r="V361" i="36"/>
  <c r="V360" i="36"/>
  <c r="V359" i="36"/>
  <c r="V358" i="36"/>
  <c r="V357" i="36"/>
  <c r="V356" i="36"/>
  <c r="V355" i="36"/>
  <c r="V354" i="36"/>
  <c r="V353" i="36"/>
  <c r="V351" i="36"/>
  <c r="V350" i="36"/>
  <c r="V349" i="36"/>
  <c r="V348" i="36"/>
  <c r="V347" i="36"/>
  <c r="V346" i="36"/>
  <c r="V345" i="36"/>
  <c r="V344" i="36"/>
  <c r="V343" i="36"/>
  <c r="V342" i="36"/>
  <c r="U341" i="36"/>
  <c r="T341" i="36"/>
  <c r="S341" i="36"/>
  <c r="R341" i="36"/>
  <c r="Q341" i="36"/>
  <c r="P341" i="36"/>
  <c r="O341" i="36"/>
  <c r="N341" i="36"/>
  <c r="M341" i="36"/>
  <c r="L341" i="36"/>
  <c r="K341" i="36"/>
  <c r="J341" i="36"/>
  <c r="I341" i="36"/>
  <c r="H341" i="36"/>
  <c r="G341" i="36"/>
  <c r="U340" i="36"/>
  <c r="T340" i="36"/>
  <c r="S340" i="36"/>
  <c r="R340" i="36"/>
  <c r="Q340" i="36"/>
  <c r="P340" i="36"/>
  <c r="O340" i="36"/>
  <c r="N340" i="36"/>
  <c r="M340" i="36"/>
  <c r="L340" i="36"/>
  <c r="K340" i="36"/>
  <c r="J340" i="36"/>
  <c r="I340" i="36"/>
  <c r="H340" i="36"/>
  <c r="G340" i="36"/>
  <c r="V431" i="36"/>
  <c r="V430" i="36"/>
  <c r="V429" i="36"/>
  <c r="V428" i="36"/>
  <c r="V427" i="36"/>
  <c r="V426" i="36"/>
  <c r="V425" i="36"/>
  <c r="V424" i="36"/>
  <c r="V423" i="36"/>
  <c r="V422" i="36"/>
  <c r="V421" i="36"/>
  <c r="V420" i="36"/>
  <c r="V419" i="36"/>
  <c r="V418" i="36"/>
  <c r="V417" i="36"/>
  <c r="V416" i="36"/>
  <c r="V415" i="36"/>
  <c r="V413" i="36"/>
  <c r="V412" i="36"/>
  <c r="V411" i="36"/>
  <c r="V410" i="36"/>
  <c r="V409" i="36"/>
  <c r="V408" i="36"/>
  <c r="V407" i="36"/>
  <c r="V406" i="36"/>
  <c r="V405" i="36"/>
  <c r="V404" i="36"/>
  <c r="U403" i="36"/>
  <c r="T403" i="36"/>
  <c r="S403" i="36"/>
  <c r="R403" i="36"/>
  <c r="Q403" i="36"/>
  <c r="P403" i="36"/>
  <c r="O403" i="36"/>
  <c r="N403" i="36"/>
  <c r="M403" i="36"/>
  <c r="L403" i="36"/>
  <c r="K403" i="36"/>
  <c r="J403" i="36"/>
  <c r="I403" i="36"/>
  <c r="H403" i="36"/>
  <c r="G403" i="36"/>
  <c r="U402" i="36"/>
  <c r="T402" i="36"/>
  <c r="S402" i="36"/>
  <c r="R402" i="36"/>
  <c r="Q402" i="36"/>
  <c r="P402" i="36"/>
  <c r="O402" i="36"/>
  <c r="N402" i="36"/>
  <c r="M402" i="36"/>
  <c r="L402" i="36"/>
  <c r="K402" i="36"/>
  <c r="J402" i="36"/>
  <c r="I402" i="36"/>
  <c r="H402" i="36"/>
  <c r="G402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0" i="36"/>
  <c r="V319" i="36"/>
  <c r="V318" i="36"/>
  <c r="V317" i="36"/>
  <c r="V316" i="36"/>
  <c r="V315" i="36"/>
  <c r="V314" i="36"/>
  <c r="V313" i="36"/>
  <c r="V312" i="36"/>
  <c r="V311" i="36"/>
  <c r="U310" i="36"/>
  <c r="T310" i="36"/>
  <c r="S310" i="36"/>
  <c r="R310" i="36"/>
  <c r="Q310" i="36"/>
  <c r="P310" i="36"/>
  <c r="O310" i="36"/>
  <c r="N310" i="36"/>
  <c r="M310" i="36"/>
  <c r="L310" i="36"/>
  <c r="K310" i="36"/>
  <c r="J310" i="36"/>
  <c r="I310" i="36"/>
  <c r="H310" i="36"/>
  <c r="G310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I309" i="36"/>
  <c r="H309" i="36"/>
  <c r="G309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7" i="36"/>
  <c r="V226" i="36"/>
  <c r="V225" i="36"/>
  <c r="V224" i="36"/>
  <c r="V223" i="36"/>
  <c r="V222" i="36"/>
  <c r="V221" i="36"/>
  <c r="V220" i="36"/>
  <c r="V219" i="36"/>
  <c r="V218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I217" i="36"/>
  <c r="H217" i="36"/>
  <c r="G217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I216" i="36"/>
  <c r="H216" i="36"/>
  <c r="G216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8" i="36"/>
  <c r="V257" i="36"/>
  <c r="V256" i="36"/>
  <c r="V255" i="36"/>
  <c r="V254" i="36"/>
  <c r="V253" i="36"/>
  <c r="V252" i="36"/>
  <c r="V251" i="36"/>
  <c r="V250" i="36"/>
  <c r="V249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I248" i="36"/>
  <c r="H248" i="36"/>
  <c r="G248" i="36"/>
  <c r="U247" i="36"/>
  <c r="T247" i="36"/>
  <c r="S247" i="36"/>
  <c r="R247" i="36"/>
  <c r="Q247" i="36"/>
  <c r="P247" i="36"/>
  <c r="O247" i="36"/>
  <c r="N247" i="36"/>
  <c r="M247" i="36"/>
  <c r="L247" i="36"/>
  <c r="K247" i="36"/>
  <c r="J247" i="36"/>
  <c r="I247" i="36"/>
  <c r="H247" i="36"/>
  <c r="G247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89" i="36"/>
  <c r="V288" i="36"/>
  <c r="V287" i="36"/>
  <c r="V286" i="36"/>
  <c r="V285" i="36"/>
  <c r="V284" i="36"/>
  <c r="V283" i="36"/>
  <c r="V282" i="36"/>
  <c r="V281" i="36"/>
  <c r="V280" i="36"/>
  <c r="U279" i="36"/>
  <c r="T279" i="36"/>
  <c r="S279" i="36"/>
  <c r="R279" i="36"/>
  <c r="Q279" i="36"/>
  <c r="P279" i="36"/>
  <c r="O279" i="36"/>
  <c r="N279" i="36"/>
  <c r="M279" i="36"/>
  <c r="L279" i="36"/>
  <c r="K279" i="36"/>
  <c r="J279" i="36"/>
  <c r="I279" i="36"/>
  <c r="H279" i="36"/>
  <c r="G279" i="36"/>
  <c r="U278" i="36"/>
  <c r="T278" i="36"/>
  <c r="S278" i="36"/>
  <c r="R278" i="36"/>
  <c r="Q278" i="36"/>
  <c r="P278" i="36"/>
  <c r="O278" i="36"/>
  <c r="N278" i="36"/>
  <c r="M278" i="36"/>
  <c r="L278" i="36"/>
  <c r="K278" i="36"/>
  <c r="J278" i="36"/>
  <c r="I278" i="36"/>
  <c r="H278" i="36"/>
  <c r="G278" i="36"/>
  <c r="V650" i="36"/>
  <c r="V649" i="36"/>
  <c r="V648" i="36"/>
  <c r="V647" i="36"/>
  <c r="V646" i="36"/>
  <c r="V645" i="36"/>
  <c r="V644" i="36"/>
  <c r="V643" i="36"/>
  <c r="V642" i="36"/>
  <c r="V641" i="36"/>
  <c r="V640" i="36"/>
  <c r="V639" i="36"/>
  <c r="V638" i="36"/>
  <c r="V637" i="36"/>
  <c r="V636" i="36"/>
  <c r="V635" i="36"/>
  <c r="V634" i="36"/>
  <c r="V632" i="36"/>
  <c r="V631" i="36"/>
  <c r="V630" i="36"/>
  <c r="V629" i="36"/>
  <c r="V628" i="36"/>
  <c r="V627" i="36"/>
  <c r="V626" i="36"/>
  <c r="V625" i="36"/>
  <c r="V624" i="36"/>
  <c r="V623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V59" i="38"/>
  <c r="V60" i="38"/>
  <c r="V61" i="38"/>
  <c r="V62" i="38"/>
  <c r="V63" i="38"/>
  <c r="V11" i="36"/>
  <c r="V12" i="36"/>
  <c r="V13" i="36"/>
  <c r="V34" i="36"/>
  <c r="V35" i="36"/>
  <c r="V36" i="36"/>
  <c r="V37" i="36"/>
  <c r="V38" i="36"/>
  <c r="V39" i="36"/>
  <c r="V40" i="36"/>
  <c r="V41" i="36"/>
  <c r="V42" i="36"/>
  <c r="V54" i="36"/>
  <c r="V65" i="36"/>
  <c r="V66" i="36"/>
  <c r="V67" i="36"/>
  <c r="V68" i="36"/>
  <c r="V69" i="36"/>
  <c r="V70" i="36"/>
  <c r="V71" i="36"/>
  <c r="V72" i="36"/>
  <c r="V73" i="36"/>
  <c r="V74" i="36"/>
  <c r="V75" i="36"/>
  <c r="V76" i="36"/>
  <c r="V44" i="38"/>
  <c r="V11" i="38"/>
  <c r="J9" i="36"/>
  <c r="I9" i="36"/>
  <c r="H9" i="36"/>
  <c r="G9" i="36"/>
  <c r="V45" i="36"/>
  <c r="V44" i="36"/>
  <c r="V670" i="36"/>
  <c r="V671" i="36"/>
  <c r="V672" i="36"/>
  <c r="V673" i="36"/>
  <c r="V674" i="36"/>
  <c r="V675" i="36"/>
  <c r="V676" i="36"/>
  <c r="V677" i="36"/>
  <c r="V678" i="36"/>
  <c r="V679" i="36"/>
  <c r="V680" i="36"/>
  <c r="V681" i="36"/>
  <c r="V682" i="36"/>
  <c r="V683" i="36"/>
  <c r="V684" i="36"/>
  <c r="V685" i="36"/>
  <c r="V659" i="36"/>
  <c r="V660" i="36"/>
  <c r="V661" i="36"/>
  <c r="V662" i="36"/>
  <c r="V663" i="36"/>
  <c r="V664" i="36"/>
  <c r="V665" i="36"/>
  <c r="V666" i="36"/>
  <c r="V667" i="36"/>
  <c r="V162" i="36"/>
  <c r="V163" i="36"/>
  <c r="V164" i="36"/>
  <c r="V165" i="36"/>
  <c r="V166" i="36"/>
  <c r="V167" i="36"/>
  <c r="V168" i="36"/>
  <c r="V169" i="36"/>
  <c r="V170" i="36"/>
  <c r="V171" i="36"/>
  <c r="V172" i="36"/>
  <c r="V173" i="36"/>
  <c r="V174" i="36"/>
  <c r="V175" i="36"/>
  <c r="V176" i="36"/>
  <c r="V177" i="36"/>
  <c r="V151" i="36"/>
  <c r="V152" i="36"/>
  <c r="V153" i="36"/>
  <c r="V154" i="36"/>
  <c r="V155" i="36"/>
  <c r="V156" i="36"/>
  <c r="V157" i="36"/>
  <c r="V158" i="36"/>
  <c r="V159" i="36"/>
  <c r="V15" i="36"/>
  <c r="V17" i="36"/>
  <c r="V43" i="36"/>
  <c r="V14" i="36"/>
  <c r="V77" i="36"/>
  <c r="V78" i="36"/>
  <c r="V79" i="36"/>
  <c r="V80" i="36"/>
  <c r="V81" i="36"/>
  <c r="V55" i="36"/>
  <c r="V56" i="36"/>
  <c r="V57" i="36"/>
  <c r="V58" i="36"/>
  <c r="V59" i="36"/>
  <c r="V60" i="36"/>
  <c r="V61" i="36"/>
  <c r="V62" i="36"/>
  <c r="V63" i="36"/>
  <c r="V46" i="36"/>
  <c r="V47" i="36"/>
  <c r="V48" i="36"/>
  <c r="V49" i="36"/>
  <c r="V18" i="36"/>
  <c r="V19" i="36"/>
  <c r="V20" i="36"/>
  <c r="V21" i="36"/>
  <c r="R41" i="38"/>
  <c r="V713" i="38"/>
  <c r="V714" i="38"/>
  <c r="V712" i="38"/>
  <c r="V710" i="38"/>
  <c r="G707" i="38"/>
  <c r="V709" i="38"/>
  <c r="V27" i="38"/>
  <c r="V613" i="38"/>
  <c r="V28" i="38"/>
  <c r="V15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I180" i="36"/>
  <c r="H180" i="36"/>
  <c r="G180" i="36"/>
  <c r="U179" i="36"/>
  <c r="T179" i="36"/>
  <c r="S179" i="36"/>
  <c r="R179" i="36"/>
  <c r="Q179" i="36"/>
  <c r="P179" i="36"/>
  <c r="O179" i="36"/>
  <c r="N179" i="36"/>
  <c r="M179" i="36"/>
  <c r="L179" i="36"/>
  <c r="K179" i="36"/>
  <c r="J179" i="36"/>
  <c r="I179" i="36"/>
  <c r="H179" i="36"/>
  <c r="G17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I149" i="36"/>
  <c r="H149" i="36"/>
  <c r="G149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I148" i="36"/>
  <c r="H148" i="36"/>
  <c r="G148" i="36"/>
  <c r="U118" i="36"/>
  <c r="T118" i="36"/>
  <c r="S118" i="36"/>
  <c r="R118" i="36"/>
  <c r="Q118" i="36"/>
  <c r="P118" i="36"/>
  <c r="O118" i="36"/>
  <c r="M118" i="36"/>
  <c r="L118" i="36"/>
  <c r="K118" i="36"/>
  <c r="J118" i="36"/>
  <c r="I118" i="36"/>
  <c r="H118" i="36"/>
  <c r="G118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V701" i="36"/>
  <c r="V702" i="36"/>
  <c r="V703" i="36"/>
  <c r="V704" i="36"/>
  <c r="V706" i="36"/>
  <c r="V707" i="36"/>
  <c r="V708" i="36"/>
  <c r="V709" i="36"/>
  <c r="V710" i="36"/>
  <c r="V711" i="36"/>
  <c r="V712" i="36"/>
  <c r="V713" i="36"/>
  <c r="V714" i="36"/>
  <c r="V715" i="36"/>
  <c r="V700" i="36"/>
  <c r="V698" i="36"/>
  <c r="V697" i="36"/>
  <c r="V696" i="36"/>
  <c r="V695" i="36"/>
  <c r="V693" i="36"/>
  <c r="V692" i="36"/>
  <c r="V691" i="36"/>
  <c r="V690" i="36"/>
  <c r="V689" i="36"/>
  <c r="U688" i="36"/>
  <c r="T688" i="36"/>
  <c r="S688" i="36"/>
  <c r="R688" i="36"/>
  <c r="Q688" i="36"/>
  <c r="P688" i="36"/>
  <c r="O688" i="36"/>
  <c r="N688" i="36"/>
  <c r="M688" i="36"/>
  <c r="L688" i="36"/>
  <c r="K688" i="36"/>
  <c r="J688" i="36"/>
  <c r="I688" i="36"/>
  <c r="H688" i="36"/>
  <c r="G688" i="36"/>
  <c r="U687" i="36"/>
  <c r="T687" i="36"/>
  <c r="S687" i="36"/>
  <c r="R687" i="36"/>
  <c r="Q687" i="36"/>
  <c r="P687" i="36"/>
  <c r="O687" i="36"/>
  <c r="N687" i="36"/>
  <c r="M687" i="36"/>
  <c r="L687" i="36"/>
  <c r="K687" i="36"/>
  <c r="J687" i="36"/>
  <c r="I687" i="36"/>
  <c r="H687" i="36"/>
  <c r="G687" i="36"/>
  <c r="V658" i="36"/>
  <c r="H708" i="38"/>
  <c r="I708" i="38"/>
  <c r="J708" i="38"/>
  <c r="K708" i="38"/>
  <c r="L708" i="38"/>
  <c r="M708" i="38"/>
  <c r="N708" i="38"/>
  <c r="O708" i="38"/>
  <c r="P708" i="38"/>
  <c r="Q708" i="38"/>
  <c r="R708" i="38"/>
  <c r="S708" i="38"/>
  <c r="T708" i="38"/>
  <c r="U708" i="38"/>
  <c r="G708" i="38"/>
  <c r="H707" i="38"/>
  <c r="I707" i="38"/>
  <c r="J707" i="38"/>
  <c r="K707" i="38"/>
  <c r="L707" i="38"/>
  <c r="M707" i="38"/>
  <c r="N707" i="38"/>
  <c r="O707" i="38"/>
  <c r="P707" i="38"/>
  <c r="Q707" i="38"/>
  <c r="R707" i="38"/>
  <c r="S707" i="38"/>
  <c r="T707" i="38"/>
  <c r="U707" i="38"/>
  <c r="H695" i="38"/>
  <c r="I695" i="38"/>
  <c r="J695" i="38"/>
  <c r="K695" i="38"/>
  <c r="L695" i="38"/>
  <c r="M695" i="38"/>
  <c r="N695" i="38"/>
  <c r="O695" i="38"/>
  <c r="P695" i="38"/>
  <c r="Q695" i="38"/>
  <c r="R695" i="38"/>
  <c r="S695" i="38"/>
  <c r="T695" i="38"/>
  <c r="U695" i="38"/>
  <c r="G695" i="38"/>
  <c r="I694" i="38"/>
  <c r="J694" i="38"/>
  <c r="K694" i="38"/>
  <c r="L694" i="38"/>
  <c r="M694" i="38"/>
  <c r="N694" i="38"/>
  <c r="O694" i="38"/>
  <c r="P694" i="38"/>
  <c r="Q694" i="38"/>
  <c r="R694" i="38"/>
  <c r="S694" i="38"/>
  <c r="T694" i="38"/>
  <c r="U694" i="38"/>
  <c r="H694" i="38"/>
  <c r="G694" i="38"/>
  <c r="V699" i="38"/>
  <c r="V704" i="38"/>
  <c r="V705" i="38"/>
  <c r="V706" i="38"/>
  <c r="U72" i="38"/>
  <c r="T72" i="38"/>
  <c r="S72" i="38"/>
  <c r="R72" i="38"/>
  <c r="Q72" i="38"/>
  <c r="P72" i="38"/>
  <c r="O72" i="38"/>
  <c r="N72" i="38"/>
  <c r="M72" i="38"/>
  <c r="L72" i="38"/>
  <c r="K72" i="38"/>
  <c r="J72" i="38"/>
  <c r="I72" i="38"/>
  <c r="H72" i="38"/>
  <c r="G72" i="38"/>
  <c r="U71" i="38"/>
  <c r="T71" i="38"/>
  <c r="S71" i="38"/>
  <c r="R71" i="38"/>
  <c r="Q71" i="38"/>
  <c r="P71" i="38"/>
  <c r="O71" i="38"/>
  <c r="N71" i="38"/>
  <c r="M71" i="38"/>
  <c r="L71" i="38"/>
  <c r="K71" i="38"/>
  <c r="J71" i="38"/>
  <c r="I71" i="38"/>
  <c r="H71" i="38"/>
  <c r="G71" i="38"/>
  <c r="U41" i="38"/>
  <c r="T41" i="38"/>
  <c r="S41" i="38"/>
  <c r="Q41" i="38"/>
  <c r="P41" i="38"/>
  <c r="O41" i="38"/>
  <c r="N41" i="38"/>
  <c r="M41" i="38"/>
  <c r="L41" i="38"/>
  <c r="K41" i="38"/>
  <c r="J41" i="38"/>
  <c r="I41" i="38"/>
  <c r="H41" i="38"/>
  <c r="G41" i="38"/>
  <c r="U40" i="38"/>
  <c r="T40" i="38"/>
  <c r="S40" i="38"/>
  <c r="R40" i="38"/>
  <c r="Q40" i="38"/>
  <c r="P40" i="38"/>
  <c r="O40" i="38"/>
  <c r="N40" i="38"/>
  <c r="M40" i="38"/>
  <c r="L40" i="38"/>
  <c r="K40" i="38"/>
  <c r="J40" i="38"/>
  <c r="I40" i="38"/>
  <c r="H40" i="38"/>
  <c r="G40" i="38"/>
  <c r="U10" i="38"/>
  <c r="Q10" i="38"/>
  <c r="I10" i="38"/>
  <c r="H10" i="38"/>
  <c r="G10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U9" i="36"/>
  <c r="T9" i="36"/>
  <c r="S9" i="36"/>
  <c r="R9" i="36"/>
  <c r="Q9" i="36"/>
  <c r="P9" i="36"/>
  <c r="O9" i="36"/>
  <c r="N9" i="36"/>
  <c r="M9" i="36"/>
  <c r="L9" i="36"/>
  <c r="K9" i="36"/>
  <c r="V689" i="38"/>
  <c r="V688" i="38"/>
  <c r="V687" i="38"/>
  <c r="V686" i="38"/>
  <c r="V685" i="38"/>
  <c r="V684" i="38"/>
  <c r="V683" i="38"/>
  <c r="V682" i="38"/>
  <c r="V681" i="38"/>
  <c r="V680" i="38"/>
  <c r="V679" i="38"/>
  <c r="V678" i="38"/>
  <c r="V677" i="38"/>
  <c r="V676" i="38"/>
  <c r="V675" i="38"/>
  <c r="V674" i="38"/>
  <c r="V673" i="38"/>
  <c r="V671" i="38"/>
  <c r="V670" i="38"/>
  <c r="V669" i="38"/>
  <c r="V668" i="38"/>
  <c r="V667" i="38"/>
  <c r="V666" i="38"/>
  <c r="V665" i="38"/>
  <c r="V664" i="38"/>
  <c r="V663" i="38"/>
  <c r="V662" i="38"/>
  <c r="V658" i="38"/>
  <c r="V657" i="38"/>
  <c r="V656" i="38"/>
  <c r="V655" i="38"/>
  <c r="V654" i="38"/>
  <c r="V653" i="38"/>
  <c r="V652" i="38"/>
  <c r="V651" i="38"/>
  <c r="V650" i="38"/>
  <c r="V649" i="38"/>
  <c r="V648" i="38"/>
  <c r="V647" i="38"/>
  <c r="V646" i="38"/>
  <c r="V645" i="38"/>
  <c r="V644" i="38"/>
  <c r="V643" i="38"/>
  <c r="V642" i="38"/>
  <c r="V640" i="38"/>
  <c r="V639" i="38"/>
  <c r="V638" i="38"/>
  <c r="V637" i="38"/>
  <c r="V636" i="38"/>
  <c r="V635" i="38"/>
  <c r="V634" i="38"/>
  <c r="V633" i="38"/>
  <c r="V632" i="38"/>
  <c r="V631" i="38"/>
  <c r="V627" i="38"/>
  <c r="V626" i="38"/>
  <c r="V625" i="38"/>
  <c r="V624" i="38"/>
  <c r="V623" i="38"/>
  <c r="V622" i="38"/>
  <c r="V621" i="38"/>
  <c r="V620" i="38"/>
  <c r="V619" i="38"/>
  <c r="V618" i="38"/>
  <c r="V617" i="38"/>
  <c r="V616" i="38"/>
  <c r="V615" i="38"/>
  <c r="V614" i="38"/>
  <c r="V612" i="38"/>
  <c r="V611" i="38"/>
  <c r="V609" i="38"/>
  <c r="V608" i="38"/>
  <c r="V607" i="38"/>
  <c r="V606" i="38"/>
  <c r="V605" i="38"/>
  <c r="V604" i="38"/>
  <c r="V603" i="38"/>
  <c r="V602" i="38"/>
  <c r="V601" i="38"/>
  <c r="V600" i="38"/>
  <c r="V596" i="38"/>
  <c r="V595" i="38"/>
  <c r="V594" i="38"/>
  <c r="V593" i="38"/>
  <c r="V592" i="38"/>
  <c r="V591" i="38"/>
  <c r="V590" i="38"/>
  <c r="V589" i="38"/>
  <c r="V588" i="38"/>
  <c r="V587" i="38"/>
  <c r="V586" i="38"/>
  <c r="V585" i="38"/>
  <c r="V584" i="38"/>
  <c r="V583" i="38"/>
  <c r="V582" i="38"/>
  <c r="V581" i="38"/>
  <c r="V580" i="38"/>
  <c r="V578" i="38"/>
  <c r="V577" i="38"/>
  <c r="V576" i="38"/>
  <c r="V575" i="38"/>
  <c r="V574" i="38"/>
  <c r="V573" i="38"/>
  <c r="V572" i="38"/>
  <c r="V571" i="38"/>
  <c r="V570" i="38"/>
  <c r="V569" i="38"/>
  <c r="V100" i="38"/>
  <c r="V99" i="38"/>
  <c r="V98" i="38"/>
  <c r="V97" i="38"/>
  <c r="V96" i="38"/>
  <c r="V95" i="38"/>
  <c r="V94" i="38"/>
  <c r="V93" i="38"/>
  <c r="V92" i="38"/>
  <c r="V91" i="38"/>
  <c r="V90" i="38"/>
  <c r="V89" i="38"/>
  <c r="V88" i="38"/>
  <c r="V87" i="38"/>
  <c r="V86" i="38"/>
  <c r="V85" i="38"/>
  <c r="V84" i="38"/>
  <c r="V82" i="38"/>
  <c r="V81" i="38"/>
  <c r="V80" i="38"/>
  <c r="V79" i="38"/>
  <c r="V78" i="38"/>
  <c r="V77" i="38"/>
  <c r="V76" i="38"/>
  <c r="V75" i="38"/>
  <c r="V74" i="38"/>
  <c r="V73" i="38"/>
  <c r="V69" i="38"/>
  <c r="V68" i="38"/>
  <c r="V67" i="38"/>
  <c r="V66" i="38"/>
  <c r="V65" i="38"/>
  <c r="V64" i="38"/>
  <c r="V58" i="38"/>
  <c r="V57" i="38"/>
  <c r="V56" i="38"/>
  <c r="V55" i="38"/>
  <c r="V54" i="38"/>
  <c r="V53" i="38"/>
  <c r="V51" i="38"/>
  <c r="V50" i="38"/>
  <c r="V49" i="38"/>
  <c r="V48" i="38"/>
  <c r="V47" i="38"/>
  <c r="V46" i="38"/>
  <c r="V45" i="38"/>
  <c r="V43" i="38"/>
  <c r="V42" i="38"/>
  <c r="V30" i="38"/>
  <c r="V31" i="38"/>
  <c r="V32" i="38"/>
  <c r="V33" i="38"/>
  <c r="V34" i="38"/>
  <c r="V35" i="38"/>
  <c r="V36" i="38"/>
  <c r="V37" i="38"/>
  <c r="V38" i="38"/>
  <c r="V13" i="38"/>
  <c r="V14" i="38"/>
  <c r="V15" i="38"/>
  <c r="V16" i="38"/>
  <c r="V17" i="38"/>
  <c r="V18" i="38"/>
  <c r="V19" i="38"/>
  <c r="V20" i="38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6" i="36"/>
  <c r="V189" i="36"/>
  <c r="V188" i="36"/>
  <c r="V187" i="36"/>
  <c r="V186" i="36"/>
  <c r="V185" i="36"/>
  <c r="V184" i="36"/>
  <c r="V183" i="36"/>
  <c r="V182" i="36"/>
  <c r="V181" i="36"/>
  <c r="V161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8" i="36"/>
  <c r="V127" i="36"/>
  <c r="V126" i="36"/>
  <c r="V125" i="36"/>
  <c r="V124" i="36"/>
  <c r="V123" i="36"/>
  <c r="V122" i="36"/>
  <c r="V121" i="36"/>
  <c r="V120" i="36"/>
  <c r="V119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16" i="36"/>
  <c r="J10" i="38"/>
  <c r="K10" i="38"/>
  <c r="L10" i="38"/>
  <c r="M10" i="38"/>
  <c r="N10" i="38"/>
  <c r="O10" i="38"/>
  <c r="P10" i="38"/>
  <c r="R10" i="38"/>
  <c r="S10" i="38"/>
  <c r="T10" i="38"/>
  <c r="V12" i="38"/>
  <c r="V22" i="38"/>
  <c r="V23" i="38"/>
  <c r="V24" i="38"/>
  <c r="V25" i="38"/>
  <c r="V26" i="38"/>
  <c r="V29" i="38"/>
  <c r="V696" i="38"/>
  <c r="V697" i="38"/>
  <c r="V669" i="36"/>
  <c r="H654" i="36" l="1"/>
  <c r="H718" i="36" s="1"/>
  <c r="J654" i="36"/>
  <c r="J718" i="36" s="1"/>
  <c r="L654" i="36"/>
  <c r="L718" i="36" s="1"/>
  <c r="N654" i="36"/>
  <c r="N718" i="36" s="1"/>
  <c r="P654" i="36"/>
  <c r="P718" i="36" s="1"/>
  <c r="R654" i="36"/>
  <c r="R718" i="36" s="1"/>
  <c r="T654" i="36"/>
  <c r="T718" i="36" s="1"/>
  <c r="K653" i="36"/>
  <c r="K717" i="36" s="1"/>
  <c r="M653" i="36"/>
  <c r="M717" i="36" s="1"/>
  <c r="O653" i="36"/>
  <c r="O717" i="36" s="1"/>
  <c r="Q653" i="36"/>
  <c r="Q717" i="36" s="1"/>
  <c r="S653" i="36"/>
  <c r="S717" i="36" s="1"/>
  <c r="U653" i="36"/>
  <c r="U717" i="36" s="1"/>
  <c r="L653" i="36"/>
  <c r="L717" i="36" s="1"/>
  <c r="N653" i="36"/>
  <c r="N717" i="36" s="1"/>
  <c r="P653" i="36"/>
  <c r="P717" i="36" s="1"/>
  <c r="R653" i="36"/>
  <c r="R717" i="36" s="1"/>
  <c r="T653" i="36"/>
  <c r="T717" i="36" s="1"/>
  <c r="G654" i="36"/>
  <c r="G718" i="36" s="1"/>
  <c r="I654" i="36"/>
  <c r="I718" i="36" s="1"/>
  <c r="K654" i="36"/>
  <c r="K718" i="36" s="1"/>
  <c r="M654" i="36"/>
  <c r="M718" i="36" s="1"/>
  <c r="O654" i="36"/>
  <c r="O718" i="36" s="1"/>
  <c r="Q654" i="36"/>
  <c r="Q718" i="36" s="1"/>
  <c r="S654" i="36"/>
  <c r="S718" i="36" s="1"/>
  <c r="U654" i="36"/>
  <c r="U718" i="36" s="1"/>
  <c r="G653" i="36"/>
  <c r="G717" i="36" s="1"/>
  <c r="I653" i="36"/>
  <c r="I717" i="36" s="1"/>
  <c r="H653" i="36"/>
  <c r="H717" i="36" s="1"/>
  <c r="J653" i="36"/>
  <c r="J717" i="36" s="1"/>
  <c r="Q692" i="38"/>
  <c r="Q717" i="38" s="1"/>
  <c r="I691" i="38"/>
  <c r="I716" i="38" s="1"/>
  <c r="M691" i="38"/>
  <c r="M716" i="38" s="1"/>
  <c r="Q691" i="38"/>
  <c r="Q716" i="38" s="1"/>
  <c r="U691" i="38"/>
  <c r="U716" i="38" s="1"/>
  <c r="T692" i="38"/>
  <c r="T717" i="38" s="1"/>
  <c r="O692" i="38"/>
  <c r="O717" i="38" s="1"/>
  <c r="K692" i="38"/>
  <c r="K717" i="38" s="1"/>
  <c r="R692" i="38"/>
  <c r="R717" i="38" s="1"/>
  <c r="J691" i="38"/>
  <c r="J716" i="38" s="1"/>
  <c r="N691" i="38"/>
  <c r="N716" i="38" s="1"/>
  <c r="R691" i="38"/>
  <c r="R716" i="38" s="1"/>
  <c r="H692" i="38"/>
  <c r="H717" i="38" s="1"/>
  <c r="P692" i="38"/>
  <c r="P717" i="38" s="1"/>
  <c r="L692" i="38"/>
  <c r="L717" i="38" s="1"/>
  <c r="G691" i="38"/>
  <c r="G716" i="38" s="1"/>
  <c r="K691" i="38"/>
  <c r="K716" i="38" s="1"/>
  <c r="O691" i="38"/>
  <c r="O716" i="38" s="1"/>
  <c r="S691" i="38"/>
  <c r="S716" i="38" s="1"/>
  <c r="G692" i="38"/>
  <c r="G717" i="38" s="1"/>
  <c r="U692" i="38"/>
  <c r="U717" i="38" s="1"/>
  <c r="M692" i="38"/>
  <c r="M717" i="38" s="1"/>
  <c r="I692" i="38"/>
  <c r="I717" i="38" s="1"/>
  <c r="H691" i="38"/>
  <c r="H716" i="38" s="1"/>
  <c r="L691" i="38"/>
  <c r="L716" i="38" s="1"/>
  <c r="P691" i="38"/>
  <c r="P716" i="38" s="1"/>
  <c r="T691" i="38"/>
  <c r="T716" i="38" s="1"/>
  <c r="S692" i="38"/>
  <c r="S717" i="38" s="1"/>
  <c r="S720" i="38" s="1"/>
  <c r="N692" i="38"/>
  <c r="N717" i="38" s="1"/>
  <c r="J692" i="38"/>
  <c r="J717" i="38" s="1"/>
  <c r="V707" i="38"/>
  <c r="F719" i="36"/>
  <c r="V134" i="38"/>
  <c r="V557" i="36"/>
  <c r="V656" i="36"/>
  <c r="V83" i="36"/>
  <c r="V9" i="36"/>
  <c r="V537" i="38"/>
  <c r="V694" i="38"/>
  <c r="V660" i="38"/>
  <c r="V72" i="38"/>
  <c r="V657" i="36"/>
  <c r="F718" i="38"/>
  <c r="V495" i="36"/>
  <c r="V599" i="38"/>
  <c r="V629" i="38"/>
  <c r="V40" i="38"/>
  <c r="V568" i="38"/>
  <c r="V279" i="36"/>
  <c r="V216" i="36"/>
  <c r="V310" i="36"/>
  <c r="V341" i="36"/>
  <c r="V433" i="36"/>
  <c r="V102" i="38"/>
  <c r="V196" i="38"/>
  <c r="V257" i="38"/>
  <c r="V319" i="38"/>
  <c r="V350" i="38"/>
  <c r="V413" i="38"/>
  <c r="V506" i="38"/>
  <c r="V558" i="36"/>
  <c r="V695" i="38"/>
  <c r="V567" i="38"/>
  <c r="V536" i="38"/>
  <c r="V505" i="38"/>
  <c r="V444" i="38"/>
  <c r="V443" i="38"/>
  <c r="V412" i="38"/>
  <c r="V382" i="38"/>
  <c r="V381" i="38"/>
  <c r="V289" i="38"/>
  <c r="V288" i="38"/>
  <c r="V227" i="38"/>
  <c r="V195" i="38"/>
  <c r="V165" i="38"/>
  <c r="V164" i="38"/>
  <c r="V133" i="38"/>
  <c r="V103" i="38"/>
  <c r="V688" i="36"/>
  <c r="V622" i="36"/>
  <c r="V589" i="36"/>
  <c r="V526" i="36"/>
  <c r="V496" i="36"/>
  <c r="V465" i="36"/>
  <c r="V434" i="36"/>
  <c r="V402" i="36"/>
  <c r="V371" i="36"/>
  <c r="V278" i="36"/>
  <c r="V247" i="36"/>
  <c r="V217" i="36"/>
  <c r="V180" i="36"/>
  <c r="V52" i="36"/>
  <c r="V474" i="38"/>
  <c r="V475" i="38"/>
  <c r="V117" i="36"/>
  <c r="V661" i="38"/>
  <c r="V687" i="36"/>
  <c r="V464" i="36"/>
  <c r="V527" i="36"/>
  <c r="V179" i="36"/>
  <c r="V84" i="36"/>
  <c r="V149" i="36"/>
  <c r="V71" i="38"/>
  <c r="V118" i="36"/>
  <c r="V9" i="38"/>
  <c r="V41" i="38"/>
  <c r="V598" i="38"/>
  <c r="V630" i="38"/>
  <c r="V708" i="38"/>
  <c r="V10" i="38"/>
  <c r="V10" i="36"/>
  <c r="V53" i="36"/>
  <c r="V403" i="36"/>
  <c r="V309" i="36"/>
  <c r="V340" i="36"/>
  <c r="V226" i="38"/>
  <c r="V621" i="36"/>
  <c r="V248" i="36"/>
  <c r="V372" i="36"/>
  <c r="V258" i="38"/>
  <c r="V320" i="38"/>
  <c r="V351" i="38"/>
  <c r="V590" i="36"/>
  <c r="V148" i="36"/>
  <c r="V654" i="36" l="1"/>
  <c r="V718" i="36" s="1"/>
  <c r="V653" i="36"/>
  <c r="V717" i="36" s="1"/>
  <c r="V691" i="38"/>
  <c r="V692" i="38"/>
  <c r="V717" i="38" s="1"/>
  <c r="W707" i="38"/>
  <c r="W195" i="38"/>
  <c r="W567" i="38"/>
  <c r="W133" i="38"/>
  <c r="W40" i="38"/>
  <c r="W621" i="36"/>
  <c r="W495" i="36"/>
  <c r="W9" i="38"/>
  <c r="W402" i="36"/>
  <c r="W536" i="38"/>
  <c r="W257" i="38"/>
  <c r="W660" i="38"/>
  <c r="W505" i="38"/>
  <c r="U718" i="38"/>
  <c r="W656" i="36"/>
  <c r="W589" i="36"/>
  <c r="W557" i="36"/>
  <c r="W309" i="36"/>
  <c r="W278" i="36"/>
  <c r="W179" i="36"/>
  <c r="W340" i="36"/>
  <c r="W216" i="36"/>
  <c r="W433" i="36"/>
  <c r="W247" i="36"/>
  <c r="W83" i="36"/>
  <c r="W52" i="36"/>
  <c r="W9" i="36"/>
  <c r="W687" i="36"/>
  <c r="W526" i="36"/>
  <c r="W464" i="36"/>
  <c r="W371" i="36"/>
  <c r="G719" i="36"/>
  <c r="J719" i="36"/>
  <c r="U719" i="36"/>
  <c r="R719" i="36"/>
  <c r="I719" i="36"/>
  <c r="M719" i="36"/>
  <c r="S719" i="36"/>
  <c r="O719" i="36"/>
  <c r="N719" i="36"/>
  <c r="H719" i="36"/>
  <c r="K719" i="36"/>
  <c r="L719" i="36"/>
  <c r="T719" i="36"/>
  <c r="W319" i="38"/>
  <c r="W694" i="38"/>
  <c r="W381" i="38"/>
  <c r="W350" i="38"/>
  <c r="W288" i="38"/>
  <c r="W102" i="38"/>
  <c r="W71" i="38"/>
  <c r="Q718" i="38"/>
  <c r="J718" i="38"/>
  <c r="W629" i="38"/>
  <c r="W598" i="38"/>
  <c r="S718" i="38"/>
  <c r="W226" i="38"/>
  <c r="K718" i="38"/>
  <c r="M718" i="38"/>
  <c r="H718" i="38"/>
  <c r="L718" i="38"/>
  <c r="T718" i="38"/>
  <c r="I718" i="38"/>
  <c r="G718" i="38"/>
  <c r="O718" i="38"/>
  <c r="P718" i="38"/>
  <c r="W443" i="38"/>
  <c r="Q719" i="36"/>
  <c r="R718" i="38"/>
  <c r="R720" i="38" s="1"/>
  <c r="N718" i="38"/>
  <c r="W164" i="38"/>
  <c r="W412" i="38"/>
  <c r="W148" i="36"/>
  <c r="P719" i="36"/>
  <c r="W474" i="38"/>
  <c r="W117" i="36"/>
  <c r="W691" i="38" l="1"/>
  <c r="V716" i="38"/>
  <c r="V718" i="38" s="1"/>
  <c r="W653" i="36"/>
  <c r="V719" i="36"/>
  <c r="W717" i="36"/>
  <c r="W716" i="38" l="1"/>
</calcChain>
</file>

<file path=xl/sharedStrings.xml><?xml version="1.0" encoding="utf-8"?>
<sst xmlns="http://schemas.openxmlformats.org/spreadsheetml/2006/main" count="835" uniqueCount="240">
  <si>
    <t>Экзамены</t>
  </si>
  <si>
    <t>Зачеты</t>
  </si>
  <si>
    <t>Всего по кафедре</t>
  </si>
  <si>
    <t>Дипломное проектирование</t>
  </si>
  <si>
    <t>Фамилия, имя, отчество (полностью)</t>
  </si>
  <si>
    <t>Лекции</t>
  </si>
  <si>
    <t>Курсовое проектирование</t>
  </si>
  <si>
    <t>Доц.</t>
  </si>
  <si>
    <t>Итого по кафедре</t>
  </si>
  <si>
    <t>Доцент</t>
  </si>
  <si>
    <t>Консультации</t>
  </si>
  <si>
    <t>Рецензирование</t>
  </si>
  <si>
    <t>Ш</t>
  </si>
  <si>
    <t>Модульно-рейтинговая система</t>
  </si>
  <si>
    <t>Практика</t>
  </si>
  <si>
    <t>Б</t>
  </si>
  <si>
    <t>№ п/п</t>
  </si>
  <si>
    <t>Должность</t>
  </si>
  <si>
    <t>Штатный, совместительъ</t>
  </si>
  <si>
    <t>Бюджет, внебюджет</t>
  </si>
  <si>
    <t>Кол. ставок</t>
  </si>
  <si>
    <t>Кол-во лаб. часов всего</t>
  </si>
  <si>
    <t>Кол-во пр. часов всего</t>
  </si>
  <si>
    <t>ГЭК / ГАК</t>
  </si>
  <si>
    <t>Всего уч. часов по семестрам</t>
  </si>
  <si>
    <t>Учебная</t>
  </si>
  <si>
    <t>Производственная</t>
  </si>
  <si>
    <t>Осен.</t>
  </si>
  <si>
    <t>Вес.</t>
  </si>
  <si>
    <t>Весна</t>
  </si>
  <si>
    <t>Итого уч. часов за год</t>
  </si>
  <si>
    <t>Зав. кафедрой</t>
  </si>
  <si>
    <t>Ст. препод.</t>
  </si>
  <si>
    <t>К</t>
  </si>
  <si>
    <t>С</t>
  </si>
  <si>
    <t>П</t>
  </si>
  <si>
    <t>Всего распределенной нагрузки</t>
  </si>
  <si>
    <t>Почасовая нагрузка дополнительная</t>
  </si>
  <si>
    <t>Почасовая обязательная</t>
  </si>
  <si>
    <t>УТВЕРЖДАЮ</t>
  </si>
  <si>
    <t>Белорусско-Российский университет</t>
  </si>
  <si>
    <t>Ректор университета</t>
  </si>
  <si>
    <t>РАСПРЕДЕЛЕНИЕ</t>
  </si>
  <si>
    <t>учебной нагрузки преподавательского состава</t>
  </si>
  <si>
    <t>Белорусский бюджет</t>
  </si>
  <si>
    <t>Российский бюджет</t>
  </si>
  <si>
    <t xml:space="preserve"> </t>
  </si>
  <si>
    <t xml:space="preserve">Зав. кафедрой "Автоматизированные системы управления" </t>
  </si>
  <si>
    <t>А.И. Якимов</t>
  </si>
  <si>
    <t xml:space="preserve">Зав. кафедрой "Авомаизированные системы управления" </t>
  </si>
  <si>
    <t>Электротехнический факультет</t>
  </si>
  <si>
    <t>С.В.Болотов</t>
  </si>
  <si>
    <t>Инд. Задания, АКР</t>
  </si>
  <si>
    <t>Декан электротехнического факультета</t>
  </si>
  <si>
    <t>по кафедре "Автоматизированные системы управления"</t>
  </si>
  <si>
    <t>Электроехнический факультет</t>
  </si>
  <si>
    <t>М.Е.Лустенков</t>
  </si>
  <si>
    <t>С.В. Болотов</t>
  </si>
  <si>
    <t>Аспирантура, Маг</t>
  </si>
  <si>
    <t>Аспирантура, Маг.</t>
  </si>
  <si>
    <t>Ассистент</t>
  </si>
  <si>
    <t>Ассист</t>
  </si>
  <si>
    <t>Почасовая дополнительная</t>
  </si>
  <si>
    <t>"____"_________2021 г.</t>
  </si>
  <si>
    <t>Математические модели информационных процессов и управления (АСОИ_14)</t>
  </si>
  <si>
    <t>Системный анализ и исследование операций (АСОИ_14)</t>
  </si>
  <si>
    <t>Компьютерная графика (АСОИ_14)</t>
  </si>
  <si>
    <t>Аппаратное и программное обеспечение ЭВМ и сетей (АСОИ_14)</t>
  </si>
  <si>
    <t>Случайные процессы и статистические методы обработки данных (АСОИ_14)</t>
  </si>
  <si>
    <t>Современные системы программирования (АСОИ_14)</t>
  </si>
  <si>
    <t>Компьютерные сети (ИСиТ)</t>
  </si>
  <si>
    <t>Архитектура ЭВМ (ИСиТ)</t>
  </si>
  <si>
    <t>Дискретная и прикладная математика (ИСиТ)</t>
  </si>
  <si>
    <t>Программирование сетевых приложений (ИСиТ)</t>
  </si>
  <si>
    <t>Информатика (ТМ)</t>
  </si>
  <si>
    <t>Информатика (ТОМП)</t>
  </si>
  <si>
    <t>Информатика (СП)</t>
  </si>
  <si>
    <t>Информатика и компьютерная графика (ПИОТТ)</t>
  </si>
  <si>
    <t>Информатика (МПК)</t>
  </si>
  <si>
    <t>Дискретная математика (АСОИ_21)</t>
  </si>
  <si>
    <t>Администрирование и программирование распределенных приложений (АСОИ_14)</t>
  </si>
  <si>
    <t>Архитектура ЭВМ (АСОИ_14)</t>
  </si>
  <si>
    <t>Интегрированные информационные системы предприятий (АСОИ_14)</t>
  </si>
  <si>
    <t>Технологическая практика (АСОИ_14)</t>
  </si>
  <si>
    <t>Преддипломная практика (АСОИ_14)</t>
  </si>
  <si>
    <t>Дипломное проектирование (АСОИ_14)</t>
  </si>
  <si>
    <t>Председатель ГЭК (АСОИ_14)</t>
  </si>
  <si>
    <t>Члены ГЭК (АСОИ_14)</t>
  </si>
  <si>
    <t>Нормоконтроль ДП (АСОИ_14)</t>
  </si>
  <si>
    <t>Утверждение ДП (АСОИ_14)</t>
  </si>
  <si>
    <t>Рецензирование ДП (АСОИ_14)</t>
  </si>
  <si>
    <t>Основы защиты информации (ИСиТ)</t>
  </si>
  <si>
    <t>Визуальные средства разработки программных приложений (ИСиТ)</t>
  </si>
  <si>
    <t>Основы сетевых технологий  (ЭМ)</t>
  </si>
  <si>
    <t>Распределенные системы обработки информации (ЭМ)</t>
  </si>
  <si>
    <t>Дискретная математика (АСОИзао)</t>
  </si>
  <si>
    <t>Архитектура ЭВМ (АСОИзао)</t>
  </si>
  <si>
    <t>Основы защиты информации (АСОИзао)</t>
  </si>
  <si>
    <t>Математические модели информационных процессов и управления (АСОИзао)</t>
  </si>
  <si>
    <t>Системный анализ и исследование операций (АСОИзао)</t>
  </si>
  <si>
    <t>Аппаратное и программное обеспечение ЭВМ и сетей (АСОИзао)</t>
  </si>
  <si>
    <t>Интегрированные информационные системы предприятий (АСОИзао)</t>
  </si>
  <si>
    <t>Современные системы программирования (АСОИзао)</t>
  </si>
  <si>
    <t>Системный анализ и исследование операций (АСОИсокр)</t>
  </si>
  <si>
    <t>Основы защиты информации (АСОИсокр)</t>
  </si>
  <si>
    <t>Случайные процессы и статистические методы обработки данных (АСОИсокр)</t>
  </si>
  <si>
    <t>Современные системы программирования (АСОИсокр)</t>
  </si>
  <si>
    <t>Преддипломная практика (АСОИсокр)</t>
  </si>
  <si>
    <t>Основы защиты информации (ИСиТсокр)</t>
  </si>
  <si>
    <t>Дискретная и прикладная математика (ИСиТсокр)</t>
  </si>
  <si>
    <t>Визуальные средства разработки программных приложений (ИСиТсокр)</t>
  </si>
  <si>
    <t>Основы сетевых технологий  (ЭМсокр)</t>
  </si>
  <si>
    <t>Информатика (ТМзао)</t>
  </si>
  <si>
    <t>Информатика (ТМсокр)</t>
  </si>
  <si>
    <t>Информатика (СПзао)</t>
  </si>
  <si>
    <t>Информатика (СПсокр)</t>
  </si>
  <si>
    <t>Информатика и компьютерная графика (ПИОТТзао)</t>
  </si>
  <si>
    <t>Вычислительная математика и теория алгоритмов (АСОИзао)</t>
  </si>
  <si>
    <t>Компьютерная графика (АСОИзао)</t>
  </si>
  <si>
    <t>Администрирование и программирование распределенных приложений (АСОИзао)</t>
  </si>
  <si>
    <t>Технологическая практика (АСОИзао)</t>
  </si>
  <si>
    <t>Преддипломная практика (АСОИзао)</t>
  </si>
  <si>
    <t>Дипломное проектирование (АСОИзао)</t>
  </si>
  <si>
    <t>Председатель ГЭК (АСОИзао)</t>
  </si>
  <si>
    <t>Члены ГЭК (АСОИзао)</t>
  </si>
  <si>
    <t>Нормоконтроль ДП (АСОИзао)</t>
  </si>
  <si>
    <t>Утверждение ДП (АСОИзао)</t>
  </si>
  <si>
    <t>Рецензирование ДП (АСОИзао)</t>
  </si>
  <si>
    <t>Компьютерная графика (АСОИсокр)</t>
  </si>
  <si>
    <t>Математические модели информационных процессов и управления (АСОИсокр)</t>
  </si>
  <si>
    <t>Администрирование и программирование распределенных приложений (АСОИсокр)</t>
  </si>
  <si>
    <t>Аппаратное и программное обеспечение ЭВМ и сетей (АСОИсокр)</t>
  </si>
  <si>
    <t>Технологическая практика (АСОИсокр)</t>
  </si>
  <si>
    <t>Дипломное проектирование (АСОИсокр)</t>
  </si>
  <si>
    <t>Председатель ГЭК (АСОИсокр)</t>
  </si>
  <si>
    <t>Члены ГЭК (АСОИсокр)</t>
  </si>
  <si>
    <t>Нормоконтроль ДП (АСОИсокр)</t>
  </si>
  <si>
    <t>Утверждение ДП (АСОИсокр)</t>
  </si>
  <si>
    <t>Рецензирование ДП (АСОИсокр)</t>
  </si>
  <si>
    <t>Программирование сетевых приложений (ИСиТсокр)</t>
  </si>
  <si>
    <t>Распределенные системы обработки информации (ЭМсокр)</t>
  </si>
  <si>
    <t>Компьютерные информационные технологии (ФКзао)</t>
  </si>
  <si>
    <t>Эконометрика и экономико математические методы и модели (ФКзао)</t>
  </si>
  <si>
    <t>Эконометрика и экономико математические методы и модели (ФКсокр)</t>
  </si>
  <si>
    <t>Модели и методы подждержки принятия решений (СА1.75)</t>
  </si>
  <si>
    <t>Случайные процессы в системах обработки информации (СА1.75)</t>
  </si>
  <si>
    <t>Руководство магистрантами (СА1.75)</t>
  </si>
  <si>
    <t>Теория оптимальных систем (СА1.75)</t>
  </si>
  <si>
    <t>Мультиагентные системы / Функциональное программирование (СА1.5)</t>
  </si>
  <si>
    <t>Научно-исследовательский семинар (СА1.5)</t>
  </si>
  <si>
    <t>Системы аналитического программирования (СА1.5)</t>
  </si>
  <si>
    <t>Руководство магистрантами (СА1.5)</t>
  </si>
  <si>
    <t>Неклассические логики (СА1.75)</t>
  </si>
  <si>
    <t>Системы аналитического программирования (СА1.75)</t>
  </si>
  <si>
    <t>Экономико-математические методы в системном анализе (СА1.75)</t>
  </si>
  <si>
    <t>Научно-исследовательский семинар (СА1.75)</t>
  </si>
  <si>
    <t>Практика технологическая (СА1.5)</t>
  </si>
  <si>
    <t>Председатель ГЭК (СА1.5)</t>
  </si>
  <si>
    <t>Члены ГЭК (СА1.5)</t>
  </si>
  <si>
    <t>Нормоконтроль МД (СА1.5)</t>
  </si>
  <si>
    <t>Утверждение МД (СА1.5)</t>
  </si>
  <si>
    <t>Рецензирование МД (СА1.5)</t>
  </si>
  <si>
    <t>Руководство магистрантами (СА2.0_19зао)</t>
  </si>
  <si>
    <t>Мультиагентные системы / Функциональное программирование (СА2.0_19зао)</t>
  </si>
  <si>
    <t>Научно-исследовательский семинар (СА2.0_19зао)</t>
  </si>
  <si>
    <t>Системы аналитического программирования (СА2.0_19зао)</t>
  </si>
  <si>
    <t>Практика технологическая (СА2.0_19зао)</t>
  </si>
  <si>
    <t>Управление стартап-проектами (СА2.0_19зао)</t>
  </si>
  <si>
    <t>Модели и методы поддержки принятия решений (СА2.0_19зао)</t>
  </si>
  <si>
    <t>Председатель ГЭК (СА2.0_19зао)</t>
  </si>
  <si>
    <t>Члены ГЭК (СА2.0_19зао)</t>
  </si>
  <si>
    <t>Нормоконтроль МД (СА2.0_19зао)</t>
  </si>
  <si>
    <t>Утверждение МД (СА2.0_19зао)</t>
  </si>
  <si>
    <t>Рецензирование МД (СА2.0_19зао)</t>
  </si>
  <si>
    <t>Теоретическая информатика (ПИР_20)</t>
  </si>
  <si>
    <t>Компьютерная графика (ПИР_20)</t>
  </si>
  <si>
    <t>Типы и структуры данных (ПИР_20)</t>
  </si>
  <si>
    <t>Сети и телекоммуникации (ПИР_17)</t>
  </si>
  <si>
    <t>Теория информации/Методы оптимизации (ПИР_17)</t>
  </si>
  <si>
    <t>Математическое моделирование/Имитационное моделирование систем (ПИР_17)</t>
  </si>
  <si>
    <t>Компьютерные информационные технологии (ИВТ_20)</t>
  </si>
  <si>
    <t>Компьютерная графика (ИВТ_20)</t>
  </si>
  <si>
    <t>Теория информации/Методы оптимизации (ИВТ_17)</t>
  </si>
  <si>
    <t>Сети и телекоммуникации (ИВТ_17)</t>
  </si>
  <si>
    <t>Математическое моделирование/Имитационное моделирование систем (ИВТ_17)</t>
  </si>
  <si>
    <t>Дискретная математика (ПИР_20)</t>
  </si>
  <si>
    <t>Логика и теория алгоритмов (ПИР_20)</t>
  </si>
  <si>
    <t>Основы WEB-программирования/Технологии интернет-программирования (ПИР_20)</t>
  </si>
  <si>
    <t>Исследование операций (ПИР_17)</t>
  </si>
  <si>
    <t>Интегрированные информационные системы предприятий/Современные системы программирования (ПИР_17)</t>
  </si>
  <si>
    <t>Администрирование Linux-серверов/Администрирование Windows-серверов (ПИР_17)</t>
  </si>
  <si>
    <t>Дискретная математика (ИВТ_20)</t>
  </si>
  <si>
    <t>Логика и теория алгоритмов (ИВТ_20)</t>
  </si>
  <si>
    <t>Основы Web-программирования/Технология Интернет-программирования (ИВТ_20)</t>
  </si>
  <si>
    <t>Современные системы программирования (ИВТ_17)</t>
  </si>
  <si>
    <t>Контроль и диагностика сложных систем/Администрирование серверов (ИВТ_17)</t>
  </si>
  <si>
    <t>Дискретная математика (МИР)</t>
  </si>
  <si>
    <t>Якимов А.И.</t>
  </si>
  <si>
    <t>Столяров Ю.Д.</t>
  </si>
  <si>
    <t>Ковальчук В.М.</t>
  </si>
  <si>
    <t>Шилов А.В.</t>
  </si>
  <si>
    <t>Широченко В.А.</t>
  </si>
  <si>
    <t>Шебан Т.Л.</t>
  </si>
  <si>
    <t>Беккер И.А.</t>
  </si>
  <si>
    <t>Тимашкова Л.А.</t>
  </si>
  <si>
    <t>Выговская Н.В.</t>
  </si>
  <si>
    <t>Скрылев Н.П.</t>
  </si>
  <si>
    <t>Акиншева И.В.</t>
  </si>
  <si>
    <t>Венберг А.В.</t>
  </si>
  <si>
    <t>Садовский В.Т.</t>
  </si>
  <si>
    <t>Борчик Е.М.</t>
  </si>
  <si>
    <t>Ливинская В.А.</t>
  </si>
  <si>
    <t>Плиско И.Г.</t>
  </si>
  <si>
    <t>Якимов Е.А.</t>
  </si>
  <si>
    <t>Вакансия3</t>
  </si>
  <si>
    <t>Вакансия5</t>
  </si>
  <si>
    <t>Денисевич Д.А.</t>
  </si>
  <si>
    <t>Вакансия6</t>
  </si>
  <si>
    <t>Вакансия7</t>
  </si>
  <si>
    <t>Вакансия8</t>
  </si>
  <si>
    <t>Вакансия9</t>
  </si>
  <si>
    <t>Вакансия10</t>
  </si>
  <si>
    <t>Вакансия11</t>
  </si>
  <si>
    <t>д\б</t>
  </si>
  <si>
    <t>з\б</t>
  </si>
  <si>
    <t>д\м</t>
  </si>
  <si>
    <t>з\м</t>
  </si>
  <si>
    <t>Информационные системы и технологии (АСОИ_21)</t>
  </si>
  <si>
    <t>Архитектура ЭВМ (АСОИ_21)</t>
  </si>
  <si>
    <t>Случайные процессы и статистические методы обработки данных (АСОИзао)</t>
  </si>
  <si>
    <t>Дискретная математика (АСОИсокр)</t>
  </si>
  <si>
    <t>Построение и анализ алгоритмов (АСОИ_21)</t>
  </si>
  <si>
    <t>Операционные системы (АСОИ_21)</t>
  </si>
  <si>
    <t>Технологии поиска, передачи и защиты данных / Факторный и компонентный анализ (СА1.75)</t>
  </si>
  <si>
    <t>Управление стартап-проектами (СА1.75)</t>
  </si>
  <si>
    <t>Основы управления интеллектуальной собственностью (АСОИ_21)</t>
  </si>
  <si>
    <t>Технологии разработки программного обеспечения (ИСиТ)</t>
  </si>
  <si>
    <t>Технологии разработки программного обеспечения (ИСиТсокр)</t>
  </si>
  <si>
    <t>Информационные технологии (ФК)</t>
  </si>
  <si>
    <t>Барановский А.А.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</si>
</sst>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9" x14ac:knownFonts="1">
    <font>
      <sz val="10"/>
      <name val="Arial Cyr"/>
    </font>
    <font>
      <sz val="11"/>
      <color theme="1"/>
      <name val="Calibri"/>
      <family val="2"/>
      <charset val="204"/>
      <scheme val="minor"/>
    </font>
    <font>
      <sz val="8"/>
      <name val="Times New Roman Cyr"/>
      <family val="1"/>
      <charset val="204"/>
    </font>
    <font>
      <sz val="10"/>
      <name val="Times New Roman Cyr"/>
      <family val="1"/>
      <charset val="204"/>
    </font>
    <font>
      <sz val="8"/>
      <name val="Arial Cyr"/>
    </font>
    <font>
      <sz val="10"/>
      <name val="Times New Roman"/>
      <family val="1"/>
      <charset val="204"/>
    </font>
    <font>
      <sz val="9"/>
      <name val="Times New Roman"/>
      <family val="1"/>
      <charset val="204"/>
    </font>
    <font>
      <sz val="10"/>
      <color theme="0"/>
      <name val="Times New Roman"/>
      <family val="1"/>
      <charset val="204"/>
    </font>
    <font>
      <sz val="9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8"/>
      </bottom>
      <diagonal/>
    </border>
  </borders>
  <cellStyleXfs count="2">
    <xf numFmtId="0" fontId="0" fillId="0" borderId="0"/>
    <xf numFmtId="0" fontId="1" fillId="0" borderId="0"/>
  </cellStyleXfs>
  <cellXfs count="181">
    <xf numFmtId="0" fontId="0" fillId="0" borderId="0" xfId="0"/>
    <xf numFmtId="0" fontId="0" fillId="0" borderId="0" xfId="0" applyFill="1"/>
    <xf numFmtId="0" fontId="0" fillId="0" borderId="0" xfId="0" applyFill="1" applyBorder="1"/>
    <xf numFmtId="0" fontId="3" fillId="0" borderId="0" xfId="0" applyFont="1" applyFill="1" applyAlignment="1">
      <alignment vertical="top"/>
    </xf>
    <xf numFmtId="0" fontId="3" fillId="0" borderId="0" xfId="0" applyFont="1" applyFill="1" applyAlignment="1">
      <alignment horizontal="left" wrapText="1"/>
    </xf>
    <xf numFmtId="0" fontId="3" fillId="0" borderId="0" xfId="0" applyFont="1" applyFill="1" applyAlignment="1">
      <alignment horizontal="center" vertical="top"/>
    </xf>
    <xf numFmtId="0" fontId="3" fillId="0" borderId="0" xfId="0" applyFont="1" applyFill="1"/>
    <xf numFmtId="1" fontId="3" fillId="0" borderId="0" xfId="0" applyNumberFormat="1" applyFont="1" applyFill="1"/>
    <xf numFmtId="2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 applyAlignment="1">
      <alignment horizontal="center" vertical="top"/>
    </xf>
    <xf numFmtId="164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/>
    <xf numFmtId="2" fontId="3" fillId="0" borderId="0" xfId="0" applyNumberFormat="1" applyFont="1" applyFill="1"/>
    <xf numFmtId="0" fontId="3" fillId="0" borderId="0" xfId="0" applyFont="1" applyFill="1" applyBorder="1"/>
    <xf numFmtId="0" fontId="3" fillId="0" borderId="0" xfId="0" applyFont="1" applyFill="1" applyAlignment="1">
      <alignment wrapText="1"/>
    </xf>
    <xf numFmtId="2" fontId="3" fillId="0" borderId="0" xfId="0" applyNumberFormat="1" applyFont="1" applyFill="1" applyBorder="1" applyAlignment="1">
      <alignment horizontal="center" vertical="top" textRotation="90"/>
    </xf>
    <xf numFmtId="9" fontId="3" fillId="0" borderId="0" xfId="0" applyNumberFormat="1" applyFont="1" applyFill="1" applyBorder="1" applyAlignment="1">
      <alignment horizontal="center" textRotation="90"/>
    </xf>
    <xf numFmtId="0" fontId="3" fillId="0" borderId="0" xfId="0" applyFont="1" applyFill="1" applyBorder="1" applyAlignment="1">
      <alignment horizontal="center" textRotation="90"/>
    </xf>
    <xf numFmtId="164" fontId="3" fillId="0" borderId="0" xfId="0" applyNumberFormat="1" applyFont="1" applyFill="1" applyBorder="1" applyAlignment="1">
      <alignment horizontal="center" textRotation="90"/>
    </xf>
    <xf numFmtId="2" fontId="3" fillId="0" borderId="0" xfId="0" applyNumberFormat="1" applyFont="1" applyFill="1" applyBorder="1" applyAlignment="1">
      <alignment horizontal="center" textRotation="90"/>
    </xf>
    <xf numFmtId="0" fontId="3" fillId="0" borderId="0" xfId="0" applyFont="1" applyFill="1" applyBorder="1" applyAlignment="1">
      <alignment horizontal="center" vertical="top"/>
    </xf>
    <xf numFmtId="1" fontId="3" fillId="0" borderId="0" xfId="0" applyNumberFormat="1" applyFont="1" applyFill="1" applyBorder="1" applyAlignment="1">
      <alignment horizontal="center" vertical="top"/>
    </xf>
    <xf numFmtId="164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left" vertical="top"/>
    </xf>
    <xf numFmtId="1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 applyBorder="1" applyAlignment="1">
      <alignment horizontal="center" vertical="top"/>
    </xf>
    <xf numFmtId="9" fontId="3" fillId="0" borderId="0" xfId="0" applyNumberFormat="1" applyFont="1" applyFill="1" applyBorder="1"/>
    <xf numFmtId="2" fontId="3" fillId="0" borderId="0" xfId="0" applyNumberFormat="1" applyFont="1" applyFill="1" applyBorder="1"/>
    <xf numFmtId="0" fontId="3" fillId="0" borderId="0" xfId="0" applyFont="1" applyFill="1" applyBorder="1" applyAlignment="1">
      <alignment textRotation="90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top" wrapText="1"/>
    </xf>
    <xf numFmtId="0" fontId="3" fillId="0" borderId="0" xfId="0" applyNumberFormat="1" applyFont="1" applyFill="1" applyBorder="1" applyAlignment="1">
      <alignment horizontal="center" vertical="top"/>
    </xf>
    <xf numFmtId="0" fontId="5" fillId="0" borderId="15" xfId="0" applyFont="1" applyBorder="1" applyAlignment="1">
      <alignment textRotation="90" wrapText="1"/>
    </xf>
    <xf numFmtId="0" fontId="5" fillId="0" borderId="0" xfId="0" applyFont="1"/>
    <xf numFmtId="0" fontId="6" fillId="0" borderId="12" xfId="0" applyFont="1" applyBorder="1" applyAlignment="1">
      <alignment vertical="top" wrapText="1"/>
    </xf>
    <xf numFmtId="0" fontId="5" fillId="0" borderId="6" xfId="0" applyFont="1" applyBorder="1" applyAlignment="1">
      <alignment vertical="top"/>
    </xf>
    <xf numFmtId="1" fontId="5" fillId="0" borderId="0" xfId="0" applyNumberFormat="1" applyFont="1"/>
    <xf numFmtId="2" fontId="5" fillId="0" borderId="0" xfId="0" applyNumberFormat="1" applyFont="1"/>
    <xf numFmtId="0" fontId="5" fillId="0" borderId="7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1" fontId="5" fillId="0" borderId="7" xfId="0" applyNumberFormat="1" applyFont="1" applyBorder="1" applyAlignment="1">
      <alignment vertical="top"/>
    </xf>
    <xf numFmtId="0" fontId="5" fillId="0" borderId="0" xfId="0" applyFont="1" applyAlignment="1">
      <alignment wrapText="1"/>
    </xf>
    <xf numFmtId="0" fontId="5" fillId="0" borderId="0" xfId="0" applyFont="1" applyFill="1"/>
    <xf numFmtId="1" fontId="5" fillId="0" borderId="0" xfId="0" applyNumberFormat="1" applyFont="1" applyFill="1"/>
    <xf numFmtId="2" fontId="5" fillId="0" borderId="6" xfId="0" applyNumberFormat="1" applyFont="1" applyBorder="1" applyAlignment="1">
      <alignment vertical="top"/>
    </xf>
    <xf numFmtId="2" fontId="5" fillId="0" borderId="17" xfId="0" applyNumberFormat="1" applyFont="1" applyBorder="1" applyAlignment="1">
      <alignment vertical="top"/>
    </xf>
    <xf numFmtId="2" fontId="5" fillId="0" borderId="13" xfId="0" applyNumberFormat="1" applyFont="1" applyBorder="1" applyAlignment="1">
      <alignment vertical="top"/>
    </xf>
    <xf numFmtId="2" fontId="5" fillId="0" borderId="7" xfId="0" applyNumberFormat="1" applyFont="1" applyBorder="1" applyAlignment="1">
      <alignment vertical="top"/>
    </xf>
    <xf numFmtId="0" fontId="6" fillId="0" borderId="0" xfId="0" applyFont="1" applyFill="1" applyBorder="1" applyAlignment="1">
      <alignment vertical="top" wrapText="1"/>
    </xf>
    <xf numFmtId="0" fontId="5" fillId="0" borderId="0" xfId="0" applyFont="1" applyFill="1" applyAlignment="1">
      <alignment wrapText="1"/>
    </xf>
    <xf numFmtId="0" fontId="5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5" fillId="0" borderId="0" xfId="0" quotePrefix="1" applyFont="1"/>
    <xf numFmtId="2" fontId="5" fillId="0" borderId="18" xfId="0" applyNumberFormat="1" applyFont="1" applyBorder="1" applyAlignment="1">
      <alignment vertical="top"/>
    </xf>
    <xf numFmtId="2" fontId="2" fillId="0" borderId="0" xfId="0" applyNumberFormat="1" applyFont="1" applyFill="1" applyAlignment="1">
      <alignment horizontal="left" vertical="top" wrapText="1"/>
    </xf>
    <xf numFmtId="2" fontId="2" fillId="0" borderId="0" xfId="0" applyNumberFormat="1" applyFont="1" applyFill="1" applyAlignment="1">
      <alignment vertical="top" wrapText="1"/>
    </xf>
    <xf numFmtId="2" fontId="2" fillId="0" borderId="0" xfId="0" applyNumberFormat="1" applyFont="1" applyFill="1" applyAlignment="1">
      <alignment horizontal="center" vertical="center" wrapText="1"/>
    </xf>
    <xf numFmtId="2" fontId="2" fillId="0" borderId="0" xfId="0" applyNumberFormat="1" applyFont="1" applyFill="1" applyAlignment="1">
      <alignment horizontal="left" wrapText="1"/>
    </xf>
    <xf numFmtId="1" fontId="2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Alignment="1">
      <alignment horizontal="left" vertical="top"/>
    </xf>
    <xf numFmtId="2" fontId="2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Alignment="1">
      <alignment horizontal="right" vertical="top"/>
    </xf>
    <xf numFmtId="2" fontId="2" fillId="0" borderId="0" xfId="0" applyNumberFormat="1" applyFont="1" applyFill="1"/>
    <xf numFmtId="2" fontId="2" fillId="0" borderId="4" xfId="0" applyNumberFormat="1" applyFont="1" applyFill="1" applyBorder="1" applyAlignment="1">
      <alignment horizontal="left" vertical="top" wrapText="1"/>
    </xf>
    <xf numFmtId="2" fontId="2" fillId="0" borderId="0" xfId="0" applyNumberFormat="1" applyFont="1" applyFill="1" applyAlignment="1">
      <alignment horizontal="center" vertical="center"/>
    </xf>
    <xf numFmtId="0" fontId="5" fillId="0" borderId="17" xfId="0" applyFont="1" applyBorder="1" applyAlignment="1">
      <alignment vertical="top"/>
    </xf>
    <xf numFmtId="0" fontId="5" fillId="0" borderId="13" xfId="0" applyFont="1" applyBorder="1" applyAlignment="1">
      <alignment vertical="top"/>
    </xf>
    <xf numFmtId="0" fontId="5" fillId="0" borderId="0" xfId="0" applyFont="1" applyAlignment="1">
      <alignment horizontal="center"/>
    </xf>
    <xf numFmtId="0" fontId="5" fillId="0" borderId="15" xfId="0" applyFont="1" applyFill="1" applyBorder="1" applyAlignment="1">
      <alignment textRotation="90" wrapText="1"/>
    </xf>
    <xf numFmtId="0" fontId="6" fillId="0" borderId="15" xfId="0" applyFont="1" applyFill="1" applyBorder="1" applyAlignment="1">
      <alignment vertical="top"/>
    </xf>
    <xf numFmtId="0" fontId="6" fillId="0" borderId="12" xfId="0" applyFont="1" applyFill="1" applyBorder="1" applyAlignment="1">
      <alignment vertical="top" wrapText="1"/>
    </xf>
    <xf numFmtId="0" fontId="5" fillId="0" borderId="6" xfId="0" applyFont="1" applyFill="1" applyBorder="1" applyAlignment="1">
      <alignment vertical="top"/>
    </xf>
    <xf numFmtId="0" fontId="5" fillId="0" borderId="7" xfId="0" applyFont="1" applyFill="1" applyBorder="1" applyAlignment="1">
      <alignment vertical="top"/>
    </xf>
    <xf numFmtId="2" fontId="0" fillId="0" borderId="0" xfId="0" applyNumberFormat="1" applyFill="1"/>
    <xf numFmtId="0" fontId="5" fillId="0" borderId="0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center" vertical="top"/>
    </xf>
    <xf numFmtId="0" fontId="5" fillId="0" borderId="0" xfId="0" applyFont="1" applyFill="1" applyBorder="1" applyAlignment="1">
      <alignment vertical="top"/>
    </xf>
    <xf numFmtId="2" fontId="5" fillId="0" borderId="0" xfId="0" applyNumberFormat="1" applyFont="1" applyFill="1" applyBorder="1" applyAlignment="1">
      <alignment horizontal="center"/>
    </xf>
    <xf numFmtId="1" fontId="5" fillId="0" borderId="7" xfId="0" applyNumberFormat="1" applyFont="1" applyFill="1" applyBorder="1" applyAlignment="1">
      <alignment vertical="top"/>
    </xf>
    <xf numFmtId="1" fontId="5" fillId="0" borderId="0" xfId="0" applyNumberFormat="1" applyFont="1" applyFill="1" applyBorder="1"/>
    <xf numFmtId="2" fontId="5" fillId="0" borderId="0" xfId="0" applyNumberFormat="1" applyFont="1" applyFill="1" applyBorder="1"/>
    <xf numFmtId="0" fontId="5" fillId="0" borderId="0" xfId="0" applyFont="1" applyFill="1" applyBorder="1" applyAlignment="1">
      <alignment wrapText="1"/>
    </xf>
    <xf numFmtId="0" fontId="5" fillId="0" borderId="0" xfId="0" applyFont="1" applyBorder="1"/>
    <xf numFmtId="0" fontId="5" fillId="0" borderId="0" xfId="0" applyFont="1" applyBorder="1" applyAlignment="1">
      <alignment wrapText="1"/>
    </xf>
    <xf numFmtId="2" fontId="2" fillId="0" borderId="0" xfId="0" applyNumberFormat="1" applyFont="1" applyFill="1" applyAlignment="1">
      <alignment horizontal="right" vertical="top"/>
    </xf>
    <xf numFmtId="2" fontId="2" fillId="0" borderId="0" xfId="0" applyNumberFormat="1" applyFont="1" applyFill="1" applyAlignment="1">
      <alignment horizontal="center" vertical="top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2" fontId="2" fillId="0" borderId="0" xfId="0" applyNumberFormat="1" applyFont="1" applyFill="1" applyAlignment="1">
      <alignment horizontal="right" vertical="top"/>
    </xf>
    <xf numFmtId="0" fontId="5" fillId="0" borderId="17" xfId="0" applyFont="1" applyFill="1" applyBorder="1" applyAlignment="1">
      <alignment vertical="top"/>
    </xf>
    <xf numFmtId="0" fontId="5" fillId="0" borderId="13" xfId="0" applyFont="1" applyFill="1" applyBorder="1" applyAlignment="1">
      <alignment vertical="top"/>
    </xf>
    <xf numFmtId="2" fontId="5" fillId="0" borderId="17" xfId="0" applyNumberFormat="1" applyFont="1" applyFill="1" applyBorder="1" applyAlignment="1">
      <alignment vertical="top"/>
    </xf>
    <xf numFmtId="2" fontId="5" fillId="0" borderId="13" xfId="0" applyNumberFormat="1" applyFont="1" applyFill="1" applyBorder="1" applyAlignment="1">
      <alignment vertical="top"/>
    </xf>
    <xf numFmtId="2" fontId="2" fillId="0" borderId="0" xfId="0" applyNumberFormat="1" applyFont="1" applyFill="1" applyAlignment="1">
      <alignment vertical="top"/>
    </xf>
    <xf numFmtId="2" fontId="7" fillId="0" borderId="13" xfId="0" applyNumberFormat="1" applyFont="1" applyFill="1" applyBorder="1" applyAlignment="1">
      <alignment vertical="top"/>
    </xf>
    <xf numFmtId="2" fontId="7" fillId="0" borderId="17" xfId="0" applyNumberFormat="1" applyFont="1" applyFill="1" applyBorder="1" applyAlignment="1">
      <alignment vertical="top"/>
    </xf>
    <xf numFmtId="2" fontId="7" fillId="0" borderId="13" xfId="0" applyNumberFormat="1" applyFont="1" applyBorder="1" applyAlignment="1">
      <alignment vertical="top"/>
    </xf>
    <xf numFmtId="2" fontId="2" fillId="0" borderId="0" xfId="0" applyNumberFormat="1" applyFont="1" applyFill="1" applyAlignment="1">
      <alignment horizontal="center" vertical="top"/>
    </xf>
    <xf numFmtId="0" fontId="0" fillId="0" borderId="0" xfId="0" applyFill="1" applyAlignment="1">
      <alignment vertical="top"/>
    </xf>
    <xf numFmtId="2" fontId="3" fillId="0" borderId="0" xfId="0" applyNumberFormat="1" applyFont="1" applyFill="1" applyBorder="1" applyAlignment="1">
      <alignment horizontal="center" vertical="top"/>
    </xf>
    <xf numFmtId="2" fontId="2" fillId="0" borderId="0" xfId="0" applyNumberFormat="1" applyFont="1" applyFill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0" fontId="5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0" fontId="5" fillId="0" borderId="0" xfId="0" applyFont="1" applyAlignment="1">
      <alignment horizontal="center"/>
    </xf>
    <xf numFmtId="2" fontId="4" fillId="0" borderId="0" xfId="0" applyNumberFormat="1" applyFont="1" applyFill="1" applyBorder="1"/>
    <xf numFmtId="0" fontId="5" fillId="0" borderId="0" xfId="0" applyFont="1" applyAlignment="1">
      <alignment horizontal="center"/>
    </xf>
    <xf numFmtId="2" fontId="5" fillId="0" borderId="6" xfId="0" applyNumberFormat="1" applyFont="1" applyFill="1" applyBorder="1" applyAlignment="1">
      <alignment vertical="top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textRotation="90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Border="1" applyAlignment="1">
      <alignment horizontal="left" vertical="top"/>
    </xf>
    <xf numFmtId="164" fontId="3" fillId="2" borderId="0" xfId="0" applyNumberFormat="1" applyFont="1" applyFill="1" applyBorder="1" applyAlignment="1">
      <alignment horizontal="center" textRotation="90"/>
    </xf>
    <xf numFmtId="2" fontId="3" fillId="2" borderId="0" xfId="0" applyNumberFormat="1" applyFont="1" applyFill="1" applyBorder="1" applyAlignment="1">
      <alignment horizontal="center" textRotation="90"/>
    </xf>
    <xf numFmtId="2" fontId="3" fillId="2" borderId="0" xfId="0" applyNumberFormat="1" applyFont="1" applyFill="1" applyBorder="1" applyAlignment="1">
      <alignment horizontal="left" vertical="top"/>
    </xf>
    <xf numFmtId="0" fontId="3" fillId="2" borderId="0" xfId="0" applyFont="1" applyFill="1"/>
    <xf numFmtId="0" fontId="3" fillId="2" borderId="0" xfId="0" applyFont="1" applyFill="1" applyAlignment="1">
      <alignment horizontal="center" vertical="top"/>
    </xf>
    <xf numFmtId="0" fontId="5" fillId="2" borderId="0" xfId="0" applyFont="1" applyFill="1"/>
    <xf numFmtId="0" fontId="5" fillId="0" borderId="0" xfId="0" applyFont="1" applyFill="1" applyBorder="1" applyAlignment="1">
      <alignment horizontal="center"/>
    </xf>
    <xf numFmtId="0" fontId="5" fillId="0" borderId="18" xfId="0" applyFont="1" applyBorder="1" applyAlignment="1">
      <alignment vertical="top"/>
    </xf>
    <xf numFmtId="0" fontId="5" fillId="0" borderId="16" xfId="0" applyFont="1" applyBorder="1" applyAlignment="1">
      <alignment vertical="top"/>
    </xf>
    <xf numFmtId="0" fontId="5" fillId="0" borderId="17" xfId="0" applyFont="1" applyFill="1" applyBorder="1" applyAlignment="1">
      <alignment horizontal="center" vertical="top"/>
    </xf>
    <xf numFmtId="0" fontId="8" fillId="0" borderId="0" xfId="0" applyFont="1" applyAlignment="1">
      <alignment wrapText="1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2" fontId="5" fillId="0" borderId="19" xfId="0" applyNumberFormat="1" applyFont="1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0" fontId="5" fillId="0" borderId="6" xfId="0" applyFont="1" applyFill="1" applyBorder="1" applyAlignment="1">
      <alignment horizontal="left" vertical="top" wrapText="1"/>
    </xf>
    <xf numFmtId="0" fontId="5" fillId="0" borderId="7" xfId="0" applyFont="1" applyFill="1" applyBorder="1" applyAlignment="1">
      <alignment horizontal="left" vertical="top" wrapText="1"/>
    </xf>
    <xf numFmtId="0" fontId="5" fillId="0" borderId="0" xfId="0" applyFont="1" applyAlignment="1">
      <alignment horizontal="center"/>
    </xf>
    <xf numFmtId="0" fontId="5" fillId="0" borderId="6" xfId="0" applyFont="1" applyFill="1" applyBorder="1" applyAlignment="1">
      <alignment horizontal="center" vertical="top"/>
    </xf>
    <xf numFmtId="0" fontId="5" fillId="0" borderId="7" xfId="0" applyFont="1" applyFill="1" applyBorder="1" applyAlignment="1">
      <alignment horizontal="center" vertical="top"/>
    </xf>
    <xf numFmtId="2" fontId="5" fillId="0" borderId="5" xfId="0" applyNumberFormat="1" applyFont="1" applyBorder="1" applyAlignment="1">
      <alignment horizontal="center"/>
    </xf>
    <xf numFmtId="2" fontId="5" fillId="0" borderId="15" xfId="0" applyNumberFormat="1" applyFont="1" applyBorder="1" applyAlignment="1">
      <alignment horizontal="center"/>
    </xf>
    <xf numFmtId="0" fontId="5" fillId="0" borderId="9" xfId="0" applyFont="1" applyBorder="1" applyAlignment="1">
      <alignment textRotation="90" wrapText="1"/>
    </xf>
    <xf numFmtId="0" fontId="5" fillId="0" borderId="20" xfId="0" applyFont="1" applyBorder="1" applyAlignment="1">
      <alignment textRotation="90" wrapText="1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3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2" fontId="5" fillId="0" borderId="8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2" fontId="5" fillId="0" borderId="8" xfId="0" applyNumberFormat="1" applyFont="1" applyFill="1" applyBorder="1" applyAlignment="1">
      <alignment horizontal="center"/>
    </xf>
    <xf numFmtId="2" fontId="5" fillId="0" borderId="2" xfId="0" applyNumberFormat="1" applyFont="1" applyFill="1" applyBorder="1" applyAlignment="1">
      <alignment horizontal="center"/>
    </xf>
    <xf numFmtId="2" fontId="2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Border="1" applyAlignment="1">
      <alignment horizontal="left" vertical="top" wrapText="1"/>
    </xf>
    <xf numFmtId="0" fontId="5" fillId="0" borderId="9" xfId="0" applyFont="1" applyBorder="1" applyAlignment="1">
      <alignment horizontal="center" textRotation="90"/>
    </xf>
    <xf numFmtId="0" fontId="5" fillId="0" borderId="11" xfId="0" applyFont="1" applyBorder="1" applyAlignment="1">
      <alignment horizontal="center" textRotation="90"/>
    </xf>
    <xf numFmtId="0" fontId="5" fillId="0" borderId="5" xfId="0" applyFont="1" applyBorder="1" applyAlignment="1">
      <alignment textRotation="90" wrapText="1"/>
    </xf>
    <xf numFmtId="0" fontId="5" fillId="0" borderId="22" xfId="0" applyFont="1" applyBorder="1" applyAlignment="1">
      <alignment textRotation="90" wrapText="1"/>
    </xf>
    <xf numFmtId="2" fontId="2" fillId="0" borderId="0" xfId="0" applyNumberFormat="1" applyFont="1" applyFill="1" applyAlignment="1">
      <alignment horizontal="center" vertical="top" wrapText="1"/>
    </xf>
    <xf numFmtId="2" fontId="2" fillId="0" borderId="0" xfId="0" applyNumberFormat="1" applyFont="1" applyFill="1" applyAlignment="1">
      <alignment horizontal="right" vertical="top"/>
    </xf>
    <xf numFmtId="0" fontId="5" fillId="0" borderId="11" xfId="0" applyFont="1" applyBorder="1" applyAlignment="1">
      <alignment textRotation="90" wrapText="1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10" xfId="0" applyFont="1" applyBorder="1" applyAlignment="1">
      <alignment wrapText="1"/>
    </xf>
    <xf numFmtId="0" fontId="5" fillId="0" borderId="21" xfId="0" applyFont="1" applyBorder="1" applyAlignment="1">
      <alignment wrapText="1"/>
    </xf>
    <xf numFmtId="0" fontId="5" fillId="0" borderId="0" xfId="0" applyFont="1" applyFill="1" applyBorder="1" applyAlignment="1">
      <alignment horizontal="center"/>
    </xf>
    <xf numFmtId="0" fontId="5" fillId="0" borderId="9" xfId="0" applyFont="1" applyFill="1" applyBorder="1" applyAlignment="1">
      <alignment textRotation="90" wrapText="1"/>
    </xf>
    <xf numFmtId="0" fontId="5" fillId="0" borderId="20" xfId="0" applyFont="1" applyFill="1" applyBorder="1" applyAlignment="1">
      <alignment textRotation="90" wrapText="1"/>
    </xf>
    <xf numFmtId="0" fontId="5" fillId="0" borderId="5" xfId="0" applyFont="1" applyFill="1" applyBorder="1" applyAlignment="1">
      <alignment textRotation="90" wrapText="1"/>
    </xf>
    <xf numFmtId="0" fontId="5" fillId="0" borderId="22" xfId="0" applyFont="1" applyFill="1" applyBorder="1" applyAlignment="1">
      <alignment textRotation="90" wrapText="1"/>
    </xf>
    <xf numFmtId="0" fontId="5" fillId="0" borderId="0" xfId="0" applyFont="1" applyFill="1" applyAlignment="1">
      <alignment horizontal="center"/>
    </xf>
    <xf numFmtId="0" fontId="5" fillId="0" borderId="11" xfId="0" applyFont="1" applyFill="1" applyBorder="1" applyAlignment="1">
      <alignment textRotation="90" wrapText="1"/>
    </xf>
    <xf numFmtId="0" fontId="0" fillId="0" borderId="9" xfId="0" applyFill="1" applyBorder="1" applyAlignment="1">
      <alignment horizontal="center" textRotation="90"/>
    </xf>
    <xf numFmtId="0" fontId="0" fillId="0" borderId="11" xfId="0" applyFill="1" applyBorder="1" applyAlignment="1">
      <alignment horizontal="center" textRotation="90"/>
    </xf>
    <xf numFmtId="0" fontId="5" fillId="0" borderId="9" xfId="0" applyFont="1" applyFill="1" applyBorder="1" applyAlignment="1">
      <alignment vertical="top" wrapText="1"/>
    </xf>
    <xf numFmtId="0" fontId="5" fillId="0" borderId="11" xfId="0" applyFont="1" applyFill="1" applyBorder="1" applyAlignment="1">
      <alignment vertical="top" wrapText="1"/>
    </xf>
    <xf numFmtId="0" fontId="5" fillId="0" borderId="9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5" fillId="0" borderId="10" xfId="0" applyFont="1" applyFill="1" applyBorder="1" applyAlignment="1">
      <alignment wrapText="1"/>
    </xf>
    <xf numFmtId="0" fontId="5" fillId="0" borderId="21" xfId="0" applyFont="1" applyFill="1" applyBorder="1" applyAlignment="1">
      <alignment wrapText="1"/>
    </xf>
  </cellXfs>
  <cellStyles count="2">
    <cellStyle name="Обычный" xfId="0" builtinId="0"/>
    <cellStyle name="Обычный 2" xfId="1"/>
  </cellStyles>
  <dxfs count="1">
    <dxf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/>
  </sheetPr>
  <dimension ref="A1:AN723"/>
  <sheetViews>
    <sheetView tabSelected="1" zoomScale="90" zoomScaleNormal="9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A60" sqref="AA60"/>
    </sheetView>
  </sheetViews>
  <sheetFormatPr defaultColWidth="9.1640625" defaultRowHeight="12.6" outlineLevelRow="1" x14ac:dyDescent="0.45"/>
  <cols>
    <col min="1" max="1" width="3.44140625" style="34" customWidth="1"/>
    <col min="2" max="2" width="25.44140625" style="42" customWidth="1"/>
    <col min="3" max="3" width="5.5546875" style="34" customWidth="1"/>
    <col min="4" max="4" width="4.44140625" style="34" customWidth="1"/>
    <col min="5" max="5" width="3.27734375" style="34" customWidth="1"/>
    <col min="6" max="6" width="5.1640625" style="34" customWidth="1"/>
    <col min="7" max="7" width="4.71875" style="34" customWidth="1"/>
    <col min="8" max="9" width="4.83203125" style="34" customWidth="1"/>
    <col min="10" max="10" width="5.71875" style="34" customWidth="1"/>
    <col min="11" max="11" width="3.5546875" style="34" customWidth="1"/>
    <col min="12" max="12" width="5" style="34" customWidth="1"/>
    <col min="13" max="13" width="5.27734375" style="34" customWidth="1"/>
    <col min="14" max="15" width="5.44140625" style="34" customWidth="1"/>
    <col min="16" max="16" width="5" style="34" customWidth="1"/>
    <col min="17" max="17" width="4.1640625" style="34" customWidth="1"/>
    <col min="18" max="18" width="4.71875" style="34" customWidth="1"/>
    <col min="19" max="19" width="5.71875" style="34" customWidth="1"/>
    <col min="20" max="20" width="4.5546875" style="34" customWidth="1"/>
    <col min="21" max="21" width="5.27734375" style="34" customWidth="1"/>
    <col min="22" max="22" width="7.1640625" style="34" customWidth="1"/>
    <col min="23" max="23" width="8.1640625" style="34" customWidth="1"/>
    <col min="24" max="16384" width="9.1640625" style="34"/>
  </cols>
  <sheetData>
    <row r="1" spans="1:40" ht="15.75" customHeight="1" x14ac:dyDescent="0.45">
      <c r="A1" s="157" t="s">
        <v>39</v>
      </c>
      <c r="B1" s="157"/>
      <c r="C1" s="56"/>
      <c r="D1" s="57"/>
      <c r="E1" s="58"/>
      <c r="F1" s="59"/>
      <c r="G1" s="60"/>
      <c r="H1" s="60"/>
      <c r="I1" s="61"/>
      <c r="J1" s="60" t="s">
        <v>40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2" t="s">
        <v>50</v>
      </c>
      <c r="X1" s="61"/>
      <c r="Y1" s="61"/>
      <c r="Z1" s="61"/>
      <c r="AA1" s="61"/>
      <c r="AB1" s="61"/>
      <c r="AC1" s="61"/>
      <c r="AF1" s="61"/>
      <c r="AG1" s="61"/>
      <c r="AH1" s="61"/>
      <c r="AI1" s="61"/>
      <c r="AJ1" s="61"/>
      <c r="AK1" s="61"/>
      <c r="AN1" s="63"/>
    </row>
    <row r="2" spans="1:40" ht="12.75" customHeight="1" x14ac:dyDescent="0.45">
      <c r="A2" s="158" t="s">
        <v>41</v>
      </c>
      <c r="B2" s="158"/>
      <c r="C2" s="158"/>
      <c r="D2" s="158"/>
      <c r="E2" s="58"/>
      <c r="F2" s="59"/>
      <c r="G2" s="61"/>
      <c r="H2" s="60"/>
      <c r="I2" s="61"/>
      <c r="J2" s="60" t="s">
        <v>42</v>
      </c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98"/>
      <c r="Y2" s="98"/>
      <c r="Z2" s="61"/>
      <c r="AA2" s="61"/>
      <c r="AB2" s="61"/>
      <c r="AC2" s="61"/>
      <c r="AF2" s="61"/>
      <c r="AG2" s="61"/>
      <c r="AH2" s="61"/>
      <c r="AI2" s="61"/>
      <c r="AJ2" s="61"/>
      <c r="AK2" s="61"/>
      <c r="AN2" s="63"/>
    </row>
    <row r="3" spans="1:40" x14ac:dyDescent="0.45">
      <c r="A3" s="64"/>
      <c r="B3" s="64"/>
      <c r="C3" s="94"/>
      <c r="D3" s="89" t="s">
        <v>56</v>
      </c>
      <c r="E3" s="58"/>
      <c r="F3" s="59"/>
      <c r="G3" s="61"/>
      <c r="H3" s="60"/>
      <c r="I3" s="61"/>
      <c r="J3" s="60" t="s">
        <v>43</v>
      </c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151" t="s">
        <v>44</v>
      </c>
      <c r="W3" s="151"/>
      <c r="X3" s="61"/>
      <c r="Y3" s="101"/>
      <c r="Z3" s="61"/>
      <c r="AA3" s="61"/>
      <c r="AB3" s="61"/>
      <c r="AC3" s="61"/>
      <c r="AF3" s="61"/>
      <c r="AG3" s="61"/>
      <c r="AH3" s="61"/>
      <c r="AI3" s="61"/>
      <c r="AJ3" s="61"/>
      <c r="AK3" s="61"/>
      <c r="AN3" s="63"/>
    </row>
    <row r="4" spans="1:40" ht="12.9" thickBot="1" x14ac:dyDescent="0.5">
      <c r="A4" s="152" t="s">
        <v>63</v>
      </c>
      <c r="B4" s="152"/>
      <c r="C4" s="55"/>
      <c r="D4" s="65"/>
      <c r="E4" s="58"/>
      <c r="F4" s="59"/>
      <c r="G4" s="61"/>
      <c r="H4" s="60"/>
      <c r="I4" s="61"/>
      <c r="J4" s="60" t="s">
        <v>54</v>
      </c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10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3"/>
    </row>
    <row r="5" spans="1:40" ht="18" customHeight="1" thickBot="1" x14ac:dyDescent="0.5">
      <c r="A5" s="160" t="s">
        <v>16</v>
      </c>
      <c r="B5" s="162" t="s">
        <v>4</v>
      </c>
      <c r="C5" s="141" t="s">
        <v>17</v>
      </c>
      <c r="D5" s="141" t="s">
        <v>18</v>
      </c>
      <c r="E5" s="141" t="s">
        <v>19</v>
      </c>
      <c r="F5" s="141" t="s">
        <v>20</v>
      </c>
      <c r="G5" s="141" t="s">
        <v>5</v>
      </c>
      <c r="H5" s="141" t="s">
        <v>21</v>
      </c>
      <c r="I5" s="141" t="s">
        <v>22</v>
      </c>
      <c r="J5" s="141" t="s">
        <v>13</v>
      </c>
      <c r="K5" s="141" t="s">
        <v>52</v>
      </c>
      <c r="L5" s="141" t="s">
        <v>6</v>
      </c>
      <c r="M5" s="141" t="s">
        <v>10</v>
      </c>
      <c r="N5" s="141" t="s">
        <v>11</v>
      </c>
      <c r="O5" s="141" t="s">
        <v>1</v>
      </c>
      <c r="P5" s="141" t="s">
        <v>0</v>
      </c>
      <c r="Q5" s="164" t="s">
        <v>14</v>
      </c>
      <c r="R5" s="165"/>
      <c r="S5" s="155" t="s">
        <v>3</v>
      </c>
      <c r="T5" s="141" t="s">
        <v>23</v>
      </c>
      <c r="U5" s="141" t="s">
        <v>58</v>
      </c>
      <c r="V5" s="141" t="s">
        <v>24</v>
      </c>
      <c r="W5" s="153" t="s">
        <v>30</v>
      </c>
      <c r="Y5" s="101"/>
      <c r="Z5" s="38"/>
      <c r="AD5" s="34" t="s">
        <v>46</v>
      </c>
    </row>
    <row r="6" spans="1:40" ht="83.25" customHeight="1" thickBot="1" x14ac:dyDescent="0.5">
      <c r="A6" s="161"/>
      <c r="B6" s="163"/>
      <c r="C6" s="159"/>
      <c r="D6" s="159"/>
      <c r="E6" s="159"/>
      <c r="F6" s="159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33" t="s">
        <v>25</v>
      </c>
      <c r="R6" s="33" t="s">
        <v>26</v>
      </c>
      <c r="S6" s="156"/>
      <c r="T6" s="142"/>
      <c r="U6" s="142"/>
      <c r="V6" s="142"/>
      <c r="W6" s="154"/>
    </row>
    <row r="7" spans="1:40" ht="12.9" thickBot="1" x14ac:dyDescent="0.5">
      <c r="A7" s="161"/>
      <c r="B7" s="163"/>
      <c r="C7" s="159"/>
      <c r="D7" s="159"/>
      <c r="E7" s="159"/>
      <c r="F7" s="159"/>
      <c r="G7" s="40" t="s">
        <v>27</v>
      </c>
      <c r="H7" s="40" t="s">
        <v>27</v>
      </c>
      <c r="I7" s="40" t="s">
        <v>27</v>
      </c>
      <c r="J7" s="40" t="s">
        <v>27</v>
      </c>
      <c r="K7" s="40" t="s">
        <v>27</v>
      </c>
      <c r="L7" s="40" t="s">
        <v>27</v>
      </c>
      <c r="M7" s="40" t="s">
        <v>27</v>
      </c>
      <c r="N7" s="40" t="s">
        <v>27</v>
      </c>
      <c r="O7" s="40" t="s">
        <v>27</v>
      </c>
      <c r="P7" s="40" t="s">
        <v>27</v>
      </c>
      <c r="Q7" s="40" t="s">
        <v>27</v>
      </c>
      <c r="R7" s="40" t="s">
        <v>27</v>
      </c>
      <c r="S7" s="40" t="s">
        <v>27</v>
      </c>
      <c r="T7" s="40" t="s">
        <v>27</v>
      </c>
      <c r="U7" s="40" t="s">
        <v>27</v>
      </c>
      <c r="V7" s="40" t="s">
        <v>27</v>
      </c>
      <c r="W7" s="154"/>
    </row>
    <row r="8" spans="1:40" ht="23.1" thickBot="1" x14ac:dyDescent="0.5">
      <c r="A8" s="161"/>
      <c r="B8" s="163"/>
      <c r="C8" s="159"/>
      <c r="D8" s="159"/>
      <c r="E8" s="159"/>
      <c r="F8" s="159"/>
      <c r="G8" s="35" t="s">
        <v>28</v>
      </c>
      <c r="H8" s="35" t="s">
        <v>28</v>
      </c>
      <c r="I8" s="35" t="s">
        <v>28</v>
      </c>
      <c r="J8" s="35" t="s">
        <v>28</v>
      </c>
      <c r="K8" s="35" t="s">
        <v>28</v>
      </c>
      <c r="L8" s="35" t="s">
        <v>28</v>
      </c>
      <c r="M8" s="35" t="s">
        <v>28</v>
      </c>
      <c r="N8" s="35" t="s">
        <v>28</v>
      </c>
      <c r="O8" s="35" t="s">
        <v>28</v>
      </c>
      <c r="P8" s="35" t="s">
        <v>28</v>
      </c>
      <c r="Q8" s="35" t="s">
        <v>28</v>
      </c>
      <c r="R8" s="35" t="s">
        <v>28</v>
      </c>
      <c r="S8" s="35" t="s">
        <v>28</v>
      </c>
      <c r="T8" s="35" t="s">
        <v>28</v>
      </c>
      <c r="U8" s="35" t="s">
        <v>28</v>
      </c>
      <c r="V8" s="35" t="s">
        <v>28</v>
      </c>
      <c r="W8" s="154"/>
      <c r="Y8" s="49"/>
      <c r="Z8" s="49"/>
      <c r="AA8" s="49"/>
      <c r="AB8" s="49"/>
      <c r="AC8" s="49"/>
    </row>
    <row r="9" spans="1:40" x14ac:dyDescent="0.45">
      <c r="A9" s="126">
        <v>1</v>
      </c>
      <c r="B9" s="128" t="s">
        <v>197</v>
      </c>
      <c r="C9" s="128" t="s">
        <v>31</v>
      </c>
      <c r="D9" s="143" t="s">
        <v>12</v>
      </c>
      <c r="E9" s="66" t="s">
        <v>15</v>
      </c>
      <c r="F9" s="66">
        <v>1</v>
      </c>
      <c r="G9" s="36">
        <f>SUM(G11:G31)</f>
        <v>126</v>
      </c>
      <c r="H9" s="36">
        <f>SUM(H11:H31)</f>
        <v>86</v>
      </c>
      <c r="I9" s="36">
        <f>SUM(I11:I31)</f>
        <v>0</v>
      </c>
      <c r="J9" s="36">
        <f>SUM(J11:J31)</f>
        <v>0</v>
      </c>
      <c r="K9" s="36">
        <f t="shared" ref="K9:U9" si="0">SUM(K11:K33)</f>
        <v>8</v>
      </c>
      <c r="L9" s="36">
        <f t="shared" si="0"/>
        <v>12</v>
      </c>
      <c r="M9" s="36">
        <f t="shared" si="0"/>
        <v>4</v>
      </c>
      <c r="N9" s="36">
        <f t="shared" si="0"/>
        <v>39</v>
      </c>
      <c r="O9" s="36">
        <f t="shared" si="0"/>
        <v>31.5</v>
      </c>
      <c r="P9" s="36">
        <f t="shared" si="0"/>
        <v>14</v>
      </c>
      <c r="Q9" s="36">
        <f t="shared" si="0"/>
        <v>0</v>
      </c>
      <c r="R9" s="36">
        <f t="shared" si="0"/>
        <v>0</v>
      </c>
      <c r="S9" s="36">
        <f t="shared" si="0"/>
        <v>0</v>
      </c>
      <c r="T9" s="36">
        <f t="shared" si="0"/>
        <v>0</v>
      </c>
      <c r="U9" s="36">
        <f t="shared" si="0"/>
        <v>105</v>
      </c>
      <c r="V9" s="36">
        <f>SUM(V11:V33)</f>
        <v>425.5</v>
      </c>
      <c r="W9" s="132">
        <f>V9+V10</f>
        <v>820.09999999999991</v>
      </c>
    </row>
    <row r="10" spans="1:40" ht="12.9" thickBot="1" x14ac:dyDescent="0.5">
      <c r="A10" s="127"/>
      <c r="B10" s="129"/>
      <c r="C10" s="129"/>
      <c r="D10" s="144"/>
      <c r="E10" s="67"/>
      <c r="F10" s="67"/>
      <c r="G10" s="39">
        <f t="shared" ref="G10:V10" si="1">SUM(G34:G51)</f>
        <v>42</v>
      </c>
      <c r="H10" s="41">
        <f t="shared" si="1"/>
        <v>102</v>
      </c>
      <c r="I10" s="39">
        <f t="shared" si="1"/>
        <v>0</v>
      </c>
      <c r="J10" s="39">
        <f t="shared" si="1"/>
        <v>0</v>
      </c>
      <c r="K10" s="39">
        <f t="shared" si="1"/>
        <v>4</v>
      </c>
      <c r="L10" s="39">
        <f t="shared" si="1"/>
        <v>0</v>
      </c>
      <c r="M10" s="39">
        <f t="shared" si="1"/>
        <v>4</v>
      </c>
      <c r="N10" s="39">
        <f t="shared" si="1"/>
        <v>25.5</v>
      </c>
      <c r="O10" s="39">
        <f t="shared" si="1"/>
        <v>11.2</v>
      </c>
      <c r="P10" s="39">
        <f t="shared" si="1"/>
        <v>15.5</v>
      </c>
      <c r="Q10" s="39">
        <f t="shared" si="1"/>
        <v>0</v>
      </c>
      <c r="R10" s="39">
        <f t="shared" si="1"/>
        <v>0</v>
      </c>
      <c r="S10" s="39">
        <f t="shared" si="1"/>
        <v>102.4</v>
      </c>
      <c r="T10" s="39">
        <f t="shared" si="1"/>
        <v>43</v>
      </c>
      <c r="U10" s="39">
        <f t="shared" si="1"/>
        <v>45</v>
      </c>
      <c r="V10" s="39">
        <f t="shared" si="1"/>
        <v>394.59999999999997</v>
      </c>
      <c r="W10" s="133"/>
      <c r="Y10" s="38"/>
    </row>
    <row r="11" spans="1:40" ht="37.799999999999997" outlineLevel="1" x14ac:dyDescent="0.45">
      <c r="A11" s="34" t="s">
        <v>223</v>
      </c>
      <c r="B11" s="42" t="s">
        <v>64</v>
      </c>
      <c r="C11" s="34">
        <v>2</v>
      </c>
      <c r="G11" s="34">
        <v>50</v>
      </c>
      <c r="O11" s="34">
        <v>10.15</v>
      </c>
      <c r="V11" s="34">
        <f t="shared" ref="V11:V17" si="2">SUM(G11:U11)</f>
        <v>60.15</v>
      </c>
      <c r="Y11" s="38"/>
    </row>
    <row r="12" spans="1:40" ht="42.75" customHeight="1" outlineLevel="1" x14ac:dyDescent="0.45">
      <c r="A12" s="34" t="s">
        <v>224</v>
      </c>
      <c r="B12" s="42" t="s">
        <v>98</v>
      </c>
      <c r="C12" s="34">
        <v>4</v>
      </c>
      <c r="G12" s="34">
        <v>8</v>
      </c>
      <c r="H12" s="34">
        <v>16</v>
      </c>
      <c r="K12" s="34">
        <v>2</v>
      </c>
      <c r="M12" s="34">
        <v>2</v>
      </c>
      <c r="N12" s="34">
        <v>12</v>
      </c>
      <c r="P12" s="34">
        <v>12</v>
      </c>
      <c r="V12" s="34">
        <f t="shared" si="2"/>
        <v>52</v>
      </c>
      <c r="Y12" s="38"/>
    </row>
    <row r="13" spans="1:40" ht="25.2" outlineLevel="1" x14ac:dyDescent="0.45">
      <c r="A13" s="34" t="s">
        <v>224</v>
      </c>
      <c r="B13" s="42" t="s">
        <v>95</v>
      </c>
      <c r="C13" s="34">
        <v>2</v>
      </c>
      <c r="G13" s="34">
        <v>6</v>
      </c>
      <c r="H13" s="34">
        <v>8</v>
      </c>
      <c r="K13" s="34">
        <v>2</v>
      </c>
      <c r="N13" s="34">
        <v>9</v>
      </c>
      <c r="O13" s="34">
        <v>6.3</v>
      </c>
      <c r="V13" s="34">
        <f t="shared" si="2"/>
        <v>31.3</v>
      </c>
      <c r="Y13" s="38"/>
    </row>
    <row r="14" spans="1:40" ht="25.2" outlineLevel="1" x14ac:dyDescent="0.45">
      <c r="A14" s="34" t="s">
        <v>224</v>
      </c>
      <c r="B14" s="42" t="s">
        <v>109</v>
      </c>
      <c r="C14" s="34">
        <v>1</v>
      </c>
      <c r="G14" s="34">
        <v>6</v>
      </c>
      <c r="H14" s="34">
        <v>4</v>
      </c>
      <c r="K14" s="34">
        <v>2</v>
      </c>
      <c r="N14" s="34">
        <v>7</v>
      </c>
      <c r="O14" s="34">
        <v>4.9000000000000004</v>
      </c>
      <c r="V14" s="34">
        <f t="shared" si="2"/>
        <v>23.9</v>
      </c>
      <c r="Y14" s="38"/>
    </row>
    <row r="15" spans="1:40" ht="25.2" outlineLevel="1" x14ac:dyDescent="0.45">
      <c r="A15" s="34" t="s">
        <v>225</v>
      </c>
      <c r="B15" s="42" t="s">
        <v>150</v>
      </c>
      <c r="C15" s="34">
        <v>2</v>
      </c>
      <c r="G15" s="34">
        <v>40</v>
      </c>
      <c r="H15" s="34">
        <v>40</v>
      </c>
      <c r="V15" s="34">
        <f t="shared" si="2"/>
        <v>80</v>
      </c>
      <c r="Y15" s="38"/>
    </row>
    <row r="16" spans="1:40" ht="25.2" outlineLevel="1" x14ac:dyDescent="0.45">
      <c r="A16" s="34" t="s">
        <v>225</v>
      </c>
      <c r="B16" s="42" t="s">
        <v>149</v>
      </c>
      <c r="C16" s="34">
        <v>2</v>
      </c>
      <c r="O16" s="34">
        <v>1.05</v>
      </c>
      <c r="V16" s="34">
        <f t="shared" si="2"/>
        <v>1.05</v>
      </c>
      <c r="Y16" s="38"/>
    </row>
    <row r="17" spans="1:25" ht="37.799999999999997" outlineLevel="1" x14ac:dyDescent="0.45">
      <c r="A17" s="34" t="s">
        <v>226</v>
      </c>
      <c r="B17" s="42" t="s">
        <v>165</v>
      </c>
      <c r="C17" s="34">
        <v>2</v>
      </c>
      <c r="G17" s="34">
        <v>10</v>
      </c>
      <c r="H17" s="34">
        <v>10</v>
      </c>
      <c r="L17" s="34">
        <v>12</v>
      </c>
      <c r="M17" s="34">
        <v>2</v>
      </c>
      <c r="P17" s="34">
        <v>2</v>
      </c>
      <c r="V17" s="34">
        <f t="shared" si="2"/>
        <v>36</v>
      </c>
      <c r="Y17" s="38"/>
    </row>
    <row r="18" spans="1:25" ht="25.2" outlineLevel="1" x14ac:dyDescent="0.45">
      <c r="A18" s="34" t="s">
        <v>226</v>
      </c>
      <c r="B18" s="42" t="s">
        <v>164</v>
      </c>
      <c r="C18" s="34">
        <v>2</v>
      </c>
      <c r="O18" s="34">
        <v>1.4</v>
      </c>
      <c r="V18" s="34">
        <f>SUM(G18:U18)</f>
        <v>1.4</v>
      </c>
      <c r="Y18" s="38"/>
    </row>
    <row r="19" spans="1:25" ht="25.2" outlineLevel="1" x14ac:dyDescent="0.45">
      <c r="A19" s="34" t="s">
        <v>224</v>
      </c>
      <c r="B19" s="42" t="s">
        <v>230</v>
      </c>
      <c r="C19" s="34">
        <v>1</v>
      </c>
      <c r="G19" s="34">
        <v>6</v>
      </c>
      <c r="H19" s="34">
        <v>8</v>
      </c>
      <c r="K19" s="34">
        <v>2</v>
      </c>
      <c r="N19" s="34">
        <v>11</v>
      </c>
      <c r="O19" s="34">
        <v>7.7</v>
      </c>
      <c r="V19" s="34">
        <f>SUM(G19:U19)</f>
        <v>34.700000000000003</v>
      </c>
      <c r="Y19" s="38"/>
    </row>
    <row r="20" spans="1:25" ht="25.2" outlineLevel="1" x14ac:dyDescent="0.45">
      <c r="A20" s="34" t="s">
        <v>226</v>
      </c>
      <c r="B20" s="42" t="s">
        <v>162</v>
      </c>
      <c r="C20" s="34">
        <v>2</v>
      </c>
      <c r="U20" s="34">
        <v>45</v>
      </c>
      <c r="V20" s="34">
        <f>SUM(G20:U20)</f>
        <v>45</v>
      </c>
      <c r="Y20" s="38"/>
    </row>
    <row r="21" spans="1:25" ht="25.2" outlineLevel="1" x14ac:dyDescent="0.45">
      <c r="A21" s="34" t="s">
        <v>225</v>
      </c>
      <c r="B21" s="42" t="s">
        <v>146</v>
      </c>
      <c r="C21" s="34">
        <v>1</v>
      </c>
      <c r="U21" s="34">
        <v>60</v>
      </c>
      <c r="V21" s="34">
        <f>SUM(G21:U21)</f>
        <v>60</v>
      </c>
      <c r="Y21" s="38"/>
    </row>
    <row r="22" spans="1:25" outlineLevel="1" x14ac:dyDescent="0.4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 s="34">
        <f t="shared" ref="V22:V32" si="3">SUM(G22:U22)</f>
        <v>0</v>
      </c>
      <c r="Y22" s="38"/>
    </row>
    <row r="23" spans="1:25" outlineLevel="1" x14ac:dyDescent="0.45">
      <c r="V23" s="34">
        <f t="shared" si="3"/>
        <v>0</v>
      </c>
      <c r="Y23" s="38"/>
    </row>
    <row r="24" spans="1:25" outlineLevel="1" x14ac:dyDescent="0.45">
      <c r="V24" s="34">
        <f t="shared" si="3"/>
        <v>0</v>
      </c>
      <c r="Y24" s="38"/>
    </row>
    <row r="25" spans="1:25" outlineLevel="1" x14ac:dyDescent="0.45">
      <c r="V25" s="34">
        <f t="shared" ref="V25:V28" si="4">SUM(G25:U25)</f>
        <v>0</v>
      </c>
      <c r="Y25" s="38"/>
    </row>
    <row r="26" spans="1:25" outlineLevel="1" x14ac:dyDescent="0.4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34">
        <f t="shared" si="4"/>
        <v>0</v>
      </c>
      <c r="Y26" s="38"/>
    </row>
    <row r="27" spans="1:25" outlineLevel="1" x14ac:dyDescent="0.45">
      <c r="V27" s="34">
        <f t="shared" si="4"/>
        <v>0</v>
      </c>
      <c r="Y27" s="38"/>
    </row>
    <row r="28" spans="1:25" outlineLevel="1" x14ac:dyDescent="0.45">
      <c r="B28" s="34"/>
      <c r="V28" s="34">
        <f t="shared" si="4"/>
        <v>0</v>
      </c>
      <c r="Y28" s="38"/>
    </row>
    <row r="29" spans="1:25" outlineLevel="1" x14ac:dyDescent="0.45">
      <c r="V29" s="34">
        <f t="shared" si="3"/>
        <v>0</v>
      </c>
      <c r="Y29" s="38"/>
    </row>
    <row r="30" spans="1:25" outlineLevel="1" x14ac:dyDescent="0.45">
      <c r="V30" s="34">
        <f t="shared" si="3"/>
        <v>0</v>
      </c>
      <c r="Y30" s="38"/>
    </row>
    <row r="31" spans="1:25" outlineLevel="1" x14ac:dyDescent="0.45">
      <c r="V31" s="34">
        <f t="shared" si="3"/>
        <v>0</v>
      </c>
      <c r="Y31" s="38"/>
    </row>
    <row r="32" spans="1:25" outlineLevel="1" x14ac:dyDescent="0.45">
      <c r="B32" s="34"/>
      <c r="V32" s="34">
        <f t="shared" si="3"/>
        <v>0</v>
      </c>
      <c r="Y32" s="38"/>
    </row>
    <row r="33" spans="1:25" outlineLevel="1" x14ac:dyDescent="0.45">
      <c r="B33" s="136" t="s">
        <v>29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68"/>
      <c r="Y33" s="38"/>
    </row>
    <row r="34" spans="1:25" ht="17.25" customHeight="1" outlineLevel="1" x14ac:dyDescent="0.45">
      <c r="A34" s="34" t="s">
        <v>223</v>
      </c>
      <c r="B34" s="42" t="s">
        <v>89</v>
      </c>
      <c r="C34" s="34">
        <v>4</v>
      </c>
      <c r="S34" s="34">
        <v>16.5</v>
      </c>
      <c r="V34" s="34">
        <f t="shared" ref="V34:V42" si="5">SUM(G34:U34)</f>
        <v>16.5</v>
      </c>
      <c r="X34" s="38"/>
      <c r="Y34" s="38"/>
    </row>
    <row r="35" spans="1:25" ht="18.75" customHeight="1" outlineLevel="1" x14ac:dyDescent="0.45">
      <c r="A35" s="34" t="s">
        <v>224</v>
      </c>
      <c r="B35" s="42" t="s">
        <v>126</v>
      </c>
      <c r="C35" s="34">
        <v>5</v>
      </c>
      <c r="S35" s="34">
        <v>12.5</v>
      </c>
      <c r="V35" s="34">
        <f t="shared" si="5"/>
        <v>12.5</v>
      </c>
      <c r="Y35" s="38"/>
    </row>
    <row r="36" spans="1:25" outlineLevel="1" x14ac:dyDescent="0.45">
      <c r="A36" s="34" t="s">
        <v>224</v>
      </c>
      <c r="B36" s="42" t="s">
        <v>137</v>
      </c>
      <c r="C36" s="34">
        <v>4</v>
      </c>
      <c r="S36" s="34">
        <v>10.5</v>
      </c>
      <c r="V36" s="34">
        <f t="shared" si="5"/>
        <v>10.5</v>
      </c>
      <c r="X36" s="38"/>
      <c r="Y36" s="38"/>
    </row>
    <row r="37" spans="1:25" ht="37.799999999999997" outlineLevel="1" x14ac:dyDescent="0.45">
      <c r="A37" s="34" t="s">
        <v>224</v>
      </c>
      <c r="B37" s="42" t="s">
        <v>98</v>
      </c>
      <c r="C37" s="34">
        <v>3</v>
      </c>
      <c r="G37" s="34">
        <v>8</v>
      </c>
      <c r="H37" s="34">
        <v>16</v>
      </c>
      <c r="K37" s="34">
        <v>2</v>
      </c>
      <c r="N37" s="34">
        <v>13</v>
      </c>
      <c r="O37" s="34">
        <v>9.1</v>
      </c>
      <c r="V37" s="34">
        <f t="shared" si="5"/>
        <v>48.1</v>
      </c>
      <c r="X37" s="38"/>
      <c r="Y37" s="38"/>
    </row>
    <row r="38" spans="1:25" outlineLevel="1" x14ac:dyDescent="0.45">
      <c r="A38" t="s">
        <v>225</v>
      </c>
      <c r="B38" t="s">
        <v>155</v>
      </c>
      <c r="C38">
        <v>1</v>
      </c>
      <c r="D38"/>
      <c r="E38"/>
      <c r="F38"/>
      <c r="G38"/>
      <c r="H38"/>
      <c r="I38"/>
      <c r="J38"/>
      <c r="K38"/>
      <c r="L38"/>
      <c r="M38"/>
      <c r="N38"/>
      <c r="O38">
        <v>2.1</v>
      </c>
      <c r="P38"/>
      <c r="Q38"/>
      <c r="R38"/>
      <c r="S38"/>
      <c r="T38"/>
      <c r="U38"/>
      <c r="V38" s="34">
        <f t="shared" si="5"/>
        <v>2.1</v>
      </c>
      <c r="X38" s="38"/>
      <c r="Y38" s="38"/>
    </row>
    <row r="39" spans="1:25" outlineLevel="1" x14ac:dyDescent="0.45">
      <c r="A39" s="34" t="s">
        <v>225</v>
      </c>
      <c r="B39" s="42" t="s">
        <v>160</v>
      </c>
      <c r="C39" s="34">
        <v>2</v>
      </c>
      <c r="S39" s="34">
        <v>1.5</v>
      </c>
      <c r="V39" s="34">
        <f t="shared" si="5"/>
        <v>1.5</v>
      </c>
      <c r="Y39" s="38"/>
    </row>
    <row r="40" spans="1:25" ht="25.2" outlineLevel="1" x14ac:dyDescent="0.45">
      <c r="A40" s="34" t="s">
        <v>226</v>
      </c>
      <c r="B40" s="42" t="s">
        <v>172</v>
      </c>
      <c r="C40" s="34">
        <v>2</v>
      </c>
      <c r="H40" s="37"/>
      <c r="N40" s="38"/>
      <c r="S40" s="34">
        <v>2</v>
      </c>
      <c r="V40" s="34">
        <f t="shared" si="5"/>
        <v>2</v>
      </c>
      <c r="Y40" s="38"/>
    </row>
    <row r="41" spans="1:25" outlineLevel="1" x14ac:dyDescent="0.45">
      <c r="A41" s="34" t="s">
        <v>223</v>
      </c>
      <c r="B41" s="42" t="s">
        <v>87</v>
      </c>
      <c r="C41" s="34">
        <v>4</v>
      </c>
      <c r="T41" s="34">
        <v>16.5</v>
      </c>
      <c r="V41" s="34">
        <f t="shared" si="5"/>
        <v>16.5</v>
      </c>
      <c r="Y41" s="38"/>
    </row>
    <row r="42" spans="1:25" outlineLevel="1" x14ac:dyDescent="0.45">
      <c r="A42" s="34" t="s">
        <v>224</v>
      </c>
      <c r="B42" s="42" t="s">
        <v>124</v>
      </c>
      <c r="C42" s="34">
        <v>5</v>
      </c>
      <c r="T42" s="34">
        <v>12.5</v>
      </c>
      <c r="V42" s="34">
        <f t="shared" si="5"/>
        <v>12.5</v>
      </c>
      <c r="Y42" s="38"/>
    </row>
    <row r="43" spans="1:25" outlineLevel="1" x14ac:dyDescent="0.45">
      <c r="A43" s="34" t="s">
        <v>224</v>
      </c>
      <c r="B43" s="42" t="s">
        <v>135</v>
      </c>
      <c r="C43" s="34">
        <v>4</v>
      </c>
      <c r="T43" s="34">
        <v>10.5</v>
      </c>
      <c r="V43" s="34">
        <f>SUM(G43:U43)</f>
        <v>10.5</v>
      </c>
      <c r="Y43" s="38"/>
    </row>
    <row r="44" spans="1:25" outlineLevel="1" x14ac:dyDescent="0.45">
      <c r="A44" t="s">
        <v>225</v>
      </c>
      <c r="B44" s="42" t="s">
        <v>158</v>
      </c>
      <c r="C44">
        <v>2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>
        <v>1.5</v>
      </c>
      <c r="U44"/>
      <c r="V44" s="34">
        <f t="shared" ref="V44:V50" si="6">SUM(G44:U44)</f>
        <v>1.5</v>
      </c>
      <c r="Y44" s="38"/>
    </row>
    <row r="45" spans="1:25" outlineLevel="1" x14ac:dyDescent="0.45">
      <c r="A45" t="s">
        <v>226</v>
      </c>
      <c r="B45" s="42" t="s">
        <v>170</v>
      </c>
      <c r="C45">
        <v>2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>
        <v>2</v>
      </c>
      <c r="U45"/>
      <c r="V45" s="34">
        <f t="shared" si="6"/>
        <v>2</v>
      </c>
      <c r="Y45" s="38"/>
    </row>
    <row r="46" spans="1:25" ht="29.25" customHeight="1" outlineLevel="1" x14ac:dyDescent="0.45">
      <c r="A46" s="34" t="s">
        <v>225</v>
      </c>
      <c r="B46" s="42" t="s">
        <v>153</v>
      </c>
      <c r="C46" s="34">
        <v>1</v>
      </c>
      <c r="G46" s="34">
        <v>26</v>
      </c>
      <c r="H46" s="37">
        <v>36</v>
      </c>
      <c r="M46" s="34">
        <v>2</v>
      </c>
      <c r="N46" s="38"/>
      <c r="P46" s="34">
        <v>3</v>
      </c>
      <c r="S46" s="38"/>
      <c r="V46" s="34">
        <f t="shared" si="6"/>
        <v>67</v>
      </c>
      <c r="Y46" s="38"/>
    </row>
    <row r="47" spans="1:25" ht="41.25" customHeight="1" outlineLevel="1" x14ac:dyDescent="0.45">
      <c r="A47" s="34" t="s">
        <v>224</v>
      </c>
      <c r="B47" s="42" t="s">
        <v>129</v>
      </c>
      <c r="C47" s="34">
        <v>2</v>
      </c>
      <c r="G47" s="34">
        <v>8</v>
      </c>
      <c r="H47" s="37">
        <v>16</v>
      </c>
      <c r="K47" s="34">
        <v>2</v>
      </c>
      <c r="M47" s="34">
        <v>2</v>
      </c>
      <c r="N47" s="38">
        <v>12.5</v>
      </c>
      <c r="P47" s="34">
        <v>12.5</v>
      </c>
      <c r="S47" s="38"/>
      <c r="V47" s="34">
        <f t="shared" si="6"/>
        <v>53</v>
      </c>
      <c r="Y47" s="38"/>
    </row>
    <row r="48" spans="1:25" ht="25.2" outlineLevel="1" x14ac:dyDescent="0.45">
      <c r="A48" s="34" t="s">
        <v>223</v>
      </c>
      <c r="B48" s="42" t="s">
        <v>85</v>
      </c>
      <c r="C48" s="34">
        <v>4</v>
      </c>
      <c r="H48" s="37"/>
      <c r="N48" s="38"/>
      <c r="S48" s="38">
        <v>59.4</v>
      </c>
      <c r="V48" s="34">
        <f t="shared" si="6"/>
        <v>59.4</v>
      </c>
      <c r="Y48" s="38"/>
    </row>
    <row r="49" spans="1:26" outlineLevel="1" x14ac:dyDescent="0.45">
      <c r="A49" t="s">
        <v>226</v>
      </c>
      <c r="B49" t="s">
        <v>162</v>
      </c>
      <c r="C49">
        <v>2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>
        <v>45</v>
      </c>
      <c r="V49" s="34">
        <f t="shared" si="6"/>
        <v>45</v>
      </c>
      <c r="Y49" s="38"/>
    </row>
    <row r="50" spans="1:26" ht="37.799999999999997" outlineLevel="1" x14ac:dyDescent="0.45">
      <c r="A50" s="34" t="s">
        <v>223</v>
      </c>
      <c r="B50" s="42" t="s">
        <v>64</v>
      </c>
      <c r="C50" s="34">
        <v>2</v>
      </c>
      <c r="H50" s="34">
        <v>34</v>
      </c>
      <c r="V50" s="34">
        <f t="shared" si="6"/>
        <v>34</v>
      </c>
      <c r="Y50" s="38"/>
    </row>
    <row r="51" spans="1:26" ht="12.9" outlineLevel="1" thickBot="1" x14ac:dyDescent="0.5">
      <c r="Y51" s="38"/>
    </row>
    <row r="52" spans="1:26" x14ac:dyDescent="0.45">
      <c r="A52" s="126">
        <v>2</v>
      </c>
      <c r="B52" s="128" t="s">
        <v>198</v>
      </c>
      <c r="C52" s="130" t="s">
        <v>9</v>
      </c>
      <c r="D52" s="130" t="s">
        <v>12</v>
      </c>
      <c r="E52" s="66"/>
      <c r="F52" s="36"/>
      <c r="G52" s="36">
        <f t="shared" ref="G52:U52" si="7">SUM(G54:G64)</f>
        <v>76</v>
      </c>
      <c r="H52" s="36">
        <f t="shared" si="7"/>
        <v>0</v>
      </c>
      <c r="I52" s="36">
        <f t="shared" si="7"/>
        <v>0</v>
      </c>
      <c r="J52" s="36">
        <f t="shared" si="7"/>
        <v>0</v>
      </c>
      <c r="K52" s="36">
        <f t="shared" si="7"/>
        <v>0</v>
      </c>
      <c r="L52" s="36">
        <f t="shared" si="7"/>
        <v>0</v>
      </c>
      <c r="M52" s="36">
        <f t="shared" si="7"/>
        <v>2</v>
      </c>
      <c r="N52" s="36">
        <f t="shared" si="7"/>
        <v>0</v>
      </c>
      <c r="O52" s="36">
        <f t="shared" si="7"/>
        <v>15.75</v>
      </c>
      <c r="P52" s="36">
        <f t="shared" si="7"/>
        <v>12.5</v>
      </c>
      <c r="Q52" s="36">
        <f t="shared" si="7"/>
        <v>0</v>
      </c>
      <c r="R52" s="36">
        <f t="shared" si="7"/>
        <v>0</v>
      </c>
      <c r="S52" s="36">
        <f t="shared" si="7"/>
        <v>0</v>
      </c>
      <c r="T52" s="36">
        <f t="shared" si="7"/>
        <v>0</v>
      </c>
      <c r="U52" s="36">
        <f t="shared" si="7"/>
        <v>0</v>
      </c>
      <c r="V52" s="36">
        <f>SUM(V54:V63)</f>
        <v>106.25</v>
      </c>
      <c r="W52" s="132">
        <f>V52+V53</f>
        <v>265.10000000000002</v>
      </c>
      <c r="Y52" s="38"/>
    </row>
    <row r="53" spans="1:26" ht="12.9" thickBot="1" x14ac:dyDescent="0.5">
      <c r="A53" s="127"/>
      <c r="B53" s="129"/>
      <c r="C53" s="131"/>
      <c r="D53" s="131"/>
      <c r="E53" s="67" t="s">
        <v>33</v>
      </c>
      <c r="F53" s="122">
        <v>0.25</v>
      </c>
      <c r="G53" s="39">
        <f>SUM(G65:G82)</f>
        <v>38</v>
      </c>
      <c r="H53" s="41">
        <f>SUM(H65:H82)</f>
        <v>8</v>
      </c>
      <c r="I53" s="39">
        <f>SUM(I65:I82)</f>
        <v>0</v>
      </c>
      <c r="J53" s="39">
        <f>SUM(J65:J82)</f>
        <v>0</v>
      </c>
      <c r="K53" s="39">
        <f t="shared" ref="K53:U53" si="8">SUM(K65:K82)</f>
        <v>2</v>
      </c>
      <c r="L53" s="39">
        <f t="shared" si="8"/>
        <v>0</v>
      </c>
      <c r="M53" s="39">
        <f t="shared" si="8"/>
        <v>0</v>
      </c>
      <c r="N53" s="39">
        <f t="shared" si="8"/>
        <v>9</v>
      </c>
      <c r="O53" s="39">
        <f t="shared" si="8"/>
        <v>19.25</v>
      </c>
      <c r="P53" s="39">
        <f t="shared" si="8"/>
        <v>0</v>
      </c>
      <c r="Q53" s="39">
        <f t="shared" si="8"/>
        <v>0</v>
      </c>
      <c r="R53" s="39">
        <f t="shared" si="8"/>
        <v>0</v>
      </c>
      <c r="S53" s="39">
        <f t="shared" si="8"/>
        <v>39.6</v>
      </c>
      <c r="T53" s="39">
        <f t="shared" si="8"/>
        <v>43</v>
      </c>
      <c r="U53" s="39">
        <f t="shared" si="8"/>
        <v>0</v>
      </c>
      <c r="V53" s="39">
        <f>SUM(V65:V82)</f>
        <v>158.85</v>
      </c>
      <c r="W53" s="133"/>
      <c r="Y53" s="38"/>
      <c r="Z53" s="38"/>
    </row>
    <row r="54" spans="1:26" outlineLevel="1" x14ac:dyDescent="0.45">
      <c r="A54" s="2" t="s">
        <v>224</v>
      </c>
      <c r="B54" s="51" t="s">
        <v>96</v>
      </c>
      <c r="C54" s="51">
        <v>3</v>
      </c>
      <c r="D54" s="51"/>
      <c r="E54" s="51"/>
      <c r="F54" s="51"/>
      <c r="G54" s="51">
        <v>8</v>
      </c>
      <c r="H54" s="51"/>
      <c r="I54" s="51"/>
      <c r="J54" s="51"/>
      <c r="K54" s="51"/>
      <c r="L54" s="51"/>
      <c r="M54" s="51"/>
      <c r="N54" s="51"/>
      <c r="O54" s="51">
        <v>9.1</v>
      </c>
      <c r="P54" s="51"/>
      <c r="Q54" s="51"/>
      <c r="R54" s="51"/>
      <c r="S54" s="51"/>
      <c r="T54" s="51"/>
      <c r="U54" s="51"/>
      <c r="V54" s="34">
        <f>SUM(G54:U54)</f>
        <v>17.100000000000001</v>
      </c>
      <c r="Y54" s="38"/>
    </row>
    <row r="55" spans="1:26" outlineLevel="1" x14ac:dyDescent="0.45">
      <c r="A55" s="34" t="s">
        <v>223</v>
      </c>
      <c r="B55" s="42" t="s">
        <v>71</v>
      </c>
      <c r="C55" s="34">
        <v>2</v>
      </c>
      <c r="G55" s="34">
        <v>34</v>
      </c>
      <c r="O55" s="34">
        <v>6.65</v>
      </c>
      <c r="V55" s="34">
        <f t="shared" ref="V55:V63" si="9">SUM(G55:U55)</f>
        <v>40.65</v>
      </c>
      <c r="Y55" s="38"/>
    </row>
    <row r="56" spans="1:26" outlineLevel="1" x14ac:dyDescent="0.45">
      <c r="A56" s="34" t="s">
        <v>223</v>
      </c>
      <c r="B56" s="42" t="s">
        <v>228</v>
      </c>
      <c r="C56" s="34">
        <v>1</v>
      </c>
      <c r="G56" s="34">
        <v>34</v>
      </c>
      <c r="M56" s="34">
        <v>2</v>
      </c>
      <c r="P56" s="34">
        <v>12.5</v>
      </c>
      <c r="V56" s="34">
        <f t="shared" si="9"/>
        <v>48.5</v>
      </c>
      <c r="Y56" s="38"/>
    </row>
    <row r="57" spans="1:26" outlineLevel="1" x14ac:dyDescent="0.45">
      <c r="V57" s="34">
        <f t="shared" si="9"/>
        <v>0</v>
      </c>
      <c r="Y57" s="38"/>
    </row>
    <row r="58" spans="1:26" outlineLevel="1" x14ac:dyDescent="0.45">
      <c r="V58" s="34">
        <f t="shared" si="9"/>
        <v>0</v>
      </c>
      <c r="Y58" s="38"/>
    </row>
    <row r="59" spans="1:26" outlineLevel="1" x14ac:dyDescent="0.45">
      <c r="V59" s="34">
        <f t="shared" si="9"/>
        <v>0</v>
      </c>
      <c r="Y59" s="38"/>
    </row>
    <row r="60" spans="1:26" outlineLevel="1" x14ac:dyDescent="0.45">
      <c r="V60" s="34">
        <f t="shared" si="9"/>
        <v>0</v>
      </c>
      <c r="Y60" s="38"/>
    </row>
    <row r="61" spans="1:26" outlineLevel="1" x14ac:dyDescent="0.45">
      <c r="V61" s="34">
        <f t="shared" si="9"/>
        <v>0</v>
      </c>
      <c r="Y61" s="38"/>
    </row>
    <row r="62" spans="1:26" outlineLevel="1" x14ac:dyDescent="0.45">
      <c r="V62" s="34">
        <f t="shared" si="9"/>
        <v>0</v>
      </c>
      <c r="Y62" s="38"/>
    </row>
    <row r="63" spans="1:26" outlineLevel="1" x14ac:dyDescent="0.45">
      <c r="V63" s="34">
        <f t="shared" si="9"/>
        <v>0</v>
      </c>
      <c r="Y63" s="38"/>
    </row>
    <row r="64" spans="1:26" outlineLevel="1" x14ac:dyDescent="0.45">
      <c r="B64" s="136" t="s">
        <v>29</v>
      </c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68"/>
      <c r="Y64" s="38"/>
    </row>
    <row r="65" spans="1:25" outlineLevel="1" x14ac:dyDescent="0.45">
      <c r="A65" s="2" t="s">
        <v>223</v>
      </c>
      <c r="B65" s="82" t="s">
        <v>81</v>
      </c>
      <c r="C65" s="51">
        <v>3</v>
      </c>
      <c r="D65" s="51"/>
      <c r="E65" s="51"/>
      <c r="F65" s="51"/>
      <c r="G65" s="20">
        <v>32</v>
      </c>
      <c r="H65" s="21"/>
      <c r="I65" s="21"/>
      <c r="J65" s="105"/>
      <c r="K65" s="51"/>
      <c r="L65" s="32"/>
      <c r="M65" s="22"/>
      <c r="N65" s="51"/>
      <c r="O65" s="81">
        <v>12.95</v>
      </c>
      <c r="P65" s="22"/>
      <c r="Q65" s="51"/>
      <c r="R65" s="51"/>
      <c r="S65" s="51"/>
      <c r="T65" s="51"/>
      <c r="U65" s="51"/>
      <c r="V65" s="34">
        <f t="shared" ref="V65:V76" si="10">SUM(G65:U65)</f>
        <v>44.95</v>
      </c>
      <c r="X65" s="38"/>
      <c r="Y65" s="38"/>
    </row>
    <row r="66" spans="1:25" outlineLevel="1" x14ac:dyDescent="0.45">
      <c r="A66" t="s">
        <v>224</v>
      </c>
      <c r="B66" t="s">
        <v>117</v>
      </c>
      <c r="C66">
        <v>2</v>
      </c>
      <c r="D66"/>
      <c r="E66"/>
      <c r="F66"/>
      <c r="G66">
        <v>6</v>
      </c>
      <c r="H66">
        <v>8</v>
      </c>
      <c r="I66"/>
      <c r="J66"/>
      <c r="K66">
        <v>2</v>
      </c>
      <c r="L66"/>
      <c r="M66"/>
      <c r="N66">
        <v>9</v>
      </c>
      <c r="O66">
        <v>6.3</v>
      </c>
      <c r="P66"/>
      <c r="Q66"/>
      <c r="R66"/>
      <c r="S66"/>
      <c r="T66"/>
      <c r="U66"/>
      <c r="V66" s="34">
        <f t="shared" si="10"/>
        <v>31.3</v>
      </c>
      <c r="Y66" s="38"/>
    </row>
    <row r="67" spans="1:25" outlineLevel="1" x14ac:dyDescent="0.45">
      <c r="A67" s="34" t="s">
        <v>223</v>
      </c>
      <c r="B67" s="42" t="s">
        <v>87</v>
      </c>
      <c r="C67" s="34">
        <v>4</v>
      </c>
      <c r="T67" s="34">
        <v>16.5</v>
      </c>
      <c r="V67" s="34">
        <f t="shared" si="10"/>
        <v>16.5</v>
      </c>
      <c r="X67" s="38"/>
      <c r="Y67" s="38"/>
    </row>
    <row r="68" spans="1:25" outlineLevel="1" x14ac:dyDescent="0.45">
      <c r="A68" s="34" t="s">
        <v>224</v>
      </c>
      <c r="B68" s="42" t="s">
        <v>124</v>
      </c>
      <c r="C68" s="34">
        <v>5</v>
      </c>
      <c r="T68" s="34">
        <v>12.5</v>
      </c>
      <c r="V68" s="34">
        <f t="shared" si="10"/>
        <v>12.5</v>
      </c>
      <c r="X68" s="38"/>
      <c r="Y68" s="38"/>
    </row>
    <row r="69" spans="1:25" outlineLevel="1" x14ac:dyDescent="0.45">
      <c r="A69" t="s">
        <v>224</v>
      </c>
      <c r="B69" t="s">
        <v>135</v>
      </c>
      <c r="C69">
        <v>4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>
        <v>10.5</v>
      </c>
      <c r="U69"/>
      <c r="V69" s="34">
        <f t="shared" si="10"/>
        <v>10.5</v>
      </c>
      <c r="X69" s="38"/>
      <c r="Y69" s="38"/>
    </row>
    <row r="70" spans="1:25" outlineLevel="1" x14ac:dyDescent="0.45">
      <c r="A70" s="34" t="s">
        <v>225</v>
      </c>
      <c r="B70" s="42" t="s">
        <v>158</v>
      </c>
      <c r="C70" s="34">
        <v>2</v>
      </c>
      <c r="T70" s="34">
        <v>1.5</v>
      </c>
      <c r="V70" s="34">
        <f t="shared" si="10"/>
        <v>1.5</v>
      </c>
      <c r="Y70" s="38"/>
    </row>
    <row r="71" spans="1:25" outlineLevel="1" x14ac:dyDescent="0.45">
      <c r="A71" s="34" t="s">
        <v>226</v>
      </c>
      <c r="B71" s="42" t="s">
        <v>170</v>
      </c>
      <c r="C71" s="34">
        <v>2</v>
      </c>
      <c r="H71" s="37"/>
      <c r="N71" s="38"/>
      <c r="T71" s="34">
        <v>2</v>
      </c>
      <c r="V71" s="34">
        <f t="shared" si="10"/>
        <v>2</v>
      </c>
      <c r="Y71" s="38"/>
    </row>
    <row r="72" spans="1:25" ht="25.2" outlineLevel="1" x14ac:dyDescent="0.45">
      <c r="A72" s="34" t="s">
        <v>223</v>
      </c>
      <c r="B72" s="42" t="s">
        <v>85</v>
      </c>
      <c r="C72" s="34">
        <v>4</v>
      </c>
      <c r="H72" s="37"/>
      <c r="N72" s="38"/>
      <c r="S72" s="34">
        <v>39.6</v>
      </c>
      <c r="V72" s="34">
        <f t="shared" si="10"/>
        <v>39.6</v>
      </c>
      <c r="Y72" s="38"/>
    </row>
    <row r="73" spans="1:25" outlineLevel="1" x14ac:dyDescent="0.45">
      <c r="H73" s="37"/>
      <c r="N73" s="38"/>
      <c r="V73" s="34">
        <f t="shared" si="10"/>
        <v>0</v>
      </c>
      <c r="Y73" s="38"/>
    </row>
    <row r="74" spans="1:25" outlineLevel="1" x14ac:dyDescent="0.45">
      <c r="H74" s="37"/>
      <c r="N74" s="38"/>
      <c r="V74" s="34">
        <f t="shared" si="10"/>
        <v>0</v>
      </c>
      <c r="Y74" s="38"/>
    </row>
    <row r="75" spans="1:25" outlineLevel="1" x14ac:dyDescent="0.45">
      <c r="H75" s="37"/>
      <c r="N75" s="38"/>
      <c r="V75" s="34">
        <f t="shared" si="10"/>
        <v>0</v>
      </c>
      <c r="Y75" s="38"/>
    </row>
    <row r="76" spans="1:25" outlineLevel="1" x14ac:dyDescent="0.45">
      <c r="H76" s="37"/>
      <c r="N76" s="38"/>
      <c r="S76" s="38"/>
      <c r="V76" s="34">
        <f t="shared" si="10"/>
        <v>0</v>
      </c>
      <c r="Y76" s="38"/>
    </row>
    <row r="77" spans="1:25" outlineLevel="1" x14ac:dyDescent="0.45">
      <c r="H77" s="37"/>
      <c r="N77" s="38"/>
      <c r="S77" s="38"/>
      <c r="V77" s="34">
        <f>SUM(G77:U77)</f>
        <v>0</v>
      </c>
      <c r="Y77" s="38"/>
    </row>
    <row r="78" spans="1:25" outlineLevel="1" x14ac:dyDescent="0.45">
      <c r="H78" s="37"/>
      <c r="N78" s="38"/>
      <c r="S78" s="38"/>
      <c r="V78" s="34">
        <f>SUM(G78:U78)</f>
        <v>0</v>
      </c>
      <c r="Y78" s="38"/>
    </row>
    <row r="79" spans="1:25" outlineLevel="1" x14ac:dyDescent="0.45">
      <c r="H79" s="37"/>
      <c r="N79" s="38"/>
      <c r="S79" s="38"/>
      <c r="V79" s="34">
        <f>SUM(G79:U79)</f>
        <v>0</v>
      </c>
      <c r="Y79" s="38"/>
    </row>
    <row r="80" spans="1:25" outlineLevel="1" x14ac:dyDescent="0.45">
      <c r="H80" s="37"/>
      <c r="N80" s="38"/>
      <c r="S80" s="38"/>
      <c r="V80" s="34">
        <f>SUM(G80:U80)</f>
        <v>0</v>
      </c>
      <c r="Y80" s="38"/>
    </row>
    <row r="81" spans="1:26" outlineLevel="1" x14ac:dyDescent="0.45">
      <c r="H81" s="37"/>
      <c r="N81" s="38"/>
      <c r="S81" s="38"/>
      <c r="V81" s="34">
        <f>SUM(G81:U81)</f>
        <v>0</v>
      </c>
      <c r="Y81" s="38"/>
    </row>
    <row r="82" spans="1:26" ht="12.9" outlineLevel="1" thickBot="1" x14ac:dyDescent="0.5">
      <c r="Y82" s="38"/>
    </row>
    <row r="83" spans="1:26" ht="12.75" customHeight="1" x14ac:dyDescent="0.45">
      <c r="A83" s="126">
        <v>3</v>
      </c>
      <c r="B83" s="128" t="s">
        <v>199</v>
      </c>
      <c r="C83" s="130" t="s">
        <v>9</v>
      </c>
      <c r="D83" s="130" t="s">
        <v>12</v>
      </c>
      <c r="E83" s="46" t="s">
        <v>15</v>
      </c>
      <c r="F83" s="66">
        <v>0.5</v>
      </c>
      <c r="G83" s="36">
        <f t="shared" ref="G83:V83" si="11">SUM(G85:G97)</f>
        <v>50</v>
      </c>
      <c r="H83" s="36">
        <f t="shared" si="11"/>
        <v>102</v>
      </c>
      <c r="I83" s="36">
        <f t="shared" si="11"/>
        <v>0</v>
      </c>
      <c r="J83" s="36">
        <f t="shared" si="11"/>
        <v>0</v>
      </c>
      <c r="K83" s="36">
        <f t="shared" si="11"/>
        <v>0</v>
      </c>
      <c r="L83" s="36">
        <f t="shared" si="11"/>
        <v>0</v>
      </c>
      <c r="M83" s="36">
        <f t="shared" si="11"/>
        <v>4</v>
      </c>
      <c r="N83" s="36">
        <f t="shared" si="11"/>
        <v>0</v>
      </c>
      <c r="O83" s="36">
        <f t="shared" si="11"/>
        <v>0</v>
      </c>
      <c r="P83" s="36">
        <f t="shared" si="11"/>
        <v>17</v>
      </c>
      <c r="Q83" s="36">
        <f t="shared" si="11"/>
        <v>0</v>
      </c>
      <c r="R83" s="36">
        <f t="shared" si="11"/>
        <v>0</v>
      </c>
      <c r="S83" s="36">
        <f t="shared" si="11"/>
        <v>0</v>
      </c>
      <c r="T83" s="36">
        <f t="shared" si="11"/>
        <v>0</v>
      </c>
      <c r="U83" s="36">
        <f t="shared" si="11"/>
        <v>15</v>
      </c>
      <c r="V83" s="36">
        <f t="shared" si="11"/>
        <v>188</v>
      </c>
      <c r="W83" s="132">
        <f>V83+V84</f>
        <v>513.9</v>
      </c>
    </row>
    <row r="84" spans="1:26" ht="12.9" thickBot="1" x14ac:dyDescent="0.5">
      <c r="A84" s="127"/>
      <c r="B84" s="129"/>
      <c r="C84" s="131"/>
      <c r="D84" s="131"/>
      <c r="E84" s="47"/>
      <c r="F84" s="67"/>
      <c r="G84" s="39">
        <f t="shared" ref="G84:U84" si="12">SUM(G98:G116)</f>
        <v>58</v>
      </c>
      <c r="H84" s="39">
        <f t="shared" si="12"/>
        <v>106</v>
      </c>
      <c r="I84" s="39">
        <f t="shared" si="12"/>
        <v>0</v>
      </c>
      <c r="J84" s="39">
        <f t="shared" si="12"/>
        <v>0</v>
      </c>
      <c r="K84" s="39">
        <f t="shared" si="12"/>
        <v>8</v>
      </c>
      <c r="L84" s="39">
        <f t="shared" si="12"/>
        <v>0</v>
      </c>
      <c r="M84" s="39">
        <f t="shared" si="12"/>
        <v>4</v>
      </c>
      <c r="N84" s="39">
        <f t="shared" si="12"/>
        <v>34.5</v>
      </c>
      <c r="O84" s="39">
        <f t="shared" si="12"/>
        <v>24.5</v>
      </c>
      <c r="P84" s="39">
        <f t="shared" si="12"/>
        <v>16.5</v>
      </c>
      <c r="Q84" s="39">
        <f t="shared" si="12"/>
        <v>0</v>
      </c>
      <c r="R84" s="39">
        <f t="shared" si="12"/>
        <v>0</v>
      </c>
      <c r="S84" s="39">
        <f>SUM(S98:S116)</f>
        <v>59.4</v>
      </c>
      <c r="T84" s="39">
        <f t="shared" si="12"/>
        <v>0</v>
      </c>
      <c r="U84" s="39">
        <f t="shared" si="12"/>
        <v>15</v>
      </c>
      <c r="V84" s="39">
        <f>SUM(V98:V116)</f>
        <v>325.89999999999998</v>
      </c>
      <c r="W84" s="133"/>
      <c r="Y84" s="38"/>
      <c r="Z84" s="38"/>
    </row>
    <row r="85" spans="1:26" outlineLevel="1" x14ac:dyDescent="0.45">
      <c r="A85" s="34" t="s">
        <v>223</v>
      </c>
      <c r="B85" s="42" t="s">
        <v>78</v>
      </c>
      <c r="C85" s="34">
        <v>1</v>
      </c>
      <c r="G85" s="34">
        <v>34</v>
      </c>
      <c r="H85" s="34">
        <v>68</v>
      </c>
      <c r="M85" s="34">
        <v>2</v>
      </c>
      <c r="P85" s="34">
        <v>10</v>
      </c>
      <c r="V85" s="34">
        <f t="shared" ref="V85:V94" si="13">SUM(G85:U85)</f>
        <v>114</v>
      </c>
      <c r="Y85" s="38"/>
    </row>
    <row r="86" spans="1:26" ht="25.2" outlineLevel="1" x14ac:dyDescent="0.45">
      <c r="A86" s="34" t="s">
        <v>223</v>
      </c>
      <c r="B86" s="42" t="s">
        <v>238</v>
      </c>
      <c r="C86" s="34">
        <v>1</v>
      </c>
      <c r="G86" s="34">
        <v>16</v>
      </c>
      <c r="H86" s="34">
        <v>34</v>
      </c>
      <c r="M86" s="34">
        <v>2</v>
      </c>
      <c r="P86" s="34">
        <v>7</v>
      </c>
      <c r="V86" s="34">
        <f t="shared" si="13"/>
        <v>59</v>
      </c>
      <c r="Y86" s="38"/>
    </row>
    <row r="87" spans="1:26" outlineLevel="1" x14ac:dyDescent="0.45">
      <c r="A87" t="s">
        <v>225</v>
      </c>
      <c r="B87" t="s">
        <v>151</v>
      </c>
      <c r="C87">
        <v>2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>
        <v>15</v>
      </c>
      <c r="V87" s="34">
        <f t="shared" si="13"/>
        <v>15</v>
      </c>
      <c r="Y87" s="38"/>
    </row>
    <row r="88" spans="1:26" outlineLevel="1" x14ac:dyDescent="0.45">
      <c r="V88" s="34">
        <f t="shared" si="13"/>
        <v>0</v>
      </c>
      <c r="Y88" s="38"/>
    </row>
    <row r="89" spans="1:26" outlineLevel="1" x14ac:dyDescent="0.4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34">
        <f t="shared" si="13"/>
        <v>0</v>
      </c>
      <c r="Y89" s="38"/>
    </row>
    <row r="90" spans="1:26" outlineLevel="1" x14ac:dyDescent="0.45">
      <c r="V90" s="34">
        <f t="shared" si="13"/>
        <v>0</v>
      </c>
      <c r="Y90" s="38"/>
    </row>
    <row r="91" spans="1:26" outlineLevel="1" x14ac:dyDescent="0.45">
      <c r="V91" s="34">
        <f t="shared" si="13"/>
        <v>0</v>
      </c>
      <c r="Y91" s="38"/>
    </row>
    <row r="92" spans="1:26" outlineLevel="1" x14ac:dyDescent="0.45">
      <c r="V92" s="34">
        <f t="shared" si="13"/>
        <v>0</v>
      </c>
      <c r="Y92" s="38"/>
    </row>
    <row r="93" spans="1:26" outlineLevel="1" x14ac:dyDescent="0.45">
      <c r="V93" s="34">
        <f t="shared" si="13"/>
        <v>0</v>
      </c>
      <c r="Y93" s="38"/>
    </row>
    <row r="94" spans="1:26" outlineLevel="1" x14ac:dyDescent="0.45">
      <c r="V94" s="34">
        <f t="shared" si="13"/>
        <v>0</v>
      </c>
      <c r="Y94" s="38"/>
    </row>
    <row r="95" spans="1:26" outlineLevel="1" x14ac:dyDescent="0.45">
      <c r="V95" s="34">
        <f>SUM(G95:U95)</f>
        <v>0</v>
      </c>
      <c r="Y95" s="38"/>
    </row>
    <row r="96" spans="1:26" outlineLevel="1" x14ac:dyDescent="0.45">
      <c r="V96" s="34">
        <f t="shared" ref="V96:V97" si="14">SUM(G96:U96)</f>
        <v>0</v>
      </c>
      <c r="Y96" s="38"/>
    </row>
    <row r="97" spans="1:25" outlineLevel="1" x14ac:dyDescent="0.45">
      <c r="V97" s="34">
        <f t="shared" si="14"/>
        <v>0</v>
      </c>
      <c r="Y97" s="38"/>
    </row>
    <row r="98" spans="1:25" outlineLevel="1" x14ac:dyDescent="0.45">
      <c r="B98" s="136" t="s">
        <v>29</v>
      </c>
      <c r="C98" s="136"/>
      <c r="D98" s="136"/>
      <c r="E98" s="136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68"/>
    </row>
    <row r="99" spans="1:25" ht="37.799999999999997" outlineLevel="1" x14ac:dyDescent="0.45">
      <c r="A99" s="34" t="s">
        <v>224</v>
      </c>
      <c r="B99" s="42" t="s">
        <v>141</v>
      </c>
      <c r="C99" s="34">
        <v>1</v>
      </c>
      <c r="G99" s="34">
        <v>4</v>
      </c>
      <c r="H99" s="34">
        <v>16</v>
      </c>
      <c r="K99" s="34">
        <v>2</v>
      </c>
      <c r="M99" s="34">
        <v>2</v>
      </c>
      <c r="N99" s="34">
        <v>9.5</v>
      </c>
      <c r="P99" s="34">
        <v>9.5</v>
      </c>
      <c r="V99" s="34">
        <f t="shared" ref="V99:V115" si="15">SUM(G99:U99)</f>
        <v>43</v>
      </c>
      <c r="X99" s="38"/>
    </row>
    <row r="100" spans="1:25" ht="37.799999999999997" outlineLevel="1" x14ac:dyDescent="0.45">
      <c r="A100" s="34" t="s">
        <v>224</v>
      </c>
      <c r="B100" s="42" t="s">
        <v>142</v>
      </c>
      <c r="C100" s="34">
        <v>3</v>
      </c>
      <c r="G100" s="34">
        <v>10</v>
      </c>
      <c r="H100" s="34">
        <v>24</v>
      </c>
      <c r="K100" s="34">
        <v>4</v>
      </c>
      <c r="N100" s="34">
        <v>17</v>
      </c>
      <c r="O100" s="34">
        <v>11.9</v>
      </c>
      <c r="V100" s="34">
        <f t="shared" si="15"/>
        <v>66.900000000000006</v>
      </c>
    </row>
    <row r="101" spans="1:25" ht="37.799999999999997" outlineLevel="1" x14ac:dyDescent="0.45">
      <c r="A101" s="34" t="s">
        <v>224</v>
      </c>
      <c r="B101" s="42" t="s">
        <v>143</v>
      </c>
      <c r="C101" s="34">
        <v>2</v>
      </c>
      <c r="G101" s="34">
        <v>6</v>
      </c>
      <c r="H101" s="34">
        <v>8</v>
      </c>
      <c r="K101" s="34">
        <v>2</v>
      </c>
      <c r="N101" s="34">
        <v>8</v>
      </c>
      <c r="O101" s="34">
        <v>5.6</v>
      </c>
      <c r="V101" s="34">
        <f t="shared" si="15"/>
        <v>29.6</v>
      </c>
      <c r="X101" s="38"/>
    </row>
    <row r="102" spans="1:25" outlineLevel="1" x14ac:dyDescent="0.45">
      <c r="A102" s="34" t="s">
        <v>224</v>
      </c>
      <c r="B102" s="42" t="s">
        <v>114</v>
      </c>
      <c r="C102" s="34">
        <v>1</v>
      </c>
      <c r="G102" s="34">
        <v>4</v>
      </c>
      <c r="H102" s="34">
        <v>8</v>
      </c>
      <c r="O102" s="34">
        <v>7</v>
      </c>
      <c r="V102" s="34">
        <f t="shared" si="15"/>
        <v>19</v>
      </c>
      <c r="X102" s="38"/>
    </row>
    <row r="103" spans="1:25" ht="25.2" outlineLevel="1" x14ac:dyDescent="0.45">
      <c r="A103" s="34" t="s">
        <v>223</v>
      </c>
      <c r="B103" s="42" t="s">
        <v>238</v>
      </c>
      <c r="C103" s="34">
        <v>1</v>
      </c>
      <c r="G103" s="34">
        <v>34</v>
      </c>
      <c r="H103" s="34">
        <v>50</v>
      </c>
      <c r="M103" s="34">
        <v>2</v>
      </c>
      <c r="P103" s="34">
        <v>7</v>
      </c>
      <c r="V103" s="34">
        <f t="shared" si="15"/>
        <v>93</v>
      </c>
      <c r="X103" s="38"/>
    </row>
    <row r="104" spans="1:25" outlineLevel="1" x14ac:dyDescent="0.45">
      <c r="A104" t="s">
        <v>225</v>
      </c>
      <c r="B104" t="s">
        <v>151</v>
      </c>
      <c r="C104">
        <v>2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>
        <v>15</v>
      </c>
      <c r="V104" s="34">
        <f t="shared" si="15"/>
        <v>15</v>
      </c>
    </row>
    <row r="105" spans="1:25" ht="25.2" outlineLevel="1" x14ac:dyDescent="0.45">
      <c r="A105" s="34" t="s">
        <v>224</v>
      </c>
      <c r="B105" s="42" t="s">
        <v>122</v>
      </c>
      <c r="C105" s="34">
        <v>5</v>
      </c>
      <c r="H105" s="37"/>
      <c r="N105" s="38"/>
      <c r="S105" s="34">
        <v>59.4</v>
      </c>
      <c r="V105" s="34">
        <f t="shared" si="15"/>
        <v>59.4</v>
      </c>
    </row>
    <row r="106" spans="1:25" outlineLevel="1" x14ac:dyDescent="0.45">
      <c r="H106" s="37"/>
      <c r="N106" s="38"/>
      <c r="V106" s="34">
        <f t="shared" si="15"/>
        <v>0</v>
      </c>
    </row>
    <row r="107" spans="1:25" outlineLevel="1" x14ac:dyDescent="0.45">
      <c r="H107" s="37"/>
      <c r="N107" s="38"/>
      <c r="V107" s="34">
        <f t="shared" si="15"/>
        <v>0</v>
      </c>
    </row>
    <row r="108" spans="1:25" outlineLevel="1" x14ac:dyDescent="0.45">
      <c r="H108" s="37"/>
      <c r="N108" s="38"/>
      <c r="V108" s="34">
        <f t="shared" si="15"/>
        <v>0</v>
      </c>
    </row>
    <row r="109" spans="1:25" outlineLevel="1" x14ac:dyDescent="0.45">
      <c r="H109" s="37"/>
      <c r="N109" s="38"/>
      <c r="V109" s="34">
        <f t="shared" si="15"/>
        <v>0</v>
      </c>
    </row>
    <row r="110" spans="1:25" outlineLevel="1" x14ac:dyDescent="0.45">
      <c r="H110" s="37"/>
      <c r="N110" s="38"/>
      <c r="S110" s="38"/>
      <c r="V110" s="34">
        <f t="shared" si="15"/>
        <v>0</v>
      </c>
    </row>
    <row r="111" spans="1:25" outlineLevel="1" x14ac:dyDescent="0.45">
      <c r="H111" s="37"/>
      <c r="N111" s="38"/>
      <c r="S111" s="38"/>
      <c r="V111" s="34">
        <f t="shared" si="15"/>
        <v>0</v>
      </c>
    </row>
    <row r="112" spans="1:25" outlineLevel="1" x14ac:dyDescent="0.45">
      <c r="H112" s="37"/>
      <c r="N112" s="38"/>
      <c r="S112" s="38"/>
      <c r="V112" s="34">
        <f t="shared" si="15"/>
        <v>0</v>
      </c>
    </row>
    <row r="113" spans="1:25" outlineLevel="1" x14ac:dyDescent="0.45">
      <c r="H113" s="37"/>
      <c r="N113" s="38"/>
      <c r="S113" s="38"/>
      <c r="V113" s="34">
        <f t="shared" si="15"/>
        <v>0</v>
      </c>
    </row>
    <row r="114" spans="1:25" outlineLevel="1" x14ac:dyDescent="0.45">
      <c r="H114" s="37"/>
      <c r="N114" s="38"/>
      <c r="S114" s="38"/>
      <c r="V114" s="34">
        <f t="shared" si="15"/>
        <v>0</v>
      </c>
    </row>
    <row r="115" spans="1:25" outlineLevel="1" x14ac:dyDescent="0.45">
      <c r="H115" s="37"/>
      <c r="N115" s="38"/>
      <c r="S115" s="38"/>
      <c r="V115" s="34">
        <f t="shared" si="15"/>
        <v>0</v>
      </c>
    </row>
    <row r="116" spans="1:25" ht="12.9" outlineLevel="1" thickBot="1" x14ac:dyDescent="0.5"/>
    <row r="117" spans="1:25" x14ac:dyDescent="0.45">
      <c r="A117" s="126">
        <v>4</v>
      </c>
      <c r="B117" s="128" t="s">
        <v>200</v>
      </c>
      <c r="C117" s="130" t="s">
        <v>9</v>
      </c>
      <c r="D117" s="130" t="s">
        <v>12</v>
      </c>
      <c r="E117" s="46"/>
      <c r="F117" s="66"/>
      <c r="G117" s="36">
        <f t="shared" ref="G117:U117" si="16">SUM(G119:G129)</f>
        <v>54</v>
      </c>
      <c r="H117" s="36">
        <f t="shared" si="16"/>
        <v>202</v>
      </c>
      <c r="I117" s="36">
        <f t="shared" si="16"/>
        <v>0</v>
      </c>
      <c r="J117" s="36">
        <f t="shared" si="16"/>
        <v>0</v>
      </c>
      <c r="K117" s="36">
        <f t="shared" si="16"/>
        <v>2</v>
      </c>
      <c r="L117" s="36">
        <f t="shared" si="16"/>
        <v>0</v>
      </c>
      <c r="M117" s="36">
        <f t="shared" si="16"/>
        <v>8</v>
      </c>
      <c r="N117" s="36">
        <f t="shared" si="16"/>
        <v>3.5</v>
      </c>
      <c r="O117" s="36">
        <f t="shared" si="16"/>
        <v>0</v>
      </c>
      <c r="P117" s="36">
        <f t="shared" si="16"/>
        <v>32</v>
      </c>
      <c r="Q117" s="36">
        <f t="shared" si="16"/>
        <v>0</v>
      </c>
      <c r="R117" s="36">
        <f t="shared" si="16"/>
        <v>0</v>
      </c>
      <c r="S117" s="36">
        <f t="shared" si="16"/>
        <v>0</v>
      </c>
      <c r="T117" s="36">
        <f t="shared" si="16"/>
        <v>0</v>
      </c>
      <c r="U117" s="36">
        <f t="shared" si="16"/>
        <v>45</v>
      </c>
      <c r="V117" s="36">
        <f>SUM(V119:V129)</f>
        <v>346.5</v>
      </c>
      <c r="W117" s="132">
        <f>V117+V118</f>
        <v>612.29999999999995</v>
      </c>
    </row>
    <row r="118" spans="1:25" ht="12.9" thickBot="1" x14ac:dyDescent="0.5">
      <c r="A118" s="127"/>
      <c r="B118" s="129"/>
      <c r="C118" s="131"/>
      <c r="D118" s="131"/>
      <c r="E118" s="47" t="s">
        <v>33</v>
      </c>
      <c r="F118" s="67">
        <v>0.5</v>
      </c>
      <c r="G118" s="39">
        <f>SUM(G130:G147)</f>
        <v>14</v>
      </c>
      <c r="H118" s="41">
        <f>SUM(H130:H147)</f>
        <v>32</v>
      </c>
      <c r="I118" s="39">
        <f>SUM(I130:I147)</f>
        <v>0</v>
      </c>
      <c r="J118" s="39">
        <f>SUM(J130:J147)</f>
        <v>0</v>
      </c>
      <c r="K118" s="39">
        <f t="shared" ref="K118:U118" si="17">SUM(K130:K147)</f>
        <v>4</v>
      </c>
      <c r="L118" s="39">
        <f t="shared" si="17"/>
        <v>0</v>
      </c>
      <c r="M118" s="39">
        <f t="shared" si="17"/>
        <v>4</v>
      </c>
      <c r="N118" s="39">
        <f>SUM(N130:N147)</f>
        <v>24</v>
      </c>
      <c r="O118" s="39">
        <f t="shared" si="17"/>
        <v>0</v>
      </c>
      <c r="P118" s="39">
        <f t="shared" si="17"/>
        <v>24</v>
      </c>
      <c r="Q118" s="39">
        <f t="shared" si="17"/>
        <v>0</v>
      </c>
      <c r="R118" s="39">
        <f t="shared" si="17"/>
        <v>0</v>
      </c>
      <c r="S118" s="39">
        <f t="shared" si="17"/>
        <v>118.8</v>
      </c>
      <c r="T118" s="39">
        <f t="shared" si="17"/>
        <v>0</v>
      </c>
      <c r="U118" s="39">
        <f t="shared" si="17"/>
        <v>45</v>
      </c>
      <c r="V118" s="39">
        <f>SUM(V130:V147)</f>
        <v>265.8</v>
      </c>
      <c r="W118" s="133"/>
      <c r="Y118" s="38"/>
    </row>
    <row r="119" spans="1:25" ht="25.2" outlineLevel="1" x14ac:dyDescent="0.45">
      <c r="A119" s="34" t="s">
        <v>223</v>
      </c>
      <c r="B119" s="42" t="s">
        <v>66</v>
      </c>
      <c r="C119" s="34">
        <v>3</v>
      </c>
      <c r="G119" s="34">
        <v>32</v>
      </c>
      <c r="H119" s="34">
        <v>96</v>
      </c>
      <c r="M119" s="34">
        <v>4</v>
      </c>
      <c r="P119" s="34">
        <v>18.5</v>
      </c>
      <c r="V119" s="34">
        <f t="shared" ref="V119:V128" si="18">SUM(G119:U119)</f>
        <v>150.5</v>
      </c>
    </row>
    <row r="120" spans="1:25" ht="25.2" outlineLevel="1" x14ac:dyDescent="0.45">
      <c r="A120" s="34" t="s">
        <v>223</v>
      </c>
      <c r="B120" s="42" t="s">
        <v>77</v>
      </c>
      <c r="C120" s="34">
        <v>1</v>
      </c>
      <c r="G120" s="34">
        <v>16</v>
      </c>
      <c r="H120" s="34">
        <v>100</v>
      </c>
      <c r="M120" s="34">
        <v>2</v>
      </c>
      <c r="P120" s="34">
        <v>10</v>
      </c>
      <c r="V120" s="34">
        <f t="shared" si="18"/>
        <v>128</v>
      </c>
    </row>
    <row r="121" spans="1:25" ht="25.2" outlineLevel="1" x14ac:dyDescent="0.45">
      <c r="A121" s="34" t="s">
        <v>224</v>
      </c>
      <c r="B121" s="42" t="s">
        <v>116</v>
      </c>
      <c r="C121" s="34">
        <v>1</v>
      </c>
      <c r="G121" s="34">
        <v>6</v>
      </c>
      <c r="H121" s="34">
        <v>6</v>
      </c>
      <c r="K121" s="34">
        <v>2</v>
      </c>
      <c r="M121" s="34">
        <v>2</v>
      </c>
      <c r="N121" s="34">
        <v>3.5</v>
      </c>
      <c r="P121" s="34">
        <v>3.5</v>
      </c>
      <c r="V121" s="34">
        <f t="shared" si="18"/>
        <v>23</v>
      </c>
    </row>
    <row r="122" spans="1:25" ht="25.2" outlineLevel="1" x14ac:dyDescent="0.45">
      <c r="A122" s="34" t="s">
        <v>225</v>
      </c>
      <c r="B122" s="42" t="s">
        <v>146</v>
      </c>
      <c r="C122" s="34">
        <v>1</v>
      </c>
      <c r="U122" s="34">
        <v>30</v>
      </c>
      <c r="V122" s="34">
        <f t="shared" si="18"/>
        <v>30</v>
      </c>
    </row>
    <row r="123" spans="1:25" outlineLevel="1" x14ac:dyDescent="0.45">
      <c r="A123" t="s">
        <v>225</v>
      </c>
      <c r="B123" t="s">
        <v>151</v>
      </c>
      <c r="C123">
        <v>2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>
        <v>15</v>
      </c>
      <c r="V123" s="34">
        <f t="shared" si="18"/>
        <v>15</v>
      </c>
    </row>
    <row r="124" spans="1:25" outlineLevel="1" x14ac:dyDescent="0.45">
      <c r="V124" s="34">
        <f t="shared" si="18"/>
        <v>0</v>
      </c>
    </row>
    <row r="125" spans="1:25" outlineLevel="1" x14ac:dyDescent="0.45">
      <c r="V125" s="34">
        <f t="shared" si="18"/>
        <v>0</v>
      </c>
    </row>
    <row r="126" spans="1:25" outlineLevel="1" x14ac:dyDescent="0.45">
      <c r="V126" s="34">
        <f t="shared" si="18"/>
        <v>0</v>
      </c>
    </row>
    <row r="127" spans="1:25" outlineLevel="1" x14ac:dyDescent="0.45">
      <c r="V127" s="34">
        <f t="shared" si="18"/>
        <v>0</v>
      </c>
    </row>
    <row r="128" spans="1:25" outlineLevel="1" x14ac:dyDescent="0.45">
      <c r="V128" s="34">
        <f t="shared" si="18"/>
        <v>0</v>
      </c>
    </row>
    <row r="129" spans="1:24" outlineLevel="1" x14ac:dyDescent="0.45">
      <c r="B129" s="136" t="s">
        <v>29</v>
      </c>
      <c r="C129" s="136"/>
      <c r="D129" s="136"/>
      <c r="E129" s="136"/>
      <c r="F129" s="136"/>
      <c r="G129" s="136"/>
      <c r="H129" s="136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68"/>
    </row>
    <row r="130" spans="1:24" ht="25.2" outlineLevel="1" x14ac:dyDescent="0.45">
      <c r="A130" s="34" t="s">
        <v>224</v>
      </c>
      <c r="B130" s="42" t="s">
        <v>118</v>
      </c>
      <c r="C130" s="34">
        <v>3</v>
      </c>
      <c r="G130" s="34">
        <v>6</v>
      </c>
      <c r="H130" s="34">
        <v>16</v>
      </c>
      <c r="K130" s="34">
        <v>2</v>
      </c>
      <c r="M130" s="34">
        <v>2</v>
      </c>
      <c r="N130" s="34">
        <v>13</v>
      </c>
      <c r="P130" s="34">
        <v>13</v>
      </c>
      <c r="V130" s="34">
        <f t="shared" ref="V130:V146" si="19">SUM(G130:U130)</f>
        <v>52</v>
      </c>
      <c r="X130" s="38"/>
    </row>
    <row r="131" spans="1:24" outlineLevel="1" x14ac:dyDescent="0.45">
      <c r="A131" t="s">
        <v>224</v>
      </c>
      <c r="B131" t="s">
        <v>128</v>
      </c>
      <c r="C131">
        <v>1</v>
      </c>
      <c r="D131"/>
      <c r="E131"/>
      <c r="F131"/>
      <c r="G131">
        <v>8</v>
      </c>
      <c r="H131">
        <v>16</v>
      </c>
      <c r="I131"/>
      <c r="J131"/>
      <c r="K131">
        <v>2</v>
      </c>
      <c r="L131"/>
      <c r="M131">
        <v>2</v>
      </c>
      <c r="N131">
        <v>11</v>
      </c>
      <c r="O131"/>
      <c r="P131">
        <v>11</v>
      </c>
      <c r="Q131"/>
      <c r="R131"/>
      <c r="S131"/>
      <c r="T131"/>
      <c r="U131"/>
      <c r="V131" s="34">
        <f t="shared" si="19"/>
        <v>50</v>
      </c>
    </row>
    <row r="132" spans="1:24" ht="25.2" outlineLevel="1" x14ac:dyDescent="0.45">
      <c r="A132" s="34" t="s">
        <v>223</v>
      </c>
      <c r="B132" s="42" t="s">
        <v>85</v>
      </c>
      <c r="C132" s="34">
        <v>4</v>
      </c>
      <c r="S132" s="34">
        <v>59.4</v>
      </c>
      <c r="V132" s="34">
        <f t="shared" si="19"/>
        <v>59.4</v>
      </c>
      <c r="X132" s="38"/>
    </row>
    <row r="133" spans="1:24" ht="25.2" outlineLevel="1" x14ac:dyDescent="0.45">
      <c r="A133" s="34" t="s">
        <v>225</v>
      </c>
      <c r="B133" s="42" t="s">
        <v>151</v>
      </c>
      <c r="C133" s="34">
        <v>2</v>
      </c>
      <c r="U133" s="34">
        <v>15</v>
      </c>
      <c r="V133" s="34">
        <f t="shared" si="19"/>
        <v>15</v>
      </c>
      <c r="X133" s="38"/>
    </row>
    <row r="134" spans="1:24" ht="25.2" outlineLevel="1" x14ac:dyDescent="0.45">
      <c r="A134" s="34" t="s">
        <v>224</v>
      </c>
      <c r="B134" s="42" t="s">
        <v>122</v>
      </c>
      <c r="C134" s="34">
        <v>5</v>
      </c>
      <c r="S134" s="34">
        <v>59.4</v>
      </c>
      <c r="V134" s="34">
        <f t="shared" si="19"/>
        <v>59.4</v>
      </c>
      <c r="X134" s="38"/>
    </row>
    <row r="135" spans="1:24" outlineLevel="1" x14ac:dyDescent="0.45">
      <c r="A135" t="s">
        <v>225</v>
      </c>
      <c r="B135" t="s">
        <v>146</v>
      </c>
      <c r="C135">
        <v>1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>
        <v>30</v>
      </c>
      <c r="V135" s="34">
        <f t="shared" si="19"/>
        <v>30</v>
      </c>
    </row>
    <row r="136" spans="1:24" outlineLevel="1" x14ac:dyDescent="0.45">
      <c r="H136" s="37"/>
      <c r="N136" s="38"/>
      <c r="V136" s="34">
        <f t="shared" si="19"/>
        <v>0</v>
      </c>
    </row>
    <row r="137" spans="1:24" outlineLevel="1" x14ac:dyDescent="0.45">
      <c r="H137" s="37"/>
      <c r="N137" s="38"/>
      <c r="V137" s="34">
        <f t="shared" si="19"/>
        <v>0</v>
      </c>
    </row>
    <row r="138" spans="1:24" outlineLevel="1" x14ac:dyDescent="0.45">
      <c r="H138" s="37"/>
      <c r="N138" s="38"/>
      <c r="V138" s="34">
        <f t="shared" si="19"/>
        <v>0</v>
      </c>
    </row>
    <row r="139" spans="1:24" outlineLevel="1" x14ac:dyDescent="0.45">
      <c r="H139" s="37"/>
      <c r="N139" s="38"/>
      <c r="V139" s="34">
        <f t="shared" si="19"/>
        <v>0</v>
      </c>
    </row>
    <row r="140" spans="1:24" outlineLevel="1" x14ac:dyDescent="0.45">
      <c r="H140" s="37"/>
      <c r="N140" s="38"/>
      <c r="V140" s="34">
        <f t="shared" si="19"/>
        <v>0</v>
      </c>
    </row>
    <row r="141" spans="1:24" outlineLevel="1" x14ac:dyDescent="0.45">
      <c r="H141" s="37"/>
      <c r="N141" s="38"/>
      <c r="S141" s="38"/>
      <c r="V141" s="34">
        <f t="shared" si="19"/>
        <v>0</v>
      </c>
    </row>
    <row r="142" spans="1:24" outlineLevel="1" x14ac:dyDescent="0.45">
      <c r="H142" s="37"/>
      <c r="N142" s="38"/>
      <c r="S142" s="38"/>
      <c r="V142" s="34">
        <f t="shared" si="19"/>
        <v>0</v>
      </c>
    </row>
    <row r="143" spans="1:24" outlineLevel="1" x14ac:dyDescent="0.45">
      <c r="H143" s="37"/>
      <c r="N143" s="38"/>
      <c r="S143" s="38"/>
      <c r="V143" s="34">
        <f t="shared" si="19"/>
        <v>0</v>
      </c>
    </row>
    <row r="144" spans="1:24" outlineLevel="1" x14ac:dyDescent="0.45">
      <c r="H144" s="37"/>
      <c r="N144" s="38"/>
      <c r="S144" s="38"/>
      <c r="V144" s="34">
        <f t="shared" si="19"/>
        <v>0</v>
      </c>
    </row>
    <row r="145" spans="1:25" outlineLevel="1" x14ac:dyDescent="0.45">
      <c r="H145" s="37"/>
      <c r="N145" s="38"/>
      <c r="S145" s="38"/>
      <c r="V145" s="34">
        <f t="shared" si="19"/>
        <v>0</v>
      </c>
    </row>
    <row r="146" spans="1:25" outlineLevel="1" x14ac:dyDescent="0.45">
      <c r="H146" s="37"/>
      <c r="N146" s="38"/>
      <c r="S146" s="38"/>
      <c r="V146" s="34">
        <f t="shared" si="19"/>
        <v>0</v>
      </c>
    </row>
    <row r="147" spans="1:25" ht="12.9" outlineLevel="1" thickBot="1" x14ac:dyDescent="0.5"/>
    <row r="148" spans="1:25" ht="12.75" customHeight="1" x14ac:dyDescent="0.45">
      <c r="A148" s="126">
        <v>5</v>
      </c>
      <c r="B148" s="128" t="s">
        <v>201</v>
      </c>
      <c r="C148" s="130" t="s">
        <v>9</v>
      </c>
      <c r="D148" s="130" t="s">
        <v>12</v>
      </c>
      <c r="E148" s="46" t="s">
        <v>15</v>
      </c>
      <c r="F148" s="66">
        <v>0.5</v>
      </c>
      <c r="G148" s="36">
        <f t="shared" ref="G148:U148" si="20">SUM(G150:G160)</f>
        <v>62</v>
      </c>
      <c r="H148" s="36">
        <f t="shared" si="20"/>
        <v>80</v>
      </c>
      <c r="I148" s="36">
        <f t="shared" si="20"/>
        <v>16</v>
      </c>
      <c r="J148" s="36">
        <f t="shared" si="20"/>
        <v>0</v>
      </c>
      <c r="K148" s="36">
        <f t="shared" si="20"/>
        <v>0</v>
      </c>
      <c r="L148" s="36">
        <f t="shared" si="20"/>
        <v>0</v>
      </c>
      <c r="M148" s="36">
        <f t="shared" si="20"/>
        <v>4</v>
      </c>
      <c r="N148" s="36">
        <f t="shared" si="20"/>
        <v>0</v>
      </c>
      <c r="O148" s="36">
        <f t="shared" si="20"/>
        <v>11.2</v>
      </c>
      <c r="P148" s="36">
        <f t="shared" si="20"/>
        <v>14</v>
      </c>
      <c r="Q148" s="36">
        <f t="shared" si="20"/>
        <v>0</v>
      </c>
      <c r="R148" s="36">
        <f t="shared" si="20"/>
        <v>0</v>
      </c>
      <c r="S148" s="36">
        <f t="shared" si="20"/>
        <v>0</v>
      </c>
      <c r="T148" s="36">
        <f t="shared" si="20"/>
        <v>0</v>
      </c>
      <c r="U148" s="36">
        <f t="shared" si="20"/>
        <v>30</v>
      </c>
      <c r="V148" s="36">
        <f>SUM(V150:V160)</f>
        <v>217.2</v>
      </c>
      <c r="W148" s="132">
        <f>V148+V149</f>
        <v>552.9</v>
      </c>
    </row>
    <row r="149" spans="1:25" ht="12.9" thickBot="1" x14ac:dyDescent="0.5">
      <c r="A149" s="127"/>
      <c r="B149" s="129"/>
      <c r="C149" s="131"/>
      <c r="D149" s="131"/>
      <c r="E149" s="47"/>
      <c r="F149" s="67"/>
      <c r="G149" s="39">
        <f>SUM(G161:G178)</f>
        <v>24</v>
      </c>
      <c r="H149" s="41">
        <f>SUM(H161:H178)</f>
        <v>24</v>
      </c>
      <c r="I149" s="39">
        <f>SUM(I161:I178)</f>
        <v>4</v>
      </c>
      <c r="J149" s="39">
        <f>SUM(J161:J178)</f>
        <v>0</v>
      </c>
      <c r="K149" s="39">
        <f t="shared" ref="K149:U149" si="21">SUM(K161:K178)</f>
        <v>0</v>
      </c>
      <c r="L149" s="39">
        <f t="shared" si="21"/>
        <v>0</v>
      </c>
      <c r="M149" s="39">
        <f t="shared" si="21"/>
        <v>2</v>
      </c>
      <c r="N149" s="39">
        <f t="shared" si="21"/>
        <v>0</v>
      </c>
      <c r="O149" s="39">
        <f t="shared" si="21"/>
        <v>2.1</v>
      </c>
      <c r="P149" s="39">
        <f t="shared" si="21"/>
        <v>2</v>
      </c>
      <c r="Q149" s="39">
        <f t="shared" si="21"/>
        <v>0</v>
      </c>
      <c r="R149" s="39">
        <f t="shared" si="21"/>
        <v>66</v>
      </c>
      <c r="S149" s="39">
        <f t="shared" si="21"/>
        <v>138.6</v>
      </c>
      <c r="T149" s="39">
        <f t="shared" si="21"/>
        <v>43</v>
      </c>
      <c r="U149" s="39">
        <f t="shared" si="21"/>
        <v>30</v>
      </c>
      <c r="V149" s="39">
        <f>SUM(V161:V178)</f>
        <v>335.7</v>
      </c>
      <c r="W149" s="133"/>
      <c r="Y149" s="38"/>
    </row>
    <row r="150" spans="1:25" outlineLevel="1" x14ac:dyDescent="0.45">
      <c r="A150" s="2" t="s">
        <v>223</v>
      </c>
      <c r="B150" s="82" t="s">
        <v>76</v>
      </c>
      <c r="C150" s="51">
        <v>1</v>
      </c>
      <c r="D150" s="51"/>
      <c r="E150" s="51"/>
      <c r="F150" s="51"/>
      <c r="G150" s="51">
        <v>34</v>
      </c>
      <c r="H150" s="51">
        <v>32</v>
      </c>
      <c r="I150" s="51"/>
      <c r="J150" s="51"/>
      <c r="K150" s="51"/>
      <c r="L150" s="51"/>
      <c r="M150" s="51">
        <v>2</v>
      </c>
      <c r="N150" s="51"/>
      <c r="O150" s="51"/>
      <c r="P150" s="51">
        <v>11</v>
      </c>
      <c r="Q150" s="51"/>
      <c r="R150" s="51"/>
      <c r="S150" s="51"/>
      <c r="T150" s="51"/>
      <c r="U150" s="51"/>
      <c r="V150" s="34">
        <f t="shared" ref="V150:V159" si="22">SUM(G150:U150)</f>
        <v>79</v>
      </c>
    </row>
    <row r="151" spans="1:25" ht="25.2" outlineLevel="1" x14ac:dyDescent="0.45">
      <c r="A151" s="2" t="s">
        <v>226</v>
      </c>
      <c r="B151" s="82" t="s">
        <v>162</v>
      </c>
      <c r="C151" s="51">
        <v>2</v>
      </c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>
        <v>15</v>
      </c>
      <c r="V151" s="34">
        <f t="shared" si="22"/>
        <v>15</v>
      </c>
    </row>
    <row r="152" spans="1:25" ht="25.2" outlineLevel="1" x14ac:dyDescent="0.45">
      <c r="A152" s="2" t="s">
        <v>225</v>
      </c>
      <c r="B152" s="82" t="s">
        <v>144</v>
      </c>
      <c r="C152" s="51">
        <v>1</v>
      </c>
      <c r="D152" s="51"/>
      <c r="E152" s="51"/>
      <c r="F152" s="51"/>
      <c r="G152" s="51">
        <v>24</v>
      </c>
      <c r="H152" s="51">
        <v>24</v>
      </c>
      <c r="I152" s="51">
        <v>16</v>
      </c>
      <c r="J152" s="51"/>
      <c r="K152" s="51"/>
      <c r="L152" s="51"/>
      <c r="M152" s="51">
        <v>2</v>
      </c>
      <c r="N152" s="51"/>
      <c r="O152" s="51"/>
      <c r="P152" s="51">
        <v>3</v>
      </c>
      <c r="Q152" s="51"/>
      <c r="R152" s="51"/>
      <c r="S152" s="51"/>
      <c r="T152" s="51"/>
      <c r="U152" s="51"/>
      <c r="V152" s="34">
        <f t="shared" si="22"/>
        <v>69</v>
      </c>
    </row>
    <row r="153" spans="1:25" ht="25.2" outlineLevel="1" x14ac:dyDescent="0.45">
      <c r="A153" s="2" t="s">
        <v>225</v>
      </c>
      <c r="B153" s="82" t="s">
        <v>151</v>
      </c>
      <c r="C153" s="51">
        <v>2</v>
      </c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>
        <v>15</v>
      </c>
      <c r="V153" s="34">
        <f t="shared" si="22"/>
        <v>15</v>
      </c>
    </row>
    <row r="154" spans="1:25" outlineLevel="1" x14ac:dyDescent="0.45">
      <c r="A154" s="2" t="s">
        <v>224</v>
      </c>
      <c r="B154" s="82" t="s">
        <v>115</v>
      </c>
      <c r="C154" s="51">
        <v>1</v>
      </c>
      <c r="D154" s="51"/>
      <c r="E154" s="51"/>
      <c r="F154" s="51"/>
      <c r="G154" s="51">
        <v>4</v>
      </c>
      <c r="H154" s="51">
        <v>24</v>
      </c>
      <c r="I154" s="51"/>
      <c r="J154" s="51"/>
      <c r="K154" s="51"/>
      <c r="L154" s="51"/>
      <c r="M154" s="51"/>
      <c r="N154" s="51"/>
      <c r="O154" s="51">
        <v>11.2</v>
      </c>
      <c r="P154" s="51"/>
      <c r="Q154" s="51"/>
      <c r="R154" s="51"/>
      <c r="S154" s="51"/>
      <c r="T154" s="51"/>
      <c r="U154" s="51"/>
      <c r="V154" s="34">
        <f t="shared" si="22"/>
        <v>39.200000000000003</v>
      </c>
    </row>
    <row r="155" spans="1:25" outlineLevel="1" x14ac:dyDescent="0.45">
      <c r="V155" s="34">
        <f t="shared" si="22"/>
        <v>0</v>
      </c>
    </row>
    <row r="156" spans="1:25" outlineLevel="1" x14ac:dyDescent="0.45">
      <c r="V156" s="34">
        <f t="shared" si="22"/>
        <v>0</v>
      </c>
    </row>
    <row r="157" spans="1:25" outlineLevel="1" x14ac:dyDescent="0.45">
      <c r="V157" s="34">
        <f t="shared" si="22"/>
        <v>0</v>
      </c>
    </row>
    <row r="158" spans="1:25" outlineLevel="1" x14ac:dyDescent="0.45">
      <c r="V158" s="34">
        <f t="shared" si="22"/>
        <v>0</v>
      </c>
    </row>
    <row r="159" spans="1:25" outlineLevel="1" x14ac:dyDescent="0.45">
      <c r="V159" s="34">
        <f t="shared" si="22"/>
        <v>0</v>
      </c>
    </row>
    <row r="160" spans="1:25" outlineLevel="1" x14ac:dyDescent="0.45">
      <c r="B160" s="136" t="s">
        <v>29</v>
      </c>
      <c r="C160" s="136"/>
      <c r="D160" s="136"/>
      <c r="E160" s="136"/>
      <c r="F160" s="136"/>
      <c r="G160" s="136"/>
      <c r="H160" s="136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68"/>
    </row>
    <row r="161" spans="1:27" ht="37.799999999999997" outlineLevel="1" x14ac:dyDescent="0.45">
      <c r="A161" s="2" t="s">
        <v>225</v>
      </c>
      <c r="B161" s="82" t="s">
        <v>154</v>
      </c>
      <c r="C161" s="51">
        <v>1</v>
      </c>
      <c r="D161" s="51"/>
      <c r="E161" s="51"/>
      <c r="F161" s="51"/>
      <c r="G161" s="20">
        <v>18</v>
      </c>
      <c r="H161" s="21">
        <v>18</v>
      </c>
      <c r="I161" s="21"/>
      <c r="J161" s="105"/>
      <c r="K161" s="51"/>
      <c r="L161" s="32"/>
      <c r="M161" s="22"/>
      <c r="N161" s="51"/>
      <c r="O161" s="81">
        <v>2.1</v>
      </c>
      <c r="P161" s="22"/>
      <c r="Q161" s="51"/>
      <c r="R161" s="51"/>
      <c r="S161" s="51"/>
      <c r="T161" s="51"/>
      <c r="U161" s="51"/>
      <c r="V161" s="34">
        <f t="shared" ref="V161:V177" si="23">SUM(G161:U161)</f>
        <v>38.1</v>
      </c>
      <c r="X161" s="38"/>
    </row>
    <row r="162" spans="1:27" outlineLevel="1" x14ac:dyDescent="0.45">
      <c r="A162" s="2" t="s">
        <v>223</v>
      </c>
      <c r="B162" s="82" t="s">
        <v>87</v>
      </c>
      <c r="C162" s="51">
        <v>4</v>
      </c>
      <c r="D162" s="51"/>
      <c r="E162" s="51"/>
      <c r="F162" s="51"/>
      <c r="G162" s="20"/>
      <c r="H162" s="21"/>
      <c r="I162" s="21"/>
      <c r="J162" s="105"/>
      <c r="K162" s="51"/>
      <c r="L162" s="32"/>
      <c r="M162" s="22"/>
      <c r="N162" s="51"/>
      <c r="O162" s="81"/>
      <c r="P162" s="22"/>
      <c r="Q162" s="51"/>
      <c r="R162" s="51"/>
      <c r="S162" s="51"/>
      <c r="T162" s="51">
        <v>16.5</v>
      </c>
      <c r="U162" s="51"/>
      <c r="V162" s="34">
        <f t="shared" si="23"/>
        <v>16.5</v>
      </c>
    </row>
    <row r="163" spans="1:27" outlineLevel="1" x14ac:dyDescent="0.45">
      <c r="A163" s="2" t="s">
        <v>224</v>
      </c>
      <c r="B163" s="82" t="s">
        <v>124</v>
      </c>
      <c r="C163" s="51">
        <v>5</v>
      </c>
      <c r="D163" s="51"/>
      <c r="E163" s="51"/>
      <c r="F163" s="51"/>
      <c r="G163" s="20"/>
      <c r="H163" s="21"/>
      <c r="I163" s="21"/>
      <c r="J163" s="105"/>
      <c r="K163" s="51"/>
      <c r="L163" s="32"/>
      <c r="M163" s="22"/>
      <c r="N163" s="51"/>
      <c r="O163" s="81"/>
      <c r="P163" s="22"/>
      <c r="Q163" s="51"/>
      <c r="R163" s="51"/>
      <c r="S163" s="51"/>
      <c r="T163" s="51">
        <v>12.5</v>
      </c>
      <c r="U163" s="51"/>
      <c r="V163" s="34">
        <f t="shared" si="23"/>
        <v>12.5</v>
      </c>
      <c r="X163" s="38"/>
      <c r="AA163" s="38"/>
    </row>
    <row r="164" spans="1:27" outlineLevel="1" x14ac:dyDescent="0.45">
      <c r="A164" s="34" t="s">
        <v>224</v>
      </c>
      <c r="B164" s="42" t="s">
        <v>135</v>
      </c>
      <c r="C164" s="34">
        <v>4</v>
      </c>
      <c r="T164" s="34">
        <v>10.5</v>
      </c>
      <c r="V164" s="34">
        <f t="shared" si="23"/>
        <v>10.5</v>
      </c>
      <c r="X164" s="38"/>
    </row>
    <row r="165" spans="1:27" outlineLevel="1" x14ac:dyDescent="0.45">
      <c r="A165" t="s">
        <v>225</v>
      </c>
      <c r="B165" t="s">
        <v>158</v>
      </c>
      <c r="C165">
        <v>2</v>
      </c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>
        <v>1.5</v>
      </c>
      <c r="U165"/>
      <c r="V165" s="34">
        <f t="shared" si="23"/>
        <v>1.5</v>
      </c>
      <c r="X165" s="38"/>
    </row>
    <row r="166" spans="1:27" outlineLevel="1" x14ac:dyDescent="0.45">
      <c r="A166" s="34" t="s">
        <v>226</v>
      </c>
      <c r="B166" s="42" t="s">
        <v>170</v>
      </c>
      <c r="C166" s="34">
        <v>2</v>
      </c>
      <c r="T166" s="34">
        <v>2</v>
      </c>
      <c r="V166" s="34">
        <f t="shared" si="23"/>
        <v>2</v>
      </c>
    </row>
    <row r="167" spans="1:27" ht="25.2" outlineLevel="1" x14ac:dyDescent="0.45">
      <c r="A167" s="34" t="s">
        <v>223</v>
      </c>
      <c r="B167" s="42" t="s">
        <v>85</v>
      </c>
      <c r="C167" s="34">
        <v>4</v>
      </c>
      <c r="H167" s="37"/>
      <c r="N167" s="38"/>
      <c r="S167" s="34">
        <v>138.6</v>
      </c>
      <c r="V167" s="34">
        <f t="shared" si="23"/>
        <v>138.6</v>
      </c>
    </row>
    <row r="168" spans="1:27" ht="25.2" outlineLevel="1" x14ac:dyDescent="0.45">
      <c r="A168" s="34" t="s">
        <v>226</v>
      </c>
      <c r="B168" s="42" t="s">
        <v>162</v>
      </c>
      <c r="C168" s="34">
        <v>2</v>
      </c>
      <c r="H168" s="37"/>
      <c r="N168" s="38"/>
      <c r="U168" s="34">
        <v>15</v>
      </c>
      <c r="V168" s="34">
        <f t="shared" si="23"/>
        <v>15</v>
      </c>
    </row>
    <row r="169" spans="1:27" ht="25.2" outlineLevel="1" x14ac:dyDescent="0.45">
      <c r="A169" s="34" t="s">
        <v>223</v>
      </c>
      <c r="B169" s="42" t="s">
        <v>84</v>
      </c>
      <c r="C169" s="34">
        <v>4</v>
      </c>
      <c r="H169" s="37"/>
      <c r="N169" s="38"/>
      <c r="R169" s="34">
        <v>66</v>
      </c>
      <c r="V169" s="34">
        <f t="shared" si="23"/>
        <v>66</v>
      </c>
    </row>
    <row r="170" spans="1:27" ht="37.799999999999997" outlineLevel="1" x14ac:dyDescent="0.45">
      <c r="A170" s="34" t="s">
        <v>226</v>
      </c>
      <c r="B170" s="42" t="s">
        <v>168</v>
      </c>
      <c r="C170" s="34">
        <v>2</v>
      </c>
      <c r="G170" s="34">
        <v>6</v>
      </c>
      <c r="H170" s="37">
        <v>6</v>
      </c>
      <c r="I170" s="34">
        <v>4</v>
      </c>
      <c r="M170" s="34">
        <v>2</v>
      </c>
      <c r="N170" s="38"/>
      <c r="P170" s="34">
        <v>2</v>
      </c>
      <c r="V170" s="34">
        <f t="shared" si="23"/>
        <v>20</v>
      </c>
    </row>
    <row r="171" spans="1:27" ht="25.2" outlineLevel="1" x14ac:dyDescent="0.45">
      <c r="A171" s="34" t="s">
        <v>225</v>
      </c>
      <c r="B171" s="42" t="s">
        <v>151</v>
      </c>
      <c r="C171" s="34">
        <v>2</v>
      </c>
      <c r="H171" s="37"/>
      <c r="N171" s="38"/>
      <c r="U171" s="34">
        <v>15</v>
      </c>
      <c r="V171" s="34">
        <f t="shared" si="23"/>
        <v>15</v>
      </c>
    </row>
    <row r="172" spans="1:27" outlineLevel="1" x14ac:dyDescent="0.45">
      <c r="H172" s="37"/>
      <c r="N172" s="38"/>
      <c r="S172" s="38"/>
      <c r="V172" s="34">
        <f t="shared" si="23"/>
        <v>0</v>
      </c>
    </row>
    <row r="173" spans="1:27" outlineLevel="1" x14ac:dyDescent="0.45">
      <c r="H173" s="37"/>
      <c r="N173" s="38"/>
      <c r="S173" s="38"/>
      <c r="V173" s="34">
        <f t="shared" si="23"/>
        <v>0</v>
      </c>
    </row>
    <row r="174" spans="1:27" outlineLevel="1" x14ac:dyDescent="0.45">
      <c r="H174" s="37"/>
      <c r="N174" s="38"/>
      <c r="S174" s="38"/>
      <c r="V174" s="34">
        <f t="shared" si="23"/>
        <v>0</v>
      </c>
    </row>
    <row r="175" spans="1:27" outlineLevel="1" x14ac:dyDescent="0.45">
      <c r="H175" s="37"/>
      <c r="N175" s="38"/>
      <c r="S175" s="38"/>
      <c r="V175" s="34">
        <f t="shared" si="23"/>
        <v>0</v>
      </c>
    </row>
    <row r="176" spans="1:27" outlineLevel="1" x14ac:dyDescent="0.45">
      <c r="H176" s="37"/>
      <c r="N176" s="38"/>
      <c r="S176" s="38"/>
      <c r="V176" s="34">
        <f t="shared" si="23"/>
        <v>0</v>
      </c>
    </row>
    <row r="177" spans="1:25" outlineLevel="1" x14ac:dyDescent="0.45">
      <c r="H177" s="37"/>
      <c r="N177" s="38"/>
      <c r="S177" s="38"/>
      <c r="V177" s="34">
        <f t="shared" si="23"/>
        <v>0</v>
      </c>
    </row>
    <row r="178" spans="1:25" ht="12.9" outlineLevel="1" thickBot="1" x14ac:dyDescent="0.5"/>
    <row r="179" spans="1:25" ht="12.75" customHeight="1" x14ac:dyDescent="0.45">
      <c r="A179" s="126">
        <v>6</v>
      </c>
      <c r="B179" s="128" t="s">
        <v>202</v>
      </c>
      <c r="C179" s="128" t="s">
        <v>32</v>
      </c>
      <c r="D179" s="130" t="s">
        <v>12</v>
      </c>
      <c r="E179" s="46" t="s">
        <v>15</v>
      </c>
      <c r="F179" s="66">
        <v>0.75</v>
      </c>
      <c r="G179" s="36">
        <f t="shared" ref="G179:U179" si="24">SUM(G181:G197)</f>
        <v>78</v>
      </c>
      <c r="H179" s="36">
        <f t="shared" si="24"/>
        <v>164</v>
      </c>
      <c r="I179" s="36">
        <f t="shared" si="24"/>
        <v>8</v>
      </c>
      <c r="J179" s="36">
        <f t="shared" si="24"/>
        <v>0</v>
      </c>
      <c r="K179" s="36">
        <f t="shared" si="24"/>
        <v>6</v>
      </c>
      <c r="L179" s="36">
        <f t="shared" si="24"/>
        <v>0</v>
      </c>
      <c r="M179" s="36">
        <f t="shared" si="24"/>
        <v>4</v>
      </c>
      <c r="N179" s="36">
        <f t="shared" si="24"/>
        <v>30.5</v>
      </c>
      <c r="O179" s="36">
        <f t="shared" si="24"/>
        <v>37.450000000000003</v>
      </c>
      <c r="P179" s="36">
        <f t="shared" si="24"/>
        <v>22.5</v>
      </c>
      <c r="Q179" s="36">
        <f t="shared" si="24"/>
        <v>0</v>
      </c>
      <c r="R179" s="36">
        <f t="shared" si="24"/>
        <v>0</v>
      </c>
      <c r="S179" s="36">
        <f t="shared" si="24"/>
        <v>0</v>
      </c>
      <c r="T179" s="36">
        <f t="shared" si="24"/>
        <v>0</v>
      </c>
      <c r="U179" s="36">
        <f t="shared" si="24"/>
        <v>0</v>
      </c>
      <c r="V179" s="36">
        <f>SUM(V181:V197)</f>
        <v>350.45</v>
      </c>
      <c r="W179" s="132">
        <f>V179+V180</f>
        <v>763.4</v>
      </c>
    </row>
    <row r="180" spans="1:25" ht="12.9" thickBot="1" x14ac:dyDescent="0.5">
      <c r="A180" s="127"/>
      <c r="B180" s="129"/>
      <c r="C180" s="129"/>
      <c r="D180" s="131"/>
      <c r="E180" s="47"/>
      <c r="F180" s="67"/>
      <c r="G180" s="39">
        <f>SUM(G198:G215)</f>
        <v>60</v>
      </c>
      <c r="H180" s="41">
        <f>SUM(H198:H215)</f>
        <v>124</v>
      </c>
      <c r="I180" s="39">
        <f>SUM(I198:I215)</f>
        <v>16</v>
      </c>
      <c r="J180" s="39">
        <f>SUM(J198:J215)</f>
        <v>0</v>
      </c>
      <c r="K180" s="39">
        <f t="shared" ref="K180:U180" si="25">SUM(K198:K215)</f>
        <v>0</v>
      </c>
      <c r="L180" s="39">
        <f t="shared" si="25"/>
        <v>0</v>
      </c>
      <c r="M180" s="39">
        <f t="shared" si="25"/>
        <v>2</v>
      </c>
      <c r="N180" s="39">
        <f t="shared" si="25"/>
        <v>0</v>
      </c>
      <c r="O180" s="39">
        <f t="shared" si="25"/>
        <v>24.849999999999998</v>
      </c>
      <c r="P180" s="39">
        <f t="shared" si="25"/>
        <v>13.5</v>
      </c>
      <c r="Q180" s="39">
        <f t="shared" si="25"/>
        <v>0</v>
      </c>
      <c r="R180" s="39">
        <f t="shared" si="25"/>
        <v>34</v>
      </c>
      <c r="S180" s="39">
        <f t="shared" si="25"/>
        <v>138.6</v>
      </c>
      <c r="T180" s="39">
        <f t="shared" si="25"/>
        <v>0</v>
      </c>
      <c r="U180" s="39">
        <f t="shared" si="25"/>
        <v>0</v>
      </c>
      <c r="V180" s="39">
        <f>SUM(V198:V215)</f>
        <v>412.95</v>
      </c>
      <c r="W180" s="133"/>
      <c r="Y180" s="38"/>
    </row>
    <row r="181" spans="1:25" ht="25.2" outlineLevel="1" x14ac:dyDescent="0.45">
      <c r="A181" s="34" t="s">
        <v>224</v>
      </c>
      <c r="B181" s="42" t="s">
        <v>97</v>
      </c>
      <c r="C181" s="34">
        <v>4</v>
      </c>
      <c r="G181" s="34">
        <v>6</v>
      </c>
      <c r="I181" s="34">
        <v>4</v>
      </c>
      <c r="O181" s="34">
        <v>8.4</v>
      </c>
      <c r="V181" s="34">
        <f t="shared" ref="V181:V196" si="26">SUM(G181:U181)</f>
        <v>18.399999999999999</v>
      </c>
    </row>
    <row r="182" spans="1:25" ht="25.2" outlineLevel="1" x14ac:dyDescent="0.45">
      <c r="A182" s="34" t="s">
        <v>224</v>
      </c>
      <c r="B182" s="42" t="s">
        <v>104</v>
      </c>
      <c r="C182" s="34">
        <v>3</v>
      </c>
      <c r="G182" s="34">
        <v>6</v>
      </c>
      <c r="I182" s="34">
        <v>4</v>
      </c>
      <c r="O182" s="34">
        <v>5.95</v>
      </c>
      <c r="V182" s="34">
        <f t="shared" si="26"/>
        <v>15.95</v>
      </c>
    </row>
    <row r="183" spans="1:25" ht="25.2" outlineLevel="1" x14ac:dyDescent="0.45">
      <c r="A183" s="34" t="s">
        <v>224</v>
      </c>
      <c r="B183" s="42" t="s">
        <v>108</v>
      </c>
      <c r="C183" s="34">
        <v>1</v>
      </c>
      <c r="G183" s="34">
        <v>6</v>
      </c>
      <c r="H183" s="34">
        <v>4</v>
      </c>
      <c r="K183" s="34">
        <v>2</v>
      </c>
      <c r="N183" s="34">
        <v>7</v>
      </c>
      <c r="O183" s="34">
        <v>4.9000000000000004</v>
      </c>
      <c r="V183" s="34">
        <f t="shared" si="26"/>
        <v>23.9</v>
      </c>
    </row>
    <row r="184" spans="1:25" outlineLevel="1" x14ac:dyDescent="0.45">
      <c r="A184" s="34" t="s">
        <v>224</v>
      </c>
      <c r="B184" s="42" t="s">
        <v>112</v>
      </c>
      <c r="C184" s="34">
        <v>1</v>
      </c>
      <c r="G184" s="34">
        <v>4</v>
      </c>
      <c r="H184" s="34">
        <v>8</v>
      </c>
      <c r="K184" s="34">
        <v>2</v>
      </c>
      <c r="M184" s="34">
        <v>2</v>
      </c>
      <c r="N184" s="34">
        <v>10</v>
      </c>
      <c r="P184" s="34">
        <v>10</v>
      </c>
      <c r="V184" s="34">
        <f t="shared" si="26"/>
        <v>36</v>
      </c>
    </row>
    <row r="185" spans="1:25" outlineLevel="1" x14ac:dyDescent="0.45">
      <c r="A185" s="34" t="s">
        <v>224</v>
      </c>
      <c r="B185" s="42" t="s">
        <v>113</v>
      </c>
      <c r="C185" s="34">
        <v>1</v>
      </c>
      <c r="G185" s="34">
        <v>6</v>
      </c>
      <c r="H185" s="34">
        <v>16</v>
      </c>
      <c r="K185" s="34">
        <v>2</v>
      </c>
      <c r="N185" s="34">
        <v>13.5</v>
      </c>
      <c r="O185" s="34">
        <v>9.4499999999999993</v>
      </c>
      <c r="V185" s="34">
        <f t="shared" si="26"/>
        <v>46.95</v>
      </c>
    </row>
    <row r="186" spans="1:25" ht="25.2" outlineLevel="1" x14ac:dyDescent="0.45">
      <c r="A186" s="34" t="s">
        <v>223</v>
      </c>
      <c r="B186" s="42" t="s">
        <v>227</v>
      </c>
      <c r="C186" s="34">
        <v>1</v>
      </c>
      <c r="G186" s="34">
        <v>34</v>
      </c>
      <c r="H186" s="34">
        <v>68</v>
      </c>
      <c r="M186" s="34">
        <v>2</v>
      </c>
      <c r="P186" s="34">
        <v>12.5</v>
      </c>
      <c r="V186" s="34">
        <f t="shared" si="26"/>
        <v>116.5</v>
      </c>
    </row>
    <row r="187" spans="1:25" outlineLevel="1" x14ac:dyDescent="0.45">
      <c r="A187" t="s">
        <v>223</v>
      </c>
      <c r="B187" t="s">
        <v>235</v>
      </c>
      <c r="C187">
        <v>1</v>
      </c>
      <c r="D187"/>
      <c r="E187"/>
      <c r="F187"/>
      <c r="G187">
        <v>16</v>
      </c>
      <c r="H187">
        <v>68</v>
      </c>
      <c r="I187"/>
      <c r="J187"/>
      <c r="K187"/>
      <c r="L187"/>
      <c r="M187"/>
      <c r="N187"/>
      <c r="O187">
        <v>8.75</v>
      </c>
      <c r="P187"/>
      <c r="Q187"/>
      <c r="R187"/>
      <c r="S187"/>
      <c r="T187"/>
      <c r="U187"/>
      <c r="V187" s="34">
        <f t="shared" si="26"/>
        <v>92.75</v>
      </c>
    </row>
    <row r="188" spans="1:25" outlineLevel="1" x14ac:dyDescent="0.45">
      <c r="V188" s="34">
        <f t="shared" si="26"/>
        <v>0</v>
      </c>
    </row>
    <row r="189" spans="1:25" outlineLevel="1" x14ac:dyDescent="0.45">
      <c r="V189" s="34">
        <f t="shared" si="26"/>
        <v>0</v>
      </c>
    </row>
    <row r="190" spans="1:25" outlineLevel="1" x14ac:dyDescent="0.45">
      <c r="V190" s="34">
        <f t="shared" si="26"/>
        <v>0</v>
      </c>
    </row>
    <row r="191" spans="1:25" outlineLevel="1" x14ac:dyDescent="0.45">
      <c r="V191" s="34">
        <f t="shared" si="26"/>
        <v>0</v>
      </c>
    </row>
    <row r="192" spans="1:25" outlineLevel="1" x14ac:dyDescent="0.45">
      <c r="V192" s="34">
        <f t="shared" si="26"/>
        <v>0</v>
      </c>
    </row>
    <row r="193" spans="1:24" outlineLevel="1" x14ac:dyDescent="0.45">
      <c r="V193" s="34">
        <f t="shared" si="26"/>
        <v>0</v>
      </c>
    </row>
    <row r="194" spans="1:24" outlineLevel="1" x14ac:dyDescent="0.45">
      <c r="V194" s="34">
        <f t="shared" si="26"/>
        <v>0</v>
      </c>
    </row>
    <row r="195" spans="1:24" outlineLevel="1" x14ac:dyDescent="0.45">
      <c r="V195" s="34">
        <f t="shared" si="26"/>
        <v>0</v>
      </c>
    </row>
    <row r="196" spans="1:24" outlineLevel="1" x14ac:dyDescent="0.45">
      <c r="V196" s="34">
        <f t="shared" si="26"/>
        <v>0</v>
      </c>
    </row>
    <row r="197" spans="1:24" outlineLevel="1" x14ac:dyDescent="0.45">
      <c r="B197" s="136" t="s">
        <v>29</v>
      </c>
      <c r="C197" s="136"/>
      <c r="D197" s="136"/>
      <c r="E197" s="136"/>
      <c r="F197" s="136"/>
      <c r="G197" s="136"/>
      <c r="H197" s="136"/>
      <c r="I197" s="136"/>
      <c r="J197" s="136"/>
      <c r="K197" s="136"/>
      <c r="L197" s="136"/>
      <c r="M197" s="136"/>
      <c r="N197" s="136"/>
      <c r="O197" s="136"/>
      <c r="P197" s="136"/>
      <c r="Q197" s="136"/>
      <c r="R197" s="136"/>
      <c r="S197" s="136"/>
      <c r="T197" s="136"/>
      <c r="U197" s="136"/>
      <c r="V197" s="68"/>
    </row>
    <row r="198" spans="1:24" outlineLevel="1" x14ac:dyDescent="0.45">
      <c r="A198" s="34" t="s">
        <v>223</v>
      </c>
      <c r="B198" s="42" t="s">
        <v>74</v>
      </c>
      <c r="C198" s="34">
        <v>1</v>
      </c>
      <c r="G198" s="34">
        <v>16</v>
      </c>
      <c r="H198" s="34">
        <v>68</v>
      </c>
      <c r="O198" s="34">
        <v>6.3</v>
      </c>
      <c r="V198" s="34">
        <f t="shared" ref="V198:V214" si="27">SUM(G198:U198)</f>
        <v>90.3</v>
      </c>
      <c r="X198" s="38"/>
    </row>
    <row r="199" spans="1:24" outlineLevel="1" x14ac:dyDescent="0.45">
      <c r="A199" s="34" t="s">
        <v>224</v>
      </c>
      <c r="B199" s="42" t="s">
        <v>112</v>
      </c>
      <c r="C199" s="34">
        <v>1</v>
      </c>
      <c r="G199" s="34">
        <v>4</v>
      </c>
      <c r="H199" s="34">
        <v>10</v>
      </c>
      <c r="O199" s="34">
        <v>7</v>
      </c>
      <c r="V199" s="34">
        <f t="shared" si="27"/>
        <v>21</v>
      </c>
    </row>
    <row r="200" spans="1:24" ht="25.2" outlineLevel="1" x14ac:dyDescent="0.45">
      <c r="A200" s="34" t="s">
        <v>223</v>
      </c>
      <c r="B200" s="42" t="s">
        <v>91</v>
      </c>
      <c r="C200" s="34">
        <v>1</v>
      </c>
      <c r="G200" s="34">
        <v>34</v>
      </c>
      <c r="I200" s="34">
        <v>16</v>
      </c>
      <c r="O200" s="34">
        <v>7.35</v>
      </c>
      <c r="V200" s="34">
        <f t="shared" si="27"/>
        <v>57.35</v>
      </c>
      <c r="X200" s="38"/>
    </row>
    <row r="201" spans="1:24" outlineLevel="1" x14ac:dyDescent="0.45">
      <c r="A201" s="34" t="s">
        <v>224</v>
      </c>
      <c r="B201" s="42" t="s">
        <v>113</v>
      </c>
      <c r="C201" s="34">
        <v>1</v>
      </c>
      <c r="G201" s="34">
        <v>6</v>
      </c>
      <c r="H201" s="34">
        <v>12</v>
      </c>
      <c r="M201" s="34">
        <v>2</v>
      </c>
      <c r="P201" s="34">
        <v>13.5</v>
      </c>
      <c r="V201" s="34">
        <f t="shared" si="27"/>
        <v>33.5</v>
      </c>
      <c r="X201" s="38"/>
    </row>
    <row r="202" spans="1:24" ht="25.2" outlineLevel="1" x14ac:dyDescent="0.45">
      <c r="A202" s="34" t="s">
        <v>224</v>
      </c>
      <c r="B202" s="42" t="s">
        <v>132</v>
      </c>
      <c r="C202" s="34">
        <v>3</v>
      </c>
      <c r="R202" s="34">
        <v>34</v>
      </c>
      <c r="V202" s="34">
        <f t="shared" si="27"/>
        <v>34</v>
      </c>
      <c r="X202" s="38"/>
    </row>
    <row r="203" spans="1:24" ht="25.2" outlineLevel="1" x14ac:dyDescent="0.45">
      <c r="A203" s="34" t="s">
        <v>224</v>
      </c>
      <c r="B203" s="42" t="s">
        <v>133</v>
      </c>
      <c r="C203" s="34">
        <v>4</v>
      </c>
      <c r="S203" s="34">
        <v>79.2</v>
      </c>
      <c r="V203" s="34">
        <f t="shared" si="27"/>
        <v>79.2</v>
      </c>
    </row>
    <row r="204" spans="1:24" outlineLevel="1" x14ac:dyDescent="0.45">
      <c r="A204" t="s">
        <v>224</v>
      </c>
      <c r="B204" t="s">
        <v>122</v>
      </c>
      <c r="C204">
        <v>5</v>
      </c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>
        <v>59.4</v>
      </c>
      <c r="T204"/>
      <c r="U204"/>
      <c r="V204" s="34">
        <f t="shared" si="27"/>
        <v>59.4</v>
      </c>
    </row>
    <row r="205" spans="1:24" outlineLevel="1" x14ac:dyDescent="0.45">
      <c r="A205" s="34" t="s">
        <v>223</v>
      </c>
      <c r="B205" s="42" t="s">
        <v>75</v>
      </c>
      <c r="C205" s="34">
        <v>1</v>
      </c>
      <c r="H205" s="37">
        <v>34</v>
      </c>
      <c r="N205" s="38"/>
      <c r="O205" s="34">
        <v>4.2</v>
      </c>
      <c r="V205" s="34">
        <f t="shared" si="27"/>
        <v>38.200000000000003</v>
      </c>
    </row>
    <row r="206" spans="1:24" outlineLevel="1" x14ac:dyDescent="0.45">
      <c r="H206" s="37"/>
      <c r="N206" s="38"/>
      <c r="V206" s="34">
        <f t="shared" si="27"/>
        <v>0</v>
      </c>
    </row>
    <row r="207" spans="1:24" outlineLevel="1" x14ac:dyDescent="0.45">
      <c r="H207" s="37"/>
      <c r="N207" s="38"/>
      <c r="V207" s="34">
        <f t="shared" si="27"/>
        <v>0</v>
      </c>
    </row>
    <row r="208" spans="1:24" outlineLevel="1" x14ac:dyDescent="0.45">
      <c r="H208" s="37"/>
      <c r="N208" s="38"/>
      <c r="V208" s="34">
        <f t="shared" si="27"/>
        <v>0</v>
      </c>
    </row>
    <row r="209" spans="1:25" outlineLevel="1" x14ac:dyDescent="0.45">
      <c r="H209" s="37"/>
      <c r="N209" s="38"/>
      <c r="S209" s="38"/>
      <c r="V209" s="34">
        <f t="shared" si="27"/>
        <v>0</v>
      </c>
    </row>
    <row r="210" spans="1:25" outlineLevel="1" x14ac:dyDescent="0.45">
      <c r="H210" s="37"/>
      <c r="N210" s="38"/>
      <c r="S210" s="38"/>
      <c r="V210" s="34">
        <f t="shared" si="27"/>
        <v>0</v>
      </c>
    </row>
    <row r="211" spans="1:25" outlineLevel="1" x14ac:dyDescent="0.45">
      <c r="H211" s="37"/>
      <c r="N211" s="38"/>
      <c r="S211" s="38"/>
      <c r="V211" s="34">
        <f t="shared" si="27"/>
        <v>0</v>
      </c>
    </row>
    <row r="212" spans="1:25" outlineLevel="1" x14ac:dyDescent="0.45">
      <c r="H212" s="37"/>
      <c r="N212" s="38"/>
      <c r="S212" s="38"/>
      <c r="V212" s="34">
        <f t="shared" si="27"/>
        <v>0</v>
      </c>
    </row>
    <row r="213" spans="1:25" outlineLevel="1" x14ac:dyDescent="0.45">
      <c r="H213" s="37"/>
      <c r="N213" s="38"/>
      <c r="S213" s="38"/>
      <c r="V213" s="34">
        <f t="shared" si="27"/>
        <v>0</v>
      </c>
    </row>
    <row r="214" spans="1:25" outlineLevel="1" x14ac:dyDescent="0.45">
      <c r="H214" s="37"/>
      <c r="N214" s="38"/>
      <c r="S214" s="38"/>
      <c r="V214" s="34">
        <f t="shared" si="27"/>
        <v>0</v>
      </c>
    </row>
    <row r="215" spans="1:25" ht="12.9" outlineLevel="1" thickBot="1" x14ac:dyDescent="0.5"/>
    <row r="216" spans="1:25" ht="12.75" customHeight="1" x14ac:dyDescent="0.45">
      <c r="A216" s="126">
        <v>7</v>
      </c>
      <c r="B216" s="128" t="s">
        <v>203</v>
      </c>
      <c r="C216" s="128" t="s">
        <v>32</v>
      </c>
      <c r="D216" s="130" t="s">
        <v>12</v>
      </c>
      <c r="E216" s="46" t="s">
        <v>15</v>
      </c>
      <c r="F216" s="66">
        <v>0.75</v>
      </c>
      <c r="G216" s="36">
        <f t="shared" ref="G216:U216" si="28">SUM(G218:G228)</f>
        <v>0</v>
      </c>
      <c r="H216" s="36">
        <f t="shared" si="28"/>
        <v>132</v>
      </c>
      <c r="I216" s="36">
        <f t="shared" si="28"/>
        <v>0</v>
      </c>
      <c r="J216" s="36">
        <f t="shared" si="28"/>
        <v>0</v>
      </c>
      <c r="K216" s="36">
        <f t="shared" si="28"/>
        <v>0</v>
      </c>
      <c r="L216" s="36">
        <f t="shared" si="28"/>
        <v>0</v>
      </c>
      <c r="M216" s="36">
        <f t="shared" si="28"/>
        <v>0</v>
      </c>
      <c r="N216" s="36">
        <f t="shared" si="28"/>
        <v>0</v>
      </c>
      <c r="O216" s="36">
        <f t="shared" si="28"/>
        <v>0</v>
      </c>
      <c r="P216" s="36">
        <f t="shared" si="28"/>
        <v>0</v>
      </c>
      <c r="Q216" s="36">
        <f t="shared" si="28"/>
        <v>0</v>
      </c>
      <c r="R216" s="36">
        <f t="shared" si="28"/>
        <v>0</v>
      </c>
      <c r="S216" s="36">
        <f t="shared" si="28"/>
        <v>0</v>
      </c>
      <c r="T216" s="36">
        <f t="shared" si="28"/>
        <v>0</v>
      </c>
      <c r="U216" s="36">
        <f t="shared" si="28"/>
        <v>0</v>
      </c>
      <c r="V216" s="36">
        <f>SUM(V218:V228)</f>
        <v>132</v>
      </c>
      <c r="W216" s="132">
        <f>V216+V217</f>
        <v>491.35</v>
      </c>
    </row>
    <row r="217" spans="1:25" ht="12.9" thickBot="1" x14ac:dyDescent="0.5">
      <c r="A217" s="127"/>
      <c r="B217" s="129"/>
      <c r="C217" s="129"/>
      <c r="D217" s="131"/>
      <c r="E217" s="47"/>
      <c r="F217" s="67"/>
      <c r="G217" s="39">
        <f>SUM(G229:G246)</f>
        <v>34</v>
      </c>
      <c r="H217" s="41">
        <f>SUM(H229:H246)</f>
        <v>32</v>
      </c>
      <c r="I217" s="39">
        <f>SUM(I229:I246)</f>
        <v>0</v>
      </c>
      <c r="J217" s="39">
        <f>SUM(J229:J246)</f>
        <v>0</v>
      </c>
      <c r="K217" s="39">
        <f t="shared" ref="K217:U217" si="29">SUM(K229:K246)</f>
        <v>0</v>
      </c>
      <c r="L217" s="39">
        <f t="shared" si="29"/>
        <v>96</v>
      </c>
      <c r="M217" s="39">
        <f t="shared" si="29"/>
        <v>0</v>
      </c>
      <c r="N217" s="39">
        <f t="shared" si="29"/>
        <v>0</v>
      </c>
      <c r="O217" s="39">
        <f t="shared" si="29"/>
        <v>8.75</v>
      </c>
      <c r="P217" s="39">
        <f t="shared" si="29"/>
        <v>0</v>
      </c>
      <c r="Q217" s="39">
        <f t="shared" si="29"/>
        <v>0</v>
      </c>
      <c r="R217" s="39">
        <f t="shared" si="29"/>
        <v>50</v>
      </c>
      <c r="S217" s="39">
        <f t="shared" si="29"/>
        <v>138.6</v>
      </c>
      <c r="T217" s="39">
        <f t="shared" si="29"/>
        <v>0</v>
      </c>
      <c r="U217" s="39">
        <f t="shared" si="29"/>
        <v>0</v>
      </c>
      <c r="V217" s="39">
        <f>SUM(V229:V246)</f>
        <v>359.35</v>
      </c>
      <c r="W217" s="133"/>
      <c r="Y217" s="38"/>
    </row>
    <row r="218" spans="1:25" outlineLevel="1" x14ac:dyDescent="0.45">
      <c r="A218" t="s">
        <v>223</v>
      </c>
      <c r="B218" t="s">
        <v>68</v>
      </c>
      <c r="C218">
        <v>4</v>
      </c>
      <c r="D218"/>
      <c r="E218"/>
      <c r="F218"/>
      <c r="G218"/>
      <c r="H218">
        <v>64</v>
      </c>
      <c r="I218"/>
      <c r="J218"/>
      <c r="K218"/>
      <c r="L218"/>
      <c r="M218"/>
      <c r="N218"/>
      <c r="O218"/>
      <c r="P218"/>
      <c r="Q218"/>
      <c r="R218"/>
      <c r="S218"/>
      <c r="T218"/>
      <c r="U218"/>
      <c r="V218" s="34">
        <f t="shared" ref="V218:V227" si="30">SUM(G218:U218)</f>
        <v>64</v>
      </c>
    </row>
    <row r="219" spans="1:25" ht="37.799999999999997" outlineLevel="1" x14ac:dyDescent="0.45">
      <c r="A219" s="34" t="s">
        <v>223</v>
      </c>
      <c r="B219" s="42" t="s">
        <v>64</v>
      </c>
      <c r="C219" s="34">
        <v>2</v>
      </c>
      <c r="H219" s="34">
        <v>68</v>
      </c>
      <c r="V219" s="34">
        <f t="shared" si="30"/>
        <v>68</v>
      </c>
    </row>
    <row r="220" spans="1:25" outlineLevel="1" x14ac:dyDescent="0.4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 s="34">
        <f t="shared" si="30"/>
        <v>0</v>
      </c>
    </row>
    <row r="221" spans="1:25" outlineLevel="1" x14ac:dyDescent="0.45">
      <c r="V221" s="34">
        <f t="shared" si="30"/>
        <v>0</v>
      </c>
    </row>
    <row r="222" spans="1:25" outlineLevel="1" x14ac:dyDescent="0.45">
      <c r="V222" s="34">
        <f t="shared" si="30"/>
        <v>0</v>
      </c>
    </row>
    <row r="223" spans="1:25" outlineLevel="1" x14ac:dyDescent="0.45">
      <c r="V223" s="34">
        <f t="shared" si="30"/>
        <v>0</v>
      </c>
    </row>
    <row r="224" spans="1:25" outlineLevel="1" x14ac:dyDescent="0.45">
      <c r="V224" s="34">
        <f t="shared" si="30"/>
        <v>0</v>
      </c>
    </row>
    <row r="225" spans="1:24" outlineLevel="1" x14ac:dyDescent="0.45">
      <c r="V225" s="34">
        <f t="shared" si="30"/>
        <v>0</v>
      </c>
    </row>
    <row r="226" spans="1:24" outlineLevel="1" x14ac:dyDescent="0.45">
      <c r="V226" s="34">
        <f t="shared" si="30"/>
        <v>0</v>
      </c>
    </row>
    <row r="227" spans="1:24" outlineLevel="1" x14ac:dyDescent="0.45">
      <c r="V227" s="34">
        <f t="shared" si="30"/>
        <v>0</v>
      </c>
    </row>
    <row r="228" spans="1:24" outlineLevel="1" x14ac:dyDescent="0.45">
      <c r="B228" s="136" t="s">
        <v>29</v>
      </c>
      <c r="C228" s="136"/>
      <c r="D228" s="136"/>
      <c r="E228" s="136"/>
      <c r="F228" s="136"/>
      <c r="G228" s="136"/>
      <c r="H228" s="136"/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  <c r="U228" s="136"/>
      <c r="V228" s="103"/>
    </row>
    <row r="229" spans="1:24" ht="37.799999999999997" outlineLevel="1" x14ac:dyDescent="0.45">
      <c r="A229" s="34" t="s">
        <v>224</v>
      </c>
      <c r="B229" s="42" t="s">
        <v>99</v>
      </c>
      <c r="C229" s="34">
        <v>4</v>
      </c>
      <c r="L229" s="34">
        <v>96</v>
      </c>
      <c r="V229" s="34">
        <f t="shared" ref="V229:V245" si="31">SUM(G229:U229)</f>
        <v>96</v>
      </c>
      <c r="X229" s="38"/>
    </row>
    <row r="230" spans="1:24" ht="25.2" outlineLevel="1" x14ac:dyDescent="0.45">
      <c r="A230" s="34" t="s">
        <v>224</v>
      </c>
      <c r="B230" s="42" t="s">
        <v>122</v>
      </c>
      <c r="C230" s="34">
        <v>5</v>
      </c>
      <c r="S230" s="34">
        <v>59.4</v>
      </c>
      <c r="V230" s="34">
        <f t="shared" si="31"/>
        <v>59.4</v>
      </c>
    </row>
    <row r="231" spans="1:24" ht="25.2" outlineLevel="1" x14ac:dyDescent="0.45">
      <c r="A231" s="34" t="s">
        <v>223</v>
      </c>
      <c r="B231" s="42" t="s">
        <v>85</v>
      </c>
      <c r="C231" s="34">
        <v>4</v>
      </c>
      <c r="S231" s="34">
        <v>79.2</v>
      </c>
      <c r="V231" s="34">
        <f t="shared" si="31"/>
        <v>79.2</v>
      </c>
      <c r="X231" s="38"/>
    </row>
    <row r="232" spans="1:24" ht="25.2" outlineLevel="1" x14ac:dyDescent="0.45">
      <c r="A232" s="34" t="s">
        <v>223</v>
      </c>
      <c r="B232" s="42" t="s">
        <v>231</v>
      </c>
      <c r="C232" s="34">
        <v>1</v>
      </c>
      <c r="G232" s="34">
        <v>34</v>
      </c>
      <c r="H232" s="34">
        <v>32</v>
      </c>
      <c r="O232" s="34">
        <v>8.75</v>
      </c>
      <c r="V232" s="34">
        <f t="shared" si="31"/>
        <v>74.75</v>
      </c>
      <c r="X232" s="38"/>
    </row>
    <row r="233" spans="1:24" ht="25.2" outlineLevel="1" x14ac:dyDescent="0.45">
      <c r="A233" s="34" t="s">
        <v>224</v>
      </c>
      <c r="B233" s="42" t="s">
        <v>121</v>
      </c>
      <c r="C233" s="34">
        <v>5</v>
      </c>
      <c r="R233" s="34">
        <v>50</v>
      </c>
      <c r="V233" s="34">
        <f t="shared" si="31"/>
        <v>50</v>
      </c>
      <c r="X233" s="38"/>
    </row>
    <row r="234" spans="1:24" outlineLevel="1" x14ac:dyDescent="0.45">
      <c r="V234" s="34">
        <f t="shared" si="31"/>
        <v>0</v>
      </c>
    </row>
    <row r="235" spans="1:24" outlineLevel="1" x14ac:dyDescent="0.45">
      <c r="H235" s="37"/>
      <c r="N235" s="38"/>
      <c r="V235" s="34">
        <f t="shared" si="31"/>
        <v>0</v>
      </c>
    </row>
    <row r="236" spans="1:24" outlineLevel="1" x14ac:dyDescent="0.45">
      <c r="H236" s="37"/>
      <c r="N236" s="38"/>
      <c r="V236" s="34">
        <f t="shared" si="31"/>
        <v>0</v>
      </c>
    </row>
    <row r="237" spans="1:24" outlineLevel="1" x14ac:dyDescent="0.45">
      <c r="H237" s="37"/>
      <c r="N237" s="38"/>
      <c r="V237" s="34">
        <f t="shared" si="31"/>
        <v>0</v>
      </c>
    </row>
    <row r="238" spans="1:24" outlineLevel="1" x14ac:dyDescent="0.45">
      <c r="H238" s="37"/>
      <c r="N238" s="38"/>
      <c r="V238" s="34">
        <f t="shared" si="31"/>
        <v>0</v>
      </c>
    </row>
    <row r="239" spans="1:24" outlineLevel="1" x14ac:dyDescent="0.45">
      <c r="H239" s="37"/>
      <c r="N239" s="38"/>
      <c r="V239" s="34">
        <f t="shared" si="31"/>
        <v>0</v>
      </c>
    </row>
    <row r="240" spans="1:24" outlineLevel="1" x14ac:dyDescent="0.45">
      <c r="H240" s="37"/>
      <c r="N240" s="38"/>
      <c r="S240" s="38"/>
      <c r="V240" s="34">
        <f t="shared" si="31"/>
        <v>0</v>
      </c>
    </row>
    <row r="241" spans="1:25" outlineLevel="1" x14ac:dyDescent="0.45">
      <c r="H241" s="37"/>
      <c r="N241" s="38"/>
      <c r="S241" s="38"/>
      <c r="V241" s="34">
        <f t="shared" si="31"/>
        <v>0</v>
      </c>
    </row>
    <row r="242" spans="1:25" outlineLevel="1" x14ac:dyDescent="0.45">
      <c r="H242" s="37"/>
      <c r="N242" s="38"/>
      <c r="S242" s="38"/>
      <c r="V242" s="34">
        <f t="shared" si="31"/>
        <v>0</v>
      </c>
    </row>
    <row r="243" spans="1:25" outlineLevel="1" x14ac:dyDescent="0.45">
      <c r="H243" s="37"/>
      <c r="N243" s="38"/>
      <c r="S243" s="38"/>
      <c r="V243" s="34">
        <f t="shared" si="31"/>
        <v>0</v>
      </c>
    </row>
    <row r="244" spans="1:25" outlineLevel="1" x14ac:dyDescent="0.45">
      <c r="H244" s="37"/>
      <c r="N244" s="38"/>
      <c r="S244" s="38"/>
      <c r="V244" s="34">
        <f t="shared" si="31"/>
        <v>0</v>
      </c>
    </row>
    <row r="245" spans="1:25" outlineLevel="1" x14ac:dyDescent="0.45">
      <c r="H245" s="37"/>
      <c r="N245" s="38"/>
      <c r="S245" s="38"/>
      <c r="V245" s="34">
        <f t="shared" si="31"/>
        <v>0</v>
      </c>
    </row>
    <row r="246" spans="1:25" ht="12.9" outlineLevel="1" thickBot="1" x14ac:dyDescent="0.5"/>
    <row r="247" spans="1:25" ht="12.75" customHeight="1" x14ac:dyDescent="0.45">
      <c r="A247" s="126">
        <v>8</v>
      </c>
      <c r="B247" s="128" t="s">
        <v>204</v>
      </c>
      <c r="C247" s="128" t="s">
        <v>32</v>
      </c>
      <c r="D247" s="130" t="s">
        <v>12</v>
      </c>
      <c r="E247" s="46"/>
      <c r="F247" s="123"/>
      <c r="G247" s="36">
        <f t="shared" ref="G247:U247" si="32">SUM(G249:G259)</f>
        <v>6</v>
      </c>
      <c r="H247" s="36">
        <f t="shared" si="32"/>
        <v>4</v>
      </c>
      <c r="I247" s="36">
        <f t="shared" si="32"/>
        <v>0</v>
      </c>
      <c r="J247" s="36">
        <f t="shared" si="32"/>
        <v>0</v>
      </c>
      <c r="K247" s="36">
        <f t="shared" si="32"/>
        <v>0</v>
      </c>
      <c r="L247" s="36">
        <f t="shared" si="32"/>
        <v>0</v>
      </c>
      <c r="M247" s="36">
        <f t="shared" si="32"/>
        <v>0</v>
      </c>
      <c r="N247" s="36">
        <f t="shared" si="32"/>
        <v>0</v>
      </c>
      <c r="O247" s="36">
        <f t="shared" si="32"/>
        <v>4.9000000000000004</v>
      </c>
      <c r="P247" s="36">
        <f t="shared" si="32"/>
        <v>0</v>
      </c>
      <c r="Q247" s="36">
        <f t="shared" si="32"/>
        <v>0</v>
      </c>
      <c r="R247" s="36">
        <f t="shared" si="32"/>
        <v>0</v>
      </c>
      <c r="S247" s="36">
        <f t="shared" si="32"/>
        <v>0</v>
      </c>
      <c r="T247" s="36">
        <f t="shared" si="32"/>
        <v>0</v>
      </c>
      <c r="U247" s="36">
        <f t="shared" si="32"/>
        <v>0</v>
      </c>
      <c r="V247" s="36">
        <f>SUM(V249:V259)</f>
        <v>14.9</v>
      </c>
      <c r="W247" s="132">
        <f>V247+V248</f>
        <v>313.8</v>
      </c>
    </row>
    <row r="248" spans="1:25" ht="12.9" thickBot="1" x14ac:dyDescent="0.5">
      <c r="A248" s="127"/>
      <c r="B248" s="129"/>
      <c r="C248" s="129"/>
      <c r="D248" s="131"/>
      <c r="E248" s="47" t="s">
        <v>33</v>
      </c>
      <c r="F248" s="67">
        <v>0.25</v>
      </c>
      <c r="G248" s="39">
        <f>SUM(G260:G277)</f>
        <v>44</v>
      </c>
      <c r="H248" s="41">
        <f>SUM(H260:H277)</f>
        <v>78</v>
      </c>
      <c r="I248" s="39">
        <f>SUM(I260:I277)</f>
        <v>0</v>
      </c>
      <c r="J248" s="39">
        <f>SUM(J260:J277)</f>
        <v>0</v>
      </c>
      <c r="K248" s="39">
        <f t="shared" ref="K248:U248" si="33">SUM(K260:K277)</f>
        <v>0</v>
      </c>
      <c r="L248" s="39">
        <f t="shared" si="33"/>
        <v>0</v>
      </c>
      <c r="M248" s="39">
        <f t="shared" si="33"/>
        <v>2</v>
      </c>
      <c r="N248" s="39">
        <f t="shared" si="33"/>
        <v>0</v>
      </c>
      <c r="O248" s="39">
        <f t="shared" si="33"/>
        <v>6.3</v>
      </c>
      <c r="P248" s="39">
        <f t="shared" si="33"/>
        <v>7</v>
      </c>
      <c r="Q248" s="39">
        <f t="shared" si="33"/>
        <v>0</v>
      </c>
      <c r="R248" s="39">
        <f t="shared" si="33"/>
        <v>122</v>
      </c>
      <c r="S248" s="39">
        <f t="shared" si="33"/>
        <v>39.6</v>
      </c>
      <c r="T248" s="39">
        <f t="shared" si="33"/>
        <v>0</v>
      </c>
      <c r="U248" s="39">
        <f t="shared" si="33"/>
        <v>0</v>
      </c>
      <c r="V248" s="39">
        <f>SUM(V260:V277)</f>
        <v>298.90000000000003</v>
      </c>
      <c r="W248" s="133"/>
      <c r="Y248" s="38"/>
    </row>
    <row r="249" spans="1:25" ht="37.799999999999997" outlineLevel="1" x14ac:dyDescent="0.45">
      <c r="A249" s="34" t="s">
        <v>224</v>
      </c>
      <c r="B249" s="42" t="s">
        <v>110</v>
      </c>
      <c r="C249" s="34">
        <v>3</v>
      </c>
      <c r="G249" s="34">
        <v>6</v>
      </c>
      <c r="H249" s="34">
        <v>4</v>
      </c>
      <c r="O249" s="34">
        <v>4.9000000000000004</v>
      </c>
      <c r="V249" s="34">
        <f t="shared" ref="V249:V258" si="34">SUM(G249:U249)</f>
        <v>14.9</v>
      </c>
    </row>
    <row r="250" spans="1:25" outlineLevel="1" x14ac:dyDescent="0.45">
      <c r="V250" s="34">
        <f t="shared" si="34"/>
        <v>0</v>
      </c>
    </row>
    <row r="251" spans="1:25" outlineLevel="1" x14ac:dyDescent="0.45">
      <c r="V251" s="34">
        <f t="shared" si="34"/>
        <v>0</v>
      </c>
    </row>
    <row r="252" spans="1:25" outlineLevel="1" x14ac:dyDescent="0.45">
      <c r="V252" s="34">
        <f t="shared" si="34"/>
        <v>0</v>
      </c>
    </row>
    <row r="253" spans="1:25" outlineLevel="1" x14ac:dyDescent="0.45">
      <c r="V253" s="34">
        <f t="shared" si="34"/>
        <v>0</v>
      </c>
    </row>
    <row r="254" spans="1:25" outlineLevel="1" x14ac:dyDescent="0.45">
      <c r="V254" s="34">
        <f t="shared" si="34"/>
        <v>0</v>
      </c>
    </row>
    <row r="255" spans="1:25" outlineLevel="1" x14ac:dyDescent="0.45">
      <c r="V255" s="34">
        <f t="shared" si="34"/>
        <v>0</v>
      </c>
    </row>
    <row r="256" spans="1:25" outlineLevel="1" x14ac:dyDescent="0.45">
      <c r="V256" s="34">
        <f t="shared" si="34"/>
        <v>0</v>
      </c>
    </row>
    <row r="257" spans="1:24" outlineLevel="1" x14ac:dyDescent="0.45">
      <c r="V257" s="34">
        <f t="shared" si="34"/>
        <v>0</v>
      </c>
    </row>
    <row r="258" spans="1:24" outlineLevel="1" x14ac:dyDescent="0.45">
      <c r="V258" s="34">
        <f t="shared" si="34"/>
        <v>0</v>
      </c>
    </row>
    <row r="259" spans="1:24" outlineLevel="1" x14ac:dyDescent="0.45">
      <c r="B259" s="136" t="s">
        <v>29</v>
      </c>
      <c r="C259" s="136"/>
      <c r="D259" s="136"/>
      <c r="E259" s="136"/>
      <c r="F259" s="136"/>
      <c r="G259" s="136"/>
      <c r="H259" s="136"/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  <c r="U259" s="136"/>
      <c r="V259" s="103"/>
    </row>
    <row r="260" spans="1:24" ht="37.799999999999997" outlineLevel="1" x14ac:dyDescent="0.45">
      <c r="A260" s="34" t="s">
        <v>223</v>
      </c>
      <c r="B260" s="42" t="s">
        <v>92</v>
      </c>
      <c r="C260" s="34">
        <v>3</v>
      </c>
      <c r="G260" s="34">
        <v>34</v>
      </c>
      <c r="H260" s="34">
        <v>68</v>
      </c>
      <c r="O260" s="34">
        <v>6.3</v>
      </c>
      <c r="V260" s="34">
        <f t="shared" ref="V260:V276" si="35">SUM(G260:U260)</f>
        <v>108.3</v>
      </c>
      <c r="X260" s="38"/>
    </row>
    <row r="261" spans="1:24" outlineLevel="1" x14ac:dyDescent="0.45">
      <c r="A261" t="s">
        <v>223</v>
      </c>
      <c r="B261" t="s">
        <v>83</v>
      </c>
      <c r="C261">
        <v>3</v>
      </c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>
        <v>74</v>
      </c>
      <c r="S261"/>
      <c r="T261"/>
      <c r="U261"/>
      <c r="V261" s="34">
        <f t="shared" si="35"/>
        <v>74</v>
      </c>
    </row>
    <row r="262" spans="1:24" outlineLevel="1" x14ac:dyDescent="0.45">
      <c r="A262" t="s">
        <v>224</v>
      </c>
      <c r="B262" t="s">
        <v>110</v>
      </c>
      <c r="C262">
        <v>3</v>
      </c>
      <c r="D262"/>
      <c r="E262"/>
      <c r="F262"/>
      <c r="G262">
        <v>10</v>
      </c>
      <c r="H262">
        <v>10</v>
      </c>
      <c r="I262"/>
      <c r="J262"/>
      <c r="K262"/>
      <c r="L262"/>
      <c r="M262">
        <v>2</v>
      </c>
      <c r="N262"/>
      <c r="O262"/>
      <c r="P262">
        <v>7</v>
      </c>
      <c r="Q262"/>
      <c r="R262"/>
      <c r="S262"/>
      <c r="T262"/>
      <c r="U262"/>
      <c r="V262" s="34">
        <f t="shared" si="35"/>
        <v>29</v>
      </c>
      <c r="X262" s="38"/>
    </row>
    <row r="263" spans="1:24" ht="25.2" outlineLevel="1" x14ac:dyDescent="0.45">
      <c r="A263" s="34" t="s">
        <v>224</v>
      </c>
      <c r="B263" s="42" t="s">
        <v>120</v>
      </c>
      <c r="C263" s="34">
        <v>4</v>
      </c>
      <c r="R263" s="34">
        <v>48</v>
      </c>
      <c r="V263" s="34">
        <f t="shared" si="35"/>
        <v>48</v>
      </c>
      <c r="X263" s="38"/>
    </row>
    <row r="264" spans="1:24" ht="25.2" outlineLevel="1" x14ac:dyDescent="0.45">
      <c r="A264" s="34" t="s">
        <v>224</v>
      </c>
      <c r="B264" s="42" t="s">
        <v>122</v>
      </c>
      <c r="C264" s="34">
        <v>5</v>
      </c>
      <c r="S264" s="34">
        <v>39.6</v>
      </c>
      <c r="V264" s="34">
        <f t="shared" si="35"/>
        <v>39.6</v>
      </c>
      <c r="X264" s="38"/>
    </row>
    <row r="265" spans="1:24" outlineLevel="1" x14ac:dyDescent="0.45">
      <c r="V265" s="34">
        <f t="shared" si="35"/>
        <v>0</v>
      </c>
    </row>
    <row r="266" spans="1:24" outlineLevel="1" x14ac:dyDescent="0.45">
      <c r="H266" s="37"/>
      <c r="N266" s="38"/>
      <c r="V266" s="34">
        <f t="shared" si="35"/>
        <v>0</v>
      </c>
    </row>
    <row r="267" spans="1:24" outlineLevel="1" x14ac:dyDescent="0.45">
      <c r="H267" s="37"/>
      <c r="N267" s="38"/>
      <c r="V267" s="34">
        <f t="shared" si="35"/>
        <v>0</v>
      </c>
    </row>
    <row r="268" spans="1:24" outlineLevel="1" x14ac:dyDescent="0.45">
      <c r="H268" s="37"/>
      <c r="N268" s="38"/>
      <c r="V268" s="34">
        <f t="shared" si="35"/>
        <v>0</v>
      </c>
    </row>
    <row r="269" spans="1:24" outlineLevel="1" x14ac:dyDescent="0.45">
      <c r="H269" s="37"/>
      <c r="N269" s="38"/>
      <c r="V269" s="34">
        <f t="shared" si="35"/>
        <v>0</v>
      </c>
    </row>
    <row r="270" spans="1:24" outlineLevel="1" x14ac:dyDescent="0.45">
      <c r="H270" s="37"/>
      <c r="N270" s="38"/>
      <c r="V270" s="34">
        <f t="shared" si="35"/>
        <v>0</v>
      </c>
    </row>
    <row r="271" spans="1:24" outlineLevel="1" x14ac:dyDescent="0.45">
      <c r="H271" s="37"/>
      <c r="N271" s="38"/>
      <c r="S271" s="38"/>
      <c r="V271" s="34">
        <f t="shared" si="35"/>
        <v>0</v>
      </c>
    </row>
    <row r="272" spans="1:24" outlineLevel="1" x14ac:dyDescent="0.45">
      <c r="H272" s="37"/>
      <c r="N272" s="38"/>
      <c r="S272" s="38"/>
      <c r="V272" s="34">
        <f t="shared" si="35"/>
        <v>0</v>
      </c>
    </row>
    <row r="273" spans="1:25" outlineLevel="1" x14ac:dyDescent="0.45">
      <c r="H273" s="37"/>
      <c r="N273" s="38"/>
      <c r="S273" s="38"/>
      <c r="V273" s="34">
        <f t="shared" si="35"/>
        <v>0</v>
      </c>
    </row>
    <row r="274" spans="1:25" outlineLevel="1" x14ac:dyDescent="0.45">
      <c r="H274" s="37"/>
      <c r="N274" s="38"/>
      <c r="S274" s="38"/>
      <c r="V274" s="34">
        <f t="shared" si="35"/>
        <v>0</v>
      </c>
    </row>
    <row r="275" spans="1:25" outlineLevel="1" x14ac:dyDescent="0.45">
      <c r="H275" s="37"/>
      <c r="N275" s="38"/>
      <c r="S275" s="38"/>
      <c r="V275" s="34">
        <f t="shared" si="35"/>
        <v>0</v>
      </c>
    </row>
    <row r="276" spans="1:25" outlineLevel="1" x14ac:dyDescent="0.45">
      <c r="H276" s="37"/>
      <c r="N276" s="38"/>
      <c r="S276" s="38"/>
      <c r="V276" s="34">
        <f t="shared" si="35"/>
        <v>0</v>
      </c>
    </row>
    <row r="277" spans="1:25" ht="12.9" outlineLevel="1" thickBot="1" x14ac:dyDescent="0.5"/>
    <row r="278" spans="1:25" ht="12.75" customHeight="1" x14ac:dyDescent="0.45">
      <c r="A278" s="126">
        <v>9</v>
      </c>
      <c r="B278" s="128" t="s">
        <v>205</v>
      </c>
      <c r="C278" s="128" t="s">
        <v>32</v>
      </c>
      <c r="D278" s="130" t="s">
        <v>12</v>
      </c>
      <c r="E278" s="46"/>
      <c r="F278" s="66"/>
      <c r="G278" s="36">
        <f t="shared" ref="G278:U278" si="36">SUM(G280:G290)</f>
        <v>64</v>
      </c>
      <c r="H278" s="36">
        <f t="shared" si="36"/>
        <v>128</v>
      </c>
      <c r="I278" s="36">
        <f t="shared" si="36"/>
        <v>0</v>
      </c>
      <c r="J278" s="36">
        <f t="shared" si="36"/>
        <v>0</v>
      </c>
      <c r="K278" s="36">
        <f t="shared" si="36"/>
        <v>4</v>
      </c>
      <c r="L278" s="36">
        <f t="shared" si="36"/>
        <v>0</v>
      </c>
      <c r="M278" s="36">
        <f t="shared" si="36"/>
        <v>8</v>
      </c>
      <c r="N278" s="36">
        <f t="shared" si="36"/>
        <v>21</v>
      </c>
      <c r="O278" s="36">
        <f t="shared" si="36"/>
        <v>0</v>
      </c>
      <c r="P278" s="36">
        <f t="shared" si="36"/>
        <v>37.5</v>
      </c>
      <c r="Q278" s="36">
        <f t="shared" si="36"/>
        <v>0</v>
      </c>
      <c r="R278" s="36">
        <f t="shared" si="36"/>
        <v>0</v>
      </c>
      <c r="S278" s="36">
        <f t="shared" si="36"/>
        <v>0</v>
      </c>
      <c r="T278" s="36">
        <f t="shared" si="36"/>
        <v>0</v>
      </c>
      <c r="U278" s="36">
        <f t="shared" si="36"/>
        <v>0</v>
      </c>
      <c r="V278" s="36">
        <f>SUM(V280:V290)</f>
        <v>262.5</v>
      </c>
      <c r="W278" s="132">
        <f>V278+V279</f>
        <v>788.5</v>
      </c>
    </row>
    <row r="279" spans="1:25" ht="12.9" thickBot="1" x14ac:dyDescent="0.5">
      <c r="A279" s="127"/>
      <c r="B279" s="129"/>
      <c r="C279" s="129"/>
      <c r="D279" s="131"/>
      <c r="E279" s="47" t="s">
        <v>33</v>
      </c>
      <c r="F279" s="67">
        <v>0.75</v>
      </c>
      <c r="G279" s="39">
        <f>SUM(G291:G308)</f>
        <v>106</v>
      </c>
      <c r="H279" s="41">
        <f>SUM(H291:H308)</f>
        <v>180</v>
      </c>
      <c r="I279" s="39">
        <f>SUM(I291:I308)</f>
        <v>0</v>
      </c>
      <c r="J279" s="39">
        <f>SUM(J291:J308)</f>
        <v>0</v>
      </c>
      <c r="K279" s="39">
        <f t="shared" ref="K279:U279" si="37">SUM(K291:K308)</f>
        <v>8</v>
      </c>
      <c r="L279" s="39">
        <f t="shared" si="37"/>
        <v>0</v>
      </c>
      <c r="M279" s="39">
        <f t="shared" si="37"/>
        <v>16</v>
      </c>
      <c r="N279" s="39">
        <f t="shared" si="37"/>
        <v>41</v>
      </c>
      <c r="O279" s="39">
        <f t="shared" si="37"/>
        <v>0</v>
      </c>
      <c r="P279" s="39">
        <f t="shared" si="37"/>
        <v>76</v>
      </c>
      <c r="Q279" s="39">
        <f t="shared" si="37"/>
        <v>0</v>
      </c>
      <c r="R279" s="39">
        <f t="shared" si="37"/>
        <v>0</v>
      </c>
      <c r="S279" s="39">
        <f t="shared" si="37"/>
        <v>99</v>
      </c>
      <c r="T279" s="39">
        <f t="shared" si="37"/>
        <v>0</v>
      </c>
      <c r="U279" s="39">
        <f t="shared" si="37"/>
        <v>0</v>
      </c>
      <c r="V279" s="39">
        <f>SUM(V291:V308)</f>
        <v>526</v>
      </c>
      <c r="W279" s="133"/>
      <c r="Y279" s="38"/>
    </row>
    <row r="280" spans="1:25" ht="37.799999999999997" outlineLevel="1" x14ac:dyDescent="0.45">
      <c r="A280" s="34" t="s">
        <v>223</v>
      </c>
      <c r="B280" s="42" t="s">
        <v>69</v>
      </c>
      <c r="C280" s="34">
        <v>4</v>
      </c>
      <c r="G280" s="34">
        <v>48</v>
      </c>
      <c r="H280" s="34">
        <v>96</v>
      </c>
      <c r="M280" s="34">
        <v>4</v>
      </c>
      <c r="P280" s="34">
        <v>16.5</v>
      </c>
      <c r="V280" s="34">
        <f t="shared" ref="V280:V289" si="38">SUM(G280:U280)</f>
        <v>164.5</v>
      </c>
    </row>
    <row r="281" spans="1:25" ht="25.2" outlineLevel="1" x14ac:dyDescent="0.45">
      <c r="A281" s="34" t="s">
        <v>224</v>
      </c>
      <c r="B281" s="42" t="s">
        <v>102</v>
      </c>
      <c r="C281" s="34">
        <v>5</v>
      </c>
      <c r="G281" s="34">
        <v>8</v>
      </c>
      <c r="H281" s="34">
        <v>16</v>
      </c>
      <c r="K281" s="34">
        <v>2</v>
      </c>
      <c r="M281" s="34">
        <v>2</v>
      </c>
      <c r="N281" s="34">
        <v>12.5</v>
      </c>
      <c r="P281" s="34">
        <v>12.5</v>
      </c>
      <c r="V281" s="34">
        <f t="shared" si="38"/>
        <v>53</v>
      </c>
    </row>
    <row r="282" spans="1:25" ht="37.799999999999997" outlineLevel="1" x14ac:dyDescent="0.45">
      <c r="A282" s="34" t="s">
        <v>224</v>
      </c>
      <c r="B282" s="42" t="s">
        <v>106</v>
      </c>
      <c r="C282" s="34">
        <v>3</v>
      </c>
      <c r="G282" s="34">
        <v>8</v>
      </c>
      <c r="H282" s="34">
        <v>16</v>
      </c>
      <c r="K282" s="34">
        <v>2</v>
      </c>
      <c r="M282" s="34">
        <v>2</v>
      </c>
      <c r="N282" s="34">
        <v>8.5</v>
      </c>
      <c r="P282" s="34">
        <v>8.5</v>
      </c>
      <c r="V282" s="34">
        <f t="shared" si="38"/>
        <v>45</v>
      </c>
    </row>
    <row r="283" spans="1:25" outlineLevel="1" x14ac:dyDescent="0.45">
      <c r="V283" s="34">
        <f t="shared" si="38"/>
        <v>0</v>
      </c>
    </row>
    <row r="284" spans="1:25" outlineLevel="1" x14ac:dyDescent="0.45">
      <c r="V284" s="34">
        <f t="shared" si="38"/>
        <v>0</v>
      </c>
    </row>
    <row r="285" spans="1:25" outlineLevel="1" x14ac:dyDescent="0.45">
      <c r="V285" s="34">
        <f t="shared" si="38"/>
        <v>0</v>
      </c>
    </row>
    <row r="286" spans="1:25" outlineLevel="1" x14ac:dyDescent="0.45">
      <c r="V286" s="34">
        <f t="shared" si="38"/>
        <v>0</v>
      </c>
    </row>
    <row r="287" spans="1:25" outlineLevel="1" x14ac:dyDescent="0.45">
      <c r="V287" s="34">
        <f t="shared" si="38"/>
        <v>0</v>
      </c>
    </row>
    <row r="288" spans="1:25" outlineLevel="1" x14ac:dyDescent="0.45">
      <c r="V288" s="34">
        <f t="shared" si="38"/>
        <v>0</v>
      </c>
    </row>
    <row r="289" spans="1:24" outlineLevel="1" x14ac:dyDescent="0.45">
      <c r="V289" s="34">
        <f t="shared" si="38"/>
        <v>0</v>
      </c>
    </row>
    <row r="290" spans="1:24" outlineLevel="1" x14ac:dyDescent="0.45">
      <c r="B290" s="136" t="s">
        <v>29</v>
      </c>
      <c r="C290" s="136"/>
      <c r="D290" s="136"/>
      <c r="E290" s="136"/>
      <c r="F290" s="136"/>
      <c r="G290" s="136"/>
      <c r="H290" s="136"/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  <c r="U290" s="136"/>
      <c r="V290" s="103"/>
    </row>
    <row r="291" spans="1:24" ht="50.4" outlineLevel="1" x14ac:dyDescent="0.45">
      <c r="A291" s="34" t="s">
        <v>223</v>
      </c>
      <c r="B291" s="42" t="s">
        <v>80</v>
      </c>
      <c r="C291" s="34">
        <v>3</v>
      </c>
      <c r="G291" s="34">
        <v>32</v>
      </c>
      <c r="H291" s="34">
        <v>32</v>
      </c>
      <c r="M291" s="34">
        <v>4</v>
      </c>
      <c r="P291" s="34">
        <v>18.5</v>
      </c>
      <c r="V291" s="34">
        <f t="shared" ref="V291:V307" si="39">SUM(G291:U291)</f>
        <v>86.5</v>
      </c>
      <c r="X291" s="38"/>
    </row>
    <row r="292" spans="1:24" ht="25.2" outlineLevel="1" x14ac:dyDescent="0.45">
      <c r="A292" s="34" t="s">
        <v>224</v>
      </c>
      <c r="B292" s="42" t="s">
        <v>102</v>
      </c>
      <c r="C292" s="34">
        <v>4</v>
      </c>
      <c r="G292" s="34">
        <v>8</v>
      </c>
      <c r="H292" s="34">
        <v>16</v>
      </c>
      <c r="K292" s="34">
        <v>2</v>
      </c>
      <c r="M292" s="34">
        <v>2</v>
      </c>
      <c r="N292" s="34">
        <v>12</v>
      </c>
      <c r="P292" s="34">
        <v>12</v>
      </c>
      <c r="V292" s="34">
        <f t="shared" si="39"/>
        <v>52</v>
      </c>
    </row>
    <row r="293" spans="1:24" ht="50.4" outlineLevel="1" x14ac:dyDescent="0.45">
      <c r="A293" s="34" t="s">
        <v>224</v>
      </c>
      <c r="B293" s="42" t="s">
        <v>130</v>
      </c>
      <c r="C293" s="34">
        <v>3</v>
      </c>
      <c r="G293" s="34">
        <v>8</v>
      </c>
      <c r="H293" s="34">
        <v>16</v>
      </c>
      <c r="K293" s="34">
        <v>2</v>
      </c>
      <c r="M293" s="34">
        <v>2</v>
      </c>
      <c r="N293" s="34">
        <v>8.5</v>
      </c>
      <c r="P293" s="34">
        <v>8.5</v>
      </c>
      <c r="V293" s="34">
        <f t="shared" si="39"/>
        <v>45</v>
      </c>
      <c r="X293" s="38"/>
    </row>
    <row r="294" spans="1:24" ht="37.799999999999997" outlineLevel="1" x14ac:dyDescent="0.45">
      <c r="A294" s="34" t="s">
        <v>224</v>
      </c>
      <c r="B294" s="42" t="s">
        <v>106</v>
      </c>
      <c r="C294" s="34">
        <v>3</v>
      </c>
      <c r="G294" s="34">
        <v>8</v>
      </c>
      <c r="H294" s="34">
        <v>16</v>
      </c>
      <c r="K294" s="34">
        <v>2</v>
      </c>
      <c r="M294" s="34">
        <v>2</v>
      </c>
      <c r="N294" s="34">
        <v>8.5</v>
      </c>
      <c r="P294" s="34">
        <v>8.5</v>
      </c>
      <c r="V294" s="34">
        <f t="shared" si="39"/>
        <v>45</v>
      </c>
      <c r="X294" s="38"/>
    </row>
    <row r="295" spans="1:24" ht="50.4" outlineLevel="1" x14ac:dyDescent="0.45">
      <c r="A295" s="34" t="s">
        <v>224</v>
      </c>
      <c r="B295" s="42" t="s">
        <v>119</v>
      </c>
      <c r="C295" s="34">
        <v>4</v>
      </c>
      <c r="G295" s="34">
        <v>8</v>
      </c>
      <c r="H295" s="34">
        <v>16</v>
      </c>
      <c r="K295" s="34">
        <v>2</v>
      </c>
      <c r="M295" s="34">
        <v>2</v>
      </c>
      <c r="N295" s="34">
        <v>12</v>
      </c>
      <c r="P295" s="34">
        <v>12</v>
      </c>
      <c r="V295" s="34">
        <f t="shared" si="39"/>
        <v>52</v>
      </c>
      <c r="X295" s="38"/>
    </row>
    <row r="296" spans="1:24" ht="37.799999999999997" outlineLevel="1" x14ac:dyDescent="0.45">
      <c r="A296" s="34" t="s">
        <v>223</v>
      </c>
      <c r="B296" s="42" t="s">
        <v>69</v>
      </c>
      <c r="C296" s="34">
        <v>4</v>
      </c>
      <c r="G296" s="34">
        <v>42</v>
      </c>
      <c r="H296" s="34">
        <v>84</v>
      </c>
      <c r="M296" s="34">
        <v>4</v>
      </c>
      <c r="P296" s="34">
        <v>16.5</v>
      </c>
      <c r="V296" s="34">
        <f t="shared" si="39"/>
        <v>146.5</v>
      </c>
    </row>
    <row r="297" spans="1:24" ht="25.2" outlineLevel="1" x14ac:dyDescent="0.45">
      <c r="A297" s="34" t="s">
        <v>223</v>
      </c>
      <c r="B297" s="42" t="s">
        <v>85</v>
      </c>
      <c r="C297" s="34">
        <v>4</v>
      </c>
      <c r="H297" s="37"/>
      <c r="N297" s="38"/>
      <c r="S297" s="34">
        <v>39.6</v>
      </c>
      <c r="V297" s="34">
        <f t="shared" si="39"/>
        <v>39.6</v>
      </c>
    </row>
    <row r="298" spans="1:24" ht="25.2" outlineLevel="1" x14ac:dyDescent="0.45">
      <c r="A298" s="34" t="s">
        <v>224</v>
      </c>
      <c r="B298" s="42" t="s">
        <v>133</v>
      </c>
      <c r="C298" s="34">
        <v>4</v>
      </c>
      <c r="H298" s="37"/>
      <c r="N298" s="38"/>
      <c r="S298" s="34">
        <v>39.6</v>
      </c>
      <c r="V298" s="34">
        <f t="shared" si="39"/>
        <v>39.6</v>
      </c>
    </row>
    <row r="299" spans="1:24" ht="25.2" outlineLevel="1" x14ac:dyDescent="0.45">
      <c r="A299" s="34" t="s">
        <v>224</v>
      </c>
      <c r="B299" s="42" t="s">
        <v>122</v>
      </c>
      <c r="C299" s="34">
        <v>5</v>
      </c>
      <c r="H299" s="37"/>
      <c r="N299" s="38"/>
      <c r="S299" s="34">
        <v>19.8</v>
      </c>
      <c r="V299" s="34">
        <f t="shared" si="39"/>
        <v>19.8</v>
      </c>
    </row>
    <row r="300" spans="1:24" outlineLevel="1" x14ac:dyDescent="0.45">
      <c r="H300" s="37"/>
      <c r="N300" s="38"/>
      <c r="V300" s="34">
        <f t="shared" si="39"/>
        <v>0</v>
      </c>
    </row>
    <row r="301" spans="1:24" outlineLevel="1" x14ac:dyDescent="0.45">
      <c r="H301" s="37"/>
      <c r="N301" s="38"/>
      <c r="V301" s="34">
        <f t="shared" si="39"/>
        <v>0</v>
      </c>
    </row>
    <row r="302" spans="1:24" outlineLevel="1" x14ac:dyDescent="0.45">
      <c r="H302" s="37"/>
      <c r="N302" s="38"/>
      <c r="S302" s="38"/>
      <c r="V302" s="34">
        <f t="shared" si="39"/>
        <v>0</v>
      </c>
    </row>
    <row r="303" spans="1:24" outlineLevel="1" x14ac:dyDescent="0.45">
      <c r="H303" s="37"/>
      <c r="N303" s="38"/>
      <c r="S303" s="38"/>
      <c r="V303" s="34">
        <f t="shared" si="39"/>
        <v>0</v>
      </c>
    </row>
    <row r="304" spans="1:24" outlineLevel="1" x14ac:dyDescent="0.45">
      <c r="H304" s="37"/>
      <c r="N304" s="38"/>
      <c r="S304" s="38"/>
      <c r="V304" s="34">
        <f t="shared" si="39"/>
        <v>0</v>
      </c>
    </row>
    <row r="305" spans="1:25" outlineLevel="1" x14ac:dyDescent="0.45">
      <c r="H305" s="37"/>
      <c r="N305" s="38"/>
      <c r="S305" s="38"/>
      <c r="V305" s="34">
        <f t="shared" si="39"/>
        <v>0</v>
      </c>
    </row>
    <row r="306" spans="1:25" outlineLevel="1" x14ac:dyDescent="0.45">
      <c r="H306" s="37"/>
      <c r="N306" s="38"/>
      <c r="S306" s="38"/>
      <c r="V306" s="34">
        <f t="shared" si="39"/>
        <v>0</v>
      </c>
    </row>
    <row r="307" spans="1:25" outlineLevel="1" x14ac:dyDescent="0.45">
      <c r="H307" s="37"/>
      <c r="N307" s="38"/>
      <c r="S307" s="38"/>
      <c r="V307" s="34">
        <f t="shared" si="39"/>
        <v>0</v>
      </c>
    </row>
    <row r="308" spans="1:25" ht="12.9" outlineLevel="1" thickBot="1" x14ac:dyDescent="0.5"/>
    <row r="309" spans="1:25" ht="12.75" customHeight="1" x14ac:dyDescent="0.45">
      <c r="A309" s="126">
        <v>10</v>
      </c>
      <c r="B309" s="128" t="s">
        <v>206</v>
      </c>
      <c r="C309" s="128" t="s">
        <v>61</v>
      </c>
      <c r="D309" s="130" t="s">
        <v>12</v>
      </c>
      <c r="E309" s="46"/>
      <c r="F309" s="66"/>
      <c r="G309" s="36">
        <f t="shared" ref="G309:U309" si="40">SUM(G311:G321)</f>
        <v>0</v>
      </c>
      <c r="H309" s="36">
        <f t="shared" si="40"/>
        <v>146</v>
      </c>
      <c r="I309" s="36">
        <f t="shared" si="40"/>
        <v>0</v>
      </c>
      <c r="J309" s="36">
        <f t="shared" si="40"/>
        <v>0</v>
      </c>
      <c r="K309" s="36">
        <f t="shared" si="40"/>
        <v>0</v>
      </c>
      <c r="L309" s="36">
        <f t="shared" si="40"/>
        <v>0</v>
      </c>
      <c r="M309" s="36">
        <f t="shared" si="40"/>
        <v>0</v>
      </c>
      <c r="N309" s="36">
        <f t="shared" si="40"/>
        <v>0</v>
      </c>
      <c r="O309" s="36">
        <f t="shared" si="40"/>
        <v>0</v>
      </c>
      <c r="P309" s="36">
        <f t="shared" si="40"/>
        <v>0</v>
      </c>
      <c r="Q309" s="36">
        <f t="shared" si="40"/>
        <v>0</v>
      </c>
      <c r="R309" s="36">
        <f t="shared" si="40"/>
        <v>0</v>
      </c>
      <c r="S309" s="36">
        <f t="shared" si="40"/>
        <v>0</v>
      </c>
      <c r="T309" s="36">
        <f t="shared" si="40"/>
        <v>0</v>
      </c>
      <c r="U309" s="36">
        <f t="shared" si="40"/>
        <v>0</v>
      </c>
      <c r="V309" s="36">
        <f>SUM(V311:V321)</f>
        <v>146</v>
      </c>
      <c r="W309" s="132">
        <f>V309+V310</f>
        <v>262</v>
      </c>
    </row>
    <row r="310" spans="1:25" ht="12.9" thickBot="1" x14ac:dyDescent="0.5">
      <c r="A310" s="127"/>
      <c r="B310" s="129"/>
      <c r="C310" s="129"/>
      <c r="D310" s="131"/>
      <c r="E310" s="47" t="s">
        <v>33</v>
      </c>
      <c r="F310" s="67">
        <v>0.25</v>
      </c>
      <c r="G310" s="39">
        <f>SUM(G322:G339)</f>
        <v>0</v>
      </c>
      <c r="H310" s="41">
        <f>SUM(H322:H339)</f>
        <v>116</v>
      </c>
      <c r="I310" s="39">
        <f>SUM(I322:I339)</f>
        <v>0</v>
      </c>
      <c r="J310" s="39">
        <f>SUM(J322:J339)</f>
        <v>0</v>
      </c>
      <c r="K310" s="39">
        <f t="shared" ref="K310:U310" si="41">SUM(K322:K339)</f>
        <v>0</v>
      </c>
      <c r="L310" s="39">
        <f t="shared" si="41"/>
        <v>0</v>
      </c>
      <c r="M310" s="39">
        <f t="shared" si="41"/>
        <v>0</v>
      </c>
      <c r="N310" s="39">
        <f t="shared" si="41"/>
        <v>0</v>
      </c>
      <c r="O310" s="39">
        <f t="shared" si="41"/>
        <v>0</v>
      </c>
      <c r="P310" s="39">
        <f t="shared" si="41"/>
        <v>0</v>
      </c>
      <c r="Q310" s="39">
        <f t="shared" si="41"/>
        <v>0</v>
      </c>
      <c r="R310" s="39">
        <f t="shared" si="41"/>
        <v>0</v>
      </c>
      <c r="S310" s="39">
        <f t="shared" si="41"/>
        <v>0</v>
      </c>
      <c r="T310" s="39">
        <f t="shared" si="41"/>
        <v>0</v>
      </c>
      <c r="U310" s="39">
        <f t="shared" si="41"/>
        <v>0</v>
      </c>
      <c r="V310" s="39">
        <f>SUM(V322:V339)</f>
        <v>116</v>
      </c>
      <c r="W310" s="133"/>
      <c r="Y310" s="38"/>
    </row>
    <row r="311" spans="1:25" outlineLevel="1" x14ac:dyDescent="0.45">
      <c r="A311" s="34" t="s">
        <v>223</v>
      </c>
      <c r="B311" s="42" t="s">
        <v>70</v>
      </c>
      <c r="C311" s="34">
        <v>2</v>
      </c>
      <c r="H311" s="34">
        <v>34</v>
      </c>
      <c r="V311" s="34">
        <f t="shared" ref="V311:V320" si="42">SUM(G311:U311)</f>
        <v>34</v>
      </c>
    </row>
    <row r="312" spans="1:25" ht="37.799999999999997" outlineLevel="1" x14ac:dyDescent="0.45">
      <c r="A312" s="34" t="s">
        <v>223</v>
      </c>
      <c r="B312" s="42" t="s">
        <v>67</v>
      </c>
      <c r="C312" s="34">
        <v>4</v>
      </c>
      <c r="H312" s="34">
        <v>96</v>
      </c>
      <c r="V312" s="34">
        <f t="shared" si="42"/>
        <v>96</v>
      </c>
    </row>
    <row r="313" spans="1:25" outlineLevel="1" x14ac:dyDescent="0.45">
      <c r="A313" t="s">
        <v>224</v>
      </c>
      <c r="B313" t="s">
        <v>100</v>
      </c>
      <c r="C313">
        <v>4</v>
      </c>
      <c r="D313"/>
      <c r="E313"/>
      <c r="F313"/>
      <c r="G313"/>
      <c r="H313">
        <v>16</v>
      </c>
      <c r="I313"/>
      <c r="J313"/>
      <c r="K313"/>
      <c r="L313"/>
      <c r="M313"/>
      <c r="N313"/>
      <c r="O313"/>
      <c r="P313"/>
      <c r="Q313"/>
      <c r="R313"/>
      <c r="S313"/>
      <c r="T313"/>
      <c r="U313"/>
      <c r="V313" s="34">
        <f t="shared" si="42"/>
        <v>16</v>
      </c>
    </row>
    <row r="314" spans="1:25" outlineLevel="1" x14ac:dyDescent="0.45">
      <c r="V314" s="34">
        <f t="shared" si="42"/>
        <v>0</v>
      </c>
    </row>
    <row r="315" spans="1:25" outlineLevel="1" x14ac:dyDescent="0.45">
      <c r="V315" s="34">
        <f t="shared" si="42"/>
        <v>0</v>
      </c>
    </row>
    <row r="316" spans="1:25" outlineLevel="1" x14ac:dyDescent="0.45">
      <c r="V316" s="34">
        <f t="shared" si="42"/>
        <v>0</v>
      </c>
    </row>
    <row r="317" spans="1:25" outlineLevel="1" x14ac:dyDescent="0.45">
      <c r="V317" s="34">
        <f t="shared" si="42"/>
        <v>0</v>
      </c>
    </row>
    <row r="318" spans="1:25" outlineLevel="1" x14ac:dyDescent="0.45">
      <c r="V318" s="34">
        <f t="shared" si="42"/>
        <v>0</v>
      </c>
    </row>
    <row r="319" spans="1:25" outlineLevel="1" x14ac:dyDescent="0.45">
      <c r="V319" s="34">
        <f t="shared" si="42"/>
        <v>0</v>
      </c>
    </row>
    <row r="320" spans="1:25" outlineLevel="1" x14ac:dyDescent="0.45">
      <c r="V320" s="34">
        <f t="shared" si="42"/>
        <v>0</v>
      </c>
    </row>
    <row r="321" spans="1:24" outlineLevel="1" x14ac:dyDescent="0.45">
      <c r="B321" s="136" t="s">
        <v>29</v>
      </c>
      <c r="C321" s="136"/>
      <c r="D321" s="136"/>
      <c r="E321" s="136"/>
      <c r="F321" s="136"/>
      <c r="G321" s="136"/>
      <c r="H321" s="136"/>
      <c r="I321" s="136"/>
      <c r="J321" s="136"/>
      <c r="K321" s="136"/>
      <c r="L321" s="136"/>
      <c r="M321" s="136"/>
      <c r="N321" s="136"/>
      <c r="O321" s="136"/>
      <c r="P321" s="136"/>
      <c r="Q321" s="136"/>
      <c r="R321" s="136"/>
      <c r="S321" s="136"/>
      <c r="T321" s="136"/>
      <c r="U321" s="136"/>
      <c r="V321" s="103"/>
    </row>
    <row r="322" spans="1:24" ht="37.799999999999997" outlineLevel="1" x14ac:dyDescent="0.45">
      <c r="A322" s="34" t="s">
        <v>223</v>
      </c>
      <c r="B322" s="42" t="s">
        <v>67</v>
      </c>
      <c r="C322" s="34">
        <v>3</v>
      </c>
      <c r="H322" s="34">
        <v>32</v>
      </c>
      <c r="V322" s="34">
        <f t="shared" ref="V322:V338" si="43">SUM(G322:U322)</f>
        <v>32</v>
      </c>
      <c r="X322" s="38"/>
    </row>
    <row r="323" spans="1:24" outlineLevel="1" x14ac:dyDescent="0.45">
      <c r="A323" t="s">
        <v>224</v>
      </c>
      <c r="B323" t="s">
        <v>131</v>
      </c>
      <c r="C323">
        <v>3</v>
      </c>
      <c r="D323"/>
      <c r="E323"/>
      <c r="F323"/>
      <c r="G323"/>
      <c r="H323">
        <v>16</v>
      </c>
      <c r="I323"/>
      <c r="J323"/>
      <c r="K323"/>
      <c r="L323"/>
      <c r="M323"/>
      <c r="N323"/>
      <c r="O323"/>
      <c r="P323"/>
      <c r="Q323"/>
      <c r="R323"/>
      <c r="S323"/>
      <c r="T323"/>
      <c r="U323"/>
      <c r="V323" s="34">
        <f t="shared" si="43"/>
        <v>16</v>
      </c>
    </row>
    <row r="324" spans="1:24" ht="25.2" outlineLevel="1" x14ac:dyDescent="0.45">
      <c r="A324" s="34" t="s">
        <v>223</v>
      </c>
      <c r="B324" s="42" t="s">
        <v>93</v>
      </c>
      <c r="C324" s="34">
        <v>2</v>
      </c>
      <c r="H324" s="34">
        <v>68</v>
      </c>
      <c r="V324" s="34">
        <f t="shared" si="43"/>
        <v>68</v>
      </c>
      <c r="X324" s="38"/>
    </row>
    <row r="325" spans="1:24" outlineLevel="1" x14ac:dyDescent="0.4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 s="34">
        <f t="shared" si="43"/>
        <v>0</v>
      </c>
      <c r="X325" s="38"/>
    </row>
    <row r="326" spans="1:24" outlineLevel="1" x14ac:dyDescent="0.45">
      <c r="V326" s="34">
        <f t="shared" si="43"/>
        <v>0</v>
      </c>
      <c r="X326" s="38"/>
    </row>
    <row r="327" spans="1:24" outlineLevel="1" x14ac:dyDescent="0.45">
      <c r="V327" s="34">
        <f t="shared" si="43"/>
        <v>0</v>
      </c>
    </row>
    <row r="328" spans="1:24" outlineLevel="1" x14ac:dyDescent="0.45">
      <c r="H328" s="37"/>
      <c r="N328" s="38"/>
      <c r="V328" s="34">
        <f t="shared" si="43"/>
        <v>0</v>
      </c>
    </row>
    <row r="329" spans="1:24" outlineLevel="1" x14ac:dyDescent="0.45">
      <c r="H329" s="37"/>
      <c r="N329" s="38"/>
      <c r="V329" s="34">
        <f t="shared" si="43"/>
        <v>0</v>
      </c>
    </row>
    <row r="330" spans="1:24" outlineLevel="1" x14ac:dyDescent="0.45">
      <c r="H330" s="37"/>
      <c r="N330" s="38"/>
      <c r="V330" s="34">
        <f t="shared" si="43"/>
        <v>0</v>
      </c>
    </row>
    <row r="331" spans="1:24" outlineLevel="1" x14ac:dyDescent="0.45">
      <c r="H331" s="37"/>
      <c r="N331" s="38"/>
      <c r="V331" s="34">
        <f t="shared" si="43"/>
        <v>0</v>
      </c>
    </row>
    <row r="332" spans="1:24" outlineLevel="1" x14ac:dyDescent="0.45">
      <c r="H332" s="37"/>
      <c r="N332" s="38"/>
      <c r="V332" s="34">
        <f t="shared" si="43"/>
        <v>0</v>
      </c>
    </row>
    <row r="333" spans="1:24" outlineLevel="1" x14ac:dyDescent="0.45">
      <c r="H333" s="37"/>
      <c r="N333" s="38"/>
      <c r="S333" s="38"/>
      <c r="V333" s="34">
        <f t="shared" si="43"/>
        <v>0</v>
      </c>
    </row>
    <row r="334" spans="1:24" outlineLevel="1" x14ac:dyDescent="0.45">
      <c r="H334" s="37"/>
      <c r="N334" s="38"/>
      <c r="S334" s="38"/>
      <c r="V334" s="34">
        <f t="shared" si="43"/>
        <v>0</v>
      </c>
    </row>
    <row r="335" spans="1:24" outlineLevel="1" x14ac:dyDescent="0.45">
      <c r="H335" s="37"/>
      <c r="N335" s="38"/>
      <c r="S335" s="38"/>
      <c r="V335" s="34">
        <f t="shared" si="43"/>
        <v>0</v>
      </c>
    </row>
    <row r="336" spans="1:24" outlineLevel="1" x14ac:dyDescent="0.45">
      <c r="H336" s="37"/>
      <c r="N336" s="38"/>
      <c r="S336" s="38"/>
      <c r="V336" s="34">
        <f t="shared" si="43"/>
        <v>0</v>
      </c>
    </row>
    <row r="337" spans="1:25" outlineLevel="1" x14ac:dyDescent="0.45">
      <c r="H337" s="37"/>
      <c r="N337" s="38"/>
      <c r="S337" s="38"/>
      <c r="V337" s="34">
        <f t="shared" si="43"/>
        <v>0</v>
      </c>
    </row>
    <row r="338" spans="1:25" outlineLevel="1" x14ac:dyDescent="0.45">
      <c r="H338" s="37"/>
      <c r="N338" s="38"/>
      <c r="S338" s="38"/>
      <c r="V338" s="34">
        <f t="shared" si="43"/>
        <v>0</v>
      </c>
    </row>
    <row r="339" spans="1:25" ht="12.9" outlineLevel="1" thickBot="1" x14ac:dyDescent="0.5"/>
    <row r="340" spans="1:25" ht="12.75" customHeight="1" x14ac:dyDescent="0.45">
      <c r="A340" s="126">
        <v>11</v>
      </c>
      <c r="B340" s="128" t="s">
        <v>216</v>
      </c>
      <c r="C340" s="128" t="s">
        <v>32</v>
      </c>
      <c r="D340" s="130" t="s">
        <v>12</v>
      </c>
      <c r="E340" s="46" t="s">
        <v>15</v>
      </c>
      <c r="F340" s="66">
        <v>0.5</v>
      </c>
      <c r="G340" s="36">
        <f t="shared" ref="G340:U340" si="44">SUM(G342:G352)</f>
        <v>40</v>
      </c>
      <c r="H340" s="36">
        <f t="shared" si="44"/>
        <v>140</v>
      </c>
      <c r="I340" s="36">
        <f t="shared" si="44"/>
        <v>0</v>
      </c>
      <c r="J340" s="36">
        <f t="shared" si="44"/>
        <v>0</v>
      </c>
      <c r="K340" s="36">
        <f t="shared" si="44"/>
        <v>2</v>
      </c>
      <c r="L340" s="36">
        <f t="shared" si="44"/>
        <v>0</v>
      </c>
      <c r="M340" s="36">
        <f t="shared" si="44"/>
        <v>4</v>
      </c>
      <c r="N340" s="36">
        <f t="shared" si="44"/>
        <v>7</v>
      </c>
      <c r="O340" s="36">
        <f t="shared" si="44"/>
        <v>0</v>
      </c>
      <c r="P340" s="36">
        <f t="shared" si="44"/>
        <v>17.5</v>
      </c>
      <c r="Q340" s="36">
        <f t="shared" si="44"/>
        <v>0</v>
      </c>
      <c r="R340" s="36">
        <f t="shared" si="44"/>
        <v>0</v>
      </c>
      <c r="S340" s="36">
        <f t="shared" si="44"/>
        <v>0</v>
      </c>
      <c r="T340" s="36">
        <f t="shared" si="44"/>
        <v>0</v>
      </c>
      <c r="U340" s="36">
        <f t="shared" si="44"/>
        <v>0</v>
      </c>
      <c r="V340" s="36">
        <f>SUM(V342:V352)</f>
        <v>210.5</v>
      </c>
      <c r="W340" s="132">
        <f>V340+V341</f>
        <v>527.90000000000009</v>
      </c>
    </row>
    <row r="341" spans="1:25" ht="12.9" thickBot="1" x14ac:dyDescent="0.5">
      <c r="A341" s="127"/>
      <c r="B341" s="129"/>
      <c r="C341" s="129"/>
      <c r="D341" s="131"/>
      <c r="E341" s="47"/>
      <c r="F341" s="67"/>
      <c r="G341" s="39">
        <f>SUM(G353:G370)</f>
        <v>40</v>
      </c>
      <c r="H341" s="41">
        <f>SUM(H353:H370)</f>
        <v>138</v>
      </c>
      <c r="I341" s="39">
        <f>SUM(I353:I370)</f>
        <v>0</v>
      </c>
      <c r="J341" s="39">
        <f>SUM(J353:J370)</f>
        <v>0</v>
      </c>
      <c r="K341" s="39">
        <f t="shared" ref="K341:U341" si="45">SUM(K353:K370)</f>
        <v>2</v>
      </c>
      <c r="L341" s="39">
        <f t="shared" si="45"/>
        <v>54</v>
      </c>
      <c r="M341" s="39">
        <f t="shared" si="45"/>
        <v>4</v>
      </c>
      <c r="N341" s="39">
        <f t="shared" si="45"/>
        <v>5.5</v>
      </c>
      <c r="O341" s="39">
        <f t="shared" si="45"/>
        <v>0</v>
      </c>
      <c r="P341" s="39">
        <f t="shared" si="45"/>
        <v>14.5</v>
      </c>
      <c r="Q341" s="39">
        <f t="shared" si="45"/>
        <v>0</v>
      </c>
      <c r="R341" s="39">
        <f t="shared" si="45"/>
        <v>0</v>
      </c>
      <c r="S341" s="39">
        <f t="shared" si="45"/>
        <v>59.400000000000006</v>
      </c>
      <c r="T341" s="39">
        <f t="shared" si="45"/>
        <v>0</v>
      </c>
      <c r="U341" s="39">
        <f t="shared" si="45"/>
        <v>0</v>
      </c>
      <c r="V341" s="39">
        <f>SUM(V353:V370)</f>
        <v>317.40000000000003</v>
      </c>
      <c r="W341" s="133"/>
      <c r="Y341" s="38"/>
    </row>
    <row r="342" spans="1:25" ht="25.2" outlineLevel="1" x14ac:dyDescent="0.45">
      <c r="A342" s="34" t="s">
        <v>223</v>
      </c>
      <c r="B342" s="42" t="s">
        <v>73</v>
      </c>
      <c r="C342" s="34">
        <v>3</v>
      </c>
      <c r="H342" s="34">
        <v>68</v>
      </c>
      <c r="V342" s="34">
        <f t="shared" ref="V342:V351" si="46">SUM(G342:U342)</f>
        <v>68</v>
      </c>
    </row>
    <row r="343" spans="1:25" ht="37.799999999999997" outlineLevel="1" x14ac:dyDescent="0.45">
      <c r="A343" s="34" t="s">
        <v>223</v>
      </c>
      <c r="B343" s="42" t="s">
        <v>236</v>
      </c>
      <c r="C343" s="34">
        <v>1</v>
      </c>
      <c r="G343" s="34">
        <v>34</v>
      </c>
      <c r="H343" s="34">
        <v>68</v>
      </c>
      <c r="M343" s="34">
        <v>2</v>
      </c>
      <c r="P343" s="34">
        <v>10.5</v>
      </c>
      <c r="V343" s="34">
        <f t="shared" si="46"/>
        <v>114.5</v>
      </c>
    </row>
    <row r="344" spans="1:25" ht="37.799999999999997" outlineLevel="1" x14ac:dyDescent="0.45">
      <c r="A344" s="34" t="s">
        <v>224</v>
      </c>
      <c r="B344" s="42" t="s">
        <v>237</v>
      </c>
      <c r="C344" s="34">
        <v>1</v>
      </c>
      <c r="G344" s="34">
        <v>6</v>
      </c>
      <c r="H344" s="34">
        <v>4</v>
      </c>
      <c r="K344" s="34">
        <v>2</v>
      </c>
      <c r="M344" s="34">
        <v>2</v>
      </c>
      <c r="N344" s="34">
        <v>7</v>
      </c>
      <c r="P344" s="34">
        <v>7</v>
      </c>
      <c r="V344" s="34">
        <f t="shared" si="46"/>
        <v>28</v>
      </c>
    </row>
    <row r="345" spans="1:25" outlineLevel="1" x14ac:dyDescent="0.45">
      <c r="V345" s="34">
        <f t="shared" si="46"/>
        <v>0</v>
      </c>
    </row>
    <row r="346" spans="1:25" outlineLevel="1" x14ac:dyDescent="0.45">
      <c r="V346" s="34">
        <f t="shared" si="46"/>
        <v>0</v>
      </c>
    </row>
    <row r="347" spans="1:25" outlineLevel="1" x14ac:dyDescent="0.45">
      <c r="V347" s="34">
        <f t="shared" si="46"/>
        <v>0</v>
      </c>
    </row>
    <row r="348" spans="1:25" outlineLevel="1" x14ac:dyDescent="0.45">
      <c r="V348" s="34">
        <f t="shared" si="46"/>
        <v>0</v>
      </c>
    </row>
    <row r="349" spans="1:25" outlineLevel="1" x14ac:dyDescent="0.45">
      <c r="V349" s="34">
        <f t="shared" si="46"/>
        <v>0</v>
      </c>
    </row>
    <row r="350" spans="1:25" outlineLevel="1" x14ac:dyDescent="0.45">
      <c r="V350" s="34">
        <f t="shared" si="46"/>
        <v>0</v>
      </c>
    </row>
    <row r="351" spans="1:25" outlineLevel="1" x14ac:dyDescent="0.45">
      <c r="V351" s="34">
        <f t="shared" si="46"/>
        <v>0</v>
      </c>
    </row>
    <row r="352" spans="1:25" outlineLevel="1" x14ac:dyDescent="0.45">
      <c r="B352" s="136" t="s">
        <v>29</v>
      </c>
      <c r="C352" s="136"/>
      <c r="D352" s="136"/>
      <c r="E352" s="136"/>
      <c r="F352" s="136"/>
      <c r="G352" s="136"/>
      <c r="H352" s="136"/>
      <c r="I352" s="136"/>
      <c r="J352" s="136"/>
      <c r="K352" s="136"/>
      <c r="L352" s="136"/>
      <c r="M352" s="136"/>
      <c r="N352" s="136"/>
      <c r="O352" s="136"/>
      <c r="P352" s="136"/>
      <c r="Q352" s="136"/>
      <c r="R352" s="136"/>
      <c r="S352" s="136"/>
      <c r="T352" s="136"/>
      <c r="U352" s="136"/>
      <c r="V352" s="103"/>
    </row>
    <row r="353" spans="1:24" ht="50.4" outlineLevel="1" x14ac:dyDescent="0.45">
      <c r="A353" s="34" t="s">
        <v>223</v>
      </c>
      <c r="B353" s="42" t="s">
        <v>80</v>
      </c>
      <c r="C353" s="34">
        <v>3</v>
      </c>
      <c r="H353" s="34">
        <v>64</v>
      </c>
      <c r="V353" s="34">
        <f t="shared" ref="V353:V369" si="47">SUM(G353:U353)</f>
        <v>64</v>
      </c>
      <c r="X353" s="38"/>
    </row>
    <row r="354" spans="1:24" ht="25.2" outlineLevel="1" x14ac:dyDescent="0.45">
      <c r="A354" s="34" t="s">
        <v>223</v>
      </c>
      <c r="B354" s="42" t="s">
        <v>94</v>
      </c>
      <c r="C354" s="34">
        <v>3</v>
      </c>
      <c r="G354" s="34">
        <v>34</v>
      </c>
      <c r="H354" s="34">
        <v>68</v>
      </c>
      <c r="L354" s="34">
        <v>54</v>
      </c>
      <c r="M354" s="34">
        <v>2</v>
      </c>
      <c r="P354" s="34">
        <v>9</v>
      </c>
      <c r="V354" s="34">
        <f t="shared" si="47"/>
        <v>167</v>
      </c>
    </row>
    <row r="355" spans="1:24" ht="25.2" outlineLevel="1" x14ac:dyDescent="0.45">
      <c r="A355" s="34" t="s">
        <v>223</v>
      </c>
      <c r="B355" s="42" t="s">
        <v>85</v>
      </c>
      <c r="C355" s="34">
        <v>4</v>
      </c>
      <c r="S355" s="34">
        <v>39.6</v>
      </c>
      <c r="V355" s="34">
        <f t="shared" si="47"/>
        <v>39.6</v>
      </c>
      <c r="X355" s="38"/>
    </row>
    <row r="356" spans="1:24" ht="37.799999999999997" outlineLevel="1" x14ac:dyDescent="0.45">
      <c r="A356" s="34" t="s">
        <v>224</v>
      </c>
      <c r="B356" s="42" t="s">
        <v>140</v>
      </c>
      <c r="C356" s="34">
        <v>3</v>
      </c>
      <c r="G356" s="34">
        <v>6</v>
      </c>
      <c r="H356" s="34">
        <v>6</v>
      </c>
      <c r="K356" s="34">
        <v>2</v>
      </c>
      <c r="M356" s="34">
        <v>2</v>
      </c>
      <c r="N356" s="34">
        <v>5.5</v>
      </c>
      <c r="P356" s="34">
        <v>5.5</v>
      </c>
      <c r="V356" s="34">
        <f t="shared" si="47"/>
        <v>27</v>
      </c>
      <c r="X356" s="38"/>
    </row>
    <row r="357" spans="1:24" ht="25.2" outlineLevel="1" x14ac:dyDescent="0.45">
      <c r="A357" s="34" t="s">
        <v>224</v>
      </c>
      <c r="B357" s="42" t="s">
        <v>122</v>
      </c>
      <c r="C357" s="34">
        <v>5</v>
      </c>
      <c r="S357" s="34">
        <v>19.8</v>
      </c>
      <c r="V357" s="34">
        <f t="shared" si="47"/>
        <v>19.8</v>
      </c>
      <c r="X357" s="38"/>
    </row>
    <row r="358" spans="1:24" outlineLevel="1" x14ac:dyDescent="0.45">
      <c r="V358" s="34">
        <f t="shared" si="47"/>
        <v>0</v>
      </c>
    </row>
    <row r="359" spans="1:24" outlineLevel="1" x14ac:dyDescent="0.45">
      <c r="H359" s="37"/>
      <c r="N359" s="38"/>
      <c r="V359" s="34">
        <f t="shared" si="47"/>
        <v>0</v>
      </c>
    </row>
    <row r="360" spans="1:24" outlineLevel="1" x14ac:dyDescent="0.45">
      <c r="H360" s="37"/>
      <c r="N360" s="38"/>
      <c r="V360" s="34">
        <f t="shared" si="47"/>
        <v>0</v>
      </c>
    </row>
    <row r="361" spans="1:24" outlineLevel="1" x14ac:dyDescent="0.45">
      <c r="H361" s="37"/>
      <c r="N361" s="38"/>
      <c r="V361" s="34">
        <f t="shared" si="47"/>
        <v>0</v>
      </c>
    </row>
    <row r="362" spans="1:24" outlineLevel="1" x14ac:dyDescent="0.45">
      <c r="H362" s="37"/>
      <c r="N362" s="38"/>
      <c r="V362" s="34">
        <f t="shared" si="47"/>
        <v>0</v>
      </c>
    </row>
    <row r="363" spans="1:24" outlineLevel="1" x14ac:dyDescent="0.45">
      <c r="H363" s="37"/>
      <c r="N363" s="38"/>
      <c r="V363" s="34">
        <f t="shared" si="47"/>
        <v>0</v>
      </c>
    </row>
    <row r="364" spans="1:24" outlineLevel="1" x14ac:dyDescent="0.45">
      <c r="H364" s="37"/>
      <c r="N364" s="38"/>
      <c r="S364" s="38"/>
      <c r="V364" s="34">
        <f t="shared" si="47"/>
        <v>0</v>
      </c>
    </row>
    <row r="365" spans="1:24" outlineLevel="1" x14ac:dyDescent="0.45">
      <c r="H365" s="37"/>
      <c r="N365" s="38"/>
      <c r="S365" s="38"/>
      <c r="V365" s="34">
        <f t="shared" si="47"/>
        <v>0</v>
      </c>
    </row>
    <row r="366" spans="1:24" outlineLevel="1" x14ac:dyDescent="0.45">
      <c r="H366" s="37"/>
      <c r="N366" s="38"/>
      <c r="S366" s="38"/>
      <c r="V366" s="34">
        <f t="shared" si="47"/>
        <v>0</v>
      </c>
    </row>
    <row r="367" spans="1:24" outlineLevel="1" x14ac:dyDescent="0.45">
      <c r="H367" s="37"/>
      <c r="N367" s="38"/>
      <c r="S367" s="38"/>
      <c r="V367" s="34">
        <f t="shared" si="47"/>
        <v>0</v>
      </c>
    </row>
    <row r="368" spans="1:24" outlineLevel="1" x14ac:dyDescent="0.45">
      <c r="H368" s="37"/>
      <c r="N368" s="38"/>
      <c r="S368" s="38"/>
      <c r="V368" s="34">
        <f t="shared" si="47"/>
        <v>0</v>
      </c>
    </row>
    <row r="369" spans="1:25" outlineLevel="1" x14ac:dyDescent="0.45">
      <c r="H369" s="37"/>
      <c r="N369" s="38"/>
      <c r="S369" s="38"/>
      <c r="V369" s="34">
        <f t="shared" si="47"/>
        <v>0</v>
      </c>
    </row>
    <row r="370" spans="1:25" ht="12.9" outlineLevel="1" thickBot="1" x14ac:dyDescent="0.5"/>
    <row r="371" spans="1:25" ht="12.75" customHeight="1" x14ac:dyDescent="0.45">
      <c r="A371" s="126">
        <v>12</v>
      </c>
      <c r="B371" s="128" t="s">
        <v>207</v>
      </c>
      <c r="C371" s="128" t="s">
        <v>9</v>
      </c>
      <c r="D371" s="130" t="s">
        <v>34</v>
      </c>
      <c r="E371" s="46" t="s">
        <v>15</v>
      </c>
      <c r="F371" s="66">
        <v>0.25</v>
      </c>
      <c r="G371" s="36">
        <f t="shared" ref="G371:U371" si="48">SUM(G373:G383)</f>
        <v>70</v>
      </c>
      <c r="H371" s="36">
        <f t="shared" si="48"/>
        <v>24</v>
      </c>
      <c r="I371" s="36">
        <f t="shared" si="48"/>
        <v>0</v>
      </c>
      <c r="J371" s="36">
        <f t="shared" si="48"/>
        <v>0</v>
      </c>
      <c r="K371" s="36">
        <f t="shared" si="48"/>
        <v>0</v>
      </c>
      <c r="L371" s="36">
        <f t="shared" si="48"/>
        <v>72</v>
      </c>
      <c r="M371" s="36">
        <f t="shared" si="48"/>
        <v>4</v>
      </c>
      <c r="N371" s="36">
        <f t="shared" si="48"/>
        <v>0</v>
      </c>
      <c r="O371" s="36">
        <f t="shared" si="48"/>
        <v>0</v>
      </c>
      <c r="P371" s="36">
        <f t="shared" si="48"/>
        <v>12</v>
      </c>
      <c r="Q371" s="36">
        <f t="shared" si="48"/>
        <v>0</v>
      </c>
      <c r="R371" s="36">
        <f t="shared" si="48"/>
        <v>0</v>
      </c>
      <c r="S371" s="36">
        <f t="shared" si="48"/>
        <v>0</v>
      </c>
      <c r="T371" s="36">
        <f t="shared" si="48"/>
        <v>0</v>
      </c>
      <c r="U371" s="36">
        <f t="shared" si="48"/>
        <v>0</v>
      </c>
      <c r="V371" s="36">
        <f>SUM(V373:V383)</f>
        <v>182</v>
      </c>
      <c r="W371" s="132">
        <f>V371+V372</f>
        <v>274.8</v>
      </c>
    </row>
    <row r="372" spans="1:25" ht="12.9" thickBot="1" x14ac:dyDescent="0.5">
      <c r="A372" s="127"/>
      <c r="B372" s="129"/>
      <c r="C372" s="129"/>
      <c r="D372" s="131"/>
      <c r="E372" s="47"/>
      <c r="F372" s="67"/>
      <c r="G372" s="39">
        <f>SUM(G384:G401)</f>
        <v>4</v>
      </c>
      <c r="H372" s="41">
        <f>SUM(H384:H401)</f>
        <v>4</v>
      </c>
      <c r="I372" s="39">
        <f>SUM(I384:I401)</f>
        <v>0</v>
      </c>
      <c r="J372" s="39">
        <f>SUM(J384:J401)</f>
        <v>0</v>
      </c>
      <c r="K372" s="39">
        <f t="shared" ref="K372:U372" si="49">SUM(K384:K401)</f>
        <v>0</v>
      </c>
      <c r="L372" s="39">
        <f t="shared" si="49"/>
        <v>56</v>
      </c>
      <c r="M372" s="39">
        <f t="shared" si="49"/>
        <v>2</v>
      </c>
      <c r="N372" s="39">
        <f t="shared" si="49"/>
        <v>0</v>
      </c>
      <c r="O372" s="39">
        <f t="shared" si="49"/>
        <v>0</v>
      </c>
      <c r="P372" s="39">
        <f t="shared" si="49"/>
        <v>7</v>
      </c>
      <c r="Q372" s="39">
        <f t="shared" si="49"/>
        <v>0</v>
      </c>
      <c r="R372" s="39">
        <f t="shared" si="49"/>
        <v>0</v>
      </c>
      <c r="S372" s="39">
        <f t="shared" si="49"/>
        <v>19.8</v>
      </c>
      <c r="T372" s="39">
        <f t="shared" si="49"/>
        <v>0</v>
      </c>
      <c r="U372" s="39">
        <f t="shared" si="49"/>
        <v>0</v>
      </c>
      <c r="V372" s="39">
        <f>SUM(V384:V401)</f>
        <v>92.8</v>
      </c>
      <c r="W372" s="133"/>
      <c r="Y372" s="38"/>
    </row>
    <row r="373" spans="1:25" ht="25.2" outlineLevel="1" x14ac:dyDescent="0.45">
      <c r="A373" s="34" t="s">
        <v>223</v>
      </c>
      <c r="B373" s="42" t="s">
        <v>73</v>
      </c>
      <c r="C373" s="34">
        <v>3</v>
      </c>
      <c r="G373" s="34">
        <v>34</v>
      </c>
      <c r="L373" s="34">
        <v>72</v>
      </c>
      <c r="M373" s="34">
        <v>2</v>
      </c>
      <c r="P373" s="34">
        <v>9</v>
      </c>
      <c r="V373" s="34">
        <f t="shared" ref="V373:V382" si="50">SUM(G373:U373)</f>
        <v>117</v>
      </c>
    </row>
    <row r="374" spans="1:25" outlineLevel="1" x14ac:dyDescent="0.45">
      <c r="A374" t="s">
        <v>225</v>
      </c>
      <c r="B374" t="s">
        <v>147</v>
      </c>
      <c r="C374">
        <v>1</v>
      </c>
      <c r="D374"/>
      <c r="E374"/>
      <c r="F374"/>
      <c r="G374">
        <v>36</v>
      </c>
      <c r="H374">
        <v>24</v>
      </c>
      <c r="I374"/>
      <c r="J374"/>
      <c r="K374"/>
      <c r="L374"/>
      <c r="M374">
        <v>2</v>
      </c>
      <c r="N374"/>
      <c r="O374"/>
      <c r="P374">
        <v>3</v>
      </c>
      <c r="Q374"/>
      <c r="R374"/>
      <c r="S374"/>
      <c r="T374"/>
      <c r="U374"/>
      <c r="V374" s="34">
        <f t="shared" si="50"/>
        <v>65</v>
      </c>
    </row>
    <row r="375" spans="1:25" outlineLevel="1" x14ac:dyDescent="0.45">
      <c r="V375" s="34">
        <f t="shared" si="50"/>
        <v>0</v>
      </c>
    </row>
    <row r="376" spans="1:25" outlineLevel="1" x14ac:dyDescent="0.45">
      <c r="V376" s="34">
        <f t="shared" si="50"/>
        <v>0</v>
      </c>
    </row>
    <row r="377" spans="1:25" outlineLevel="1" x14ac:dyDescent="0.45">
      <c r="V377" s="34">
        <f t="shared" si="50"/>
        <v>0</v>
      </c>
    </row>
    <row r="378" spans="1:25" outlineLevel="1" x14ac:dyDescent="0.45">
      <c r="V378" s="34">
        <f t="shared" si="50"/>
        <v>0</v>
      </c>
    </row>
    <row r="379" spans="1:25" outlineLevel="1" x14ac:dyDescent="0.45">
      <c r="V379" s="34">
        <f t="shared" si="50"/>
        <v>0</v>
      </c>
    </row>
    <row r="380" spans="1:25" outlineLevel="1" x14ac:dyDescent="0.45">
      <c r="V380" s="34">
        <f t="shared" si="50"/>
        <v>0</v>
      </c>
    </row>
    <row r="381" spans="1:25" outlineLevel="1" x14ac:dyDescent="0.45">
      <c r="V381" s="34">
        <f t="shared" si="50"/>
        <v>0</v>
      </c>
    </row>
    <row r="382" spans="1:25" outlineLevel="1" x14ac:dyDescent="0.45">
      <c r="V382" s="34">
        <f t="shared" si="50"/>
        <v>0</v>
      </c>
    </row>
    <row r="383" spans="1:25" outlineLevel="1" x14ac:dyDescent="0.45">
      <c r="B383" s="136" t="s">
        <v>29</v>
      </c>
      <c r="C383" s="136"/>
      <c r="D383" s="136"/>
      <c r="E383" s="136"/>
      <c r="F383" s="136"/>
      <c r="G383" s="136"/>
      <c r="H383" s="136"/>
      <c r="I383" s="136"/>
      <c r="J383" s="136"/>
      <c r="K383" s="136"/>
      <c r="L383" s="136"/>
      <c r="M383" s="136"/>
      <c r="N383" s="136"/>
      <c r="O383" s="136"/>
      <c r="P383" s="136"/>
      <c r="Q383" s="136"/>
      <c r="R383" s="136"/>
      <c r="S383" s="136"/>
      <c r="T383" s="136"/>
      <c r="U383" s="136"/>
      <c r="V383" s="103"/>
    </row>
    <row r="384" spans="1:25" ht="25.2" outlineLevel="1" x14ac:dyDescent="0.45">
      <c r="A384" s="34" t="s">
        <v>224</v>
      </c>
      <c r="B384" s="42" t="s">
        <v>139</v>
      </c>
      <c r="C384" s="34">
        <v>2</v>
      </c>
      <c r="G384" s="34">
        <v>4</v>
      </c>
      <c r="H384" s="34">
        <v>4</v>
      </c>
      <c r="L384" s="34">
        <v>56</v>
      </c>
      <c r="M384" s="34">
        <v>2</v>
      </c>
      <c r="P384" s="34">
        <v>7</v>
      </c>
      <c r="V384" s="34">
        <f t="shared" ref="V384:V400" si="51">SUM(G384:U384)</f>
        <v>73</v>
      </c>
      <c r="X384" s="38"/>
    </row>
    <row r="385" spans="1:24" outlineLevel="1" x14ac:dyDescent="0.45">
      <c r="A385" t="s">
        <v>224</v>
      </c>
      <c r="B385" t="s">
        <v>122</v>
      </c>
      <c r="C385">
        <v>5</v>
      </c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>
        <v>19.8</v>
      </c>
      <c r="T385"/>
      <c r="U385"/>
      <c r="V385" s="34">
        <f t="shared" si="51"/>
        <v>19.8</v>
      </c>
    </row>
    <row r="386" spans="1:24" outlineLevel="1" x14ac:dyDescent="0.4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 s="34">
        <f t="shared" si="51"/>
        <v>0</v>
      </c>
      <c r="X386" s="38"/>
    </row>
    <row r="387" spans="1:24" outlineLevel="1" x14ac:dyDescent="0.45">
      <c r="V387" s="34">
        <f t="shared" si="51"/>
        <v>0</v>
      </c>
      <c r="X387" s="38"/>
    </row>
    <row r="388" spans="1:24" outlineLevel="1" x14ac:dyDescent="0.45">
      <c r="V388" s="34">
        <f t="shared" si="51"/>
        <v>0</v>
      </c>
      <c r="X388" s="38"/>
    </row>
    <row r="389" spans="1:24" outlineLevel="1" x14ac:dyDescent="0.45">
      <c r="V389" s="34">
        <f t="shared" si="51"/>
        <v>0</v>
      </c>
    </row>
    <row r="390" spans="1:24" outlineLevel="1" x14ac:dyDescent="0.45">
      <c r="H390" s="37"/>
      <c r="N390" s="38"/>
      <c r="V390" s="34">
        <f t="shared" si="51"/>
        <v>0</v>
      </c>
    </row>
    <row r="391" spans="1:24" outlineLevel="1" x14ac:dyDescent="0.45">
      <c r="H391" s="37"/>
      <c r="N391" s="38"/>
      <c r="V391" s="34">
        <f t="shared" si="51"/>
        <v>0</v>
      </c>
    </row>
    <row r="392" spans="1:24" outlineLevel="1" x14ac:dyDescent="0.45">
      <c r="H392" s="37"/>
      <c r="N392" s="38"/>
      <c r="V392" s="34">
        <f t="shared" si="51"/>
        <v>0</v>
      </c>
    </row>
    <row r="393" spans="1:24" outlineLevel="1" x14ac:dyDescent="0.45">
      <c r="H393" s="37"/>
      <c r="N393" s="38"/>
      <c r="V393" s="34">
        <f t="shared" si="51"/>
        <v>0</v>
      </c>
    </row>
    <row r="394" spans="1:24" outlineLevel="1" x14ac:dyDescent="0.45">
      <c r="H394" s="37"/>
      <c r="N394" s="38"/>
      <c r="V394" s="34">
        <f t="shared" si="51"/>
        <v>0</v>
      </c>
    </row>
    <row r="395" spans="1:24" outlineLevel="1" x14ac:dyDescent="0.45">
      <c r="H395" s="37"/>
      <c r="N395" s="38"/>
      <c r="S395" s="38"/>
      <c r="V395" s="34">
        <f t="shared" si="51"/>
        <v>0</v>
      </c>
    </row>
    <row r="396" spans="1:24" outlineLevel="1" x14ac:dyDescent="0.45">
      <c r="H396" s="37"/>
      <c r="N396" s="38"/>
      <c r="S396" s="38"/>
      <c r="V396" s="34">
        <f t="shared" si="51"/>
        <v>0</v>
      </c>
    </row>
    <row r="397" spans="1:24" outlineLevel="1" x14ac:dyDescent="0.45">
      <c r="H397" s="37"/>
      <c r="N397" s="38"/>
      <c r="S397" s="38"/>
      <c r="V397" s="34">
        <f t="shared" si="51"/>
        <v>0</v>
      </c>
    </row>
    <row r="398" spans="1:24" outlineLevel="1" x14ac:dyDescent="0.45">
      <c r="H398" s="37"/>
      <c r="N398" s="38"/>
      <c r="S398" s="38"/>
      <c r="V398" s="34">
        <f t="shared" si="51"/>
        <v>0</v>
      </c>
    </row>
    <row r="399" spans="1:24" outlineLevel="1" x14ac:dyDescent="0.45">
      <c r="H399" s="37"/>
      <c r="N399" s="38"/>
      <c r="S399" s="38"/>
      <c r="V399" s="34">
        <f t="shared" si="51"/>
        <v>0</v>
      </c>
    </row>
    <row r="400" spans="1:24" outlineLevel="1" x14ac:dyDescent="0.45">
      <c r="H400" s="37"/>
      <c r="N400" s="38"/>
      <c r="S400" s="38"/>
      <c r="V400" s="34">
        <f t="shared" si="51"/>
        <v>0</v>
      </c>
    </row>
    <row r="401" spans="1:25" ht="12.9" outlineLevel="1" thickBot="1" x14ac:dyDescent="0.5"/>
    <row r="402" spans="1:25" ht="12.75" customHeight="1" x14ac:dyDescent="0.45">
      <c r="A402" s="126">
        <v>13</v>
      </c>
      <c r="B402" s="128" t="s">
        <v>208</v>
      </c>
      <c r="C402" s="128" t="s">
        <v>9</v>
      </c>
      <c r="D402" s="130" t="s">
        <v>34</v>
      </c>
      <c r="E402" s="46" t="s">
        <v>15</v>
      </c>
      <c r="F402" s="66">
        <v>0.25</v>
      </c>
      <c r="G402" s="36">
        <f t="shared" ref="G402:U402" si="52">SUM(G404:G414)</f>
        <v>24</v>
      </c>
      <c r="H402" s="36">
        <f t="shared" si="52"/>
        <v>16</v>
      </c>
      <c r="I402" s="36">
        <f t="shared" si="52"/>
        <v>8</v>
      </c>
      <c r="J402" s="36">
        <f t="shared" si="52"/>
        <v>0</v>
      </c>
      <c r="K402" s="36">
        <f t="shared" si="52"/>
        <v>0</v>
      </c>
      <c r="L402" s="36">
        <f t="shared" si="52"/>
        <v>0</v>
      </c>
      <c r="M402" s="36">
        <f t="shared" si="52"/>
        <v>2</v>
      </c>
      <c r="N402" s="36">
        <f t="shared" si="52"/>
        <v>0</v>
      </c>
      <c r="O402" s="36">
        <f t="shared" si="52"/>
        <v>0</v>
      </c>
      <c r="P402" s="36">
        <f t="shared" si="52"/>
        <v>3</v>
      </c>
      <c r="Q402" s="36">
        <f t="shared" si="52"/>
        <v>0</v>
      </c>
      <c r="R402" s="36">
        <f t="shared" si="52"/>
        <v>0</v>
      </c>
      <c r="S402" s="36">
        <f t="shared" si="52"/>
        <v>0</v>
      </c>
      <c r="T402" s="36">
        <f t="shared" si="52"/>
        <v>0</v>
      </c>
      <c r="U402" s="36">
        <f t="shared" si="52"/>
        <v>0</v>
      </c>
      <c r="V402" s="36">
        <f>SUM(V404:V414)</f>
        <v>53</v>
      </c>
      <c r="W402" s="132">
        <f>V402+V403</f>
        <v>257.10000000000002</v>
      </c>
    </row>
    <row r="403" spans="1:25" ht="12.9" thickBot="1" x14ac:dyDescent="0.5">
      <c r="A403" s="127"/>
      <c r="B403" s="129"/>
      <c r="C403" s="129"/>
      <c r="D403" s="131"/>
      <c r="E403" s="47"/>
      <c r="F403" s="67"/>
      <c r="G403" s="39">
        <f>SUM(G415:G432)</f>
        <v>20</v>
      </c>
      <c r="H403" s="41">
        <f>SUM(H415:H432)</f>
        <v>72</v>
      </c>
      <c r="I403" s="39">
        <f>SUM(I415:I432)</f>
        <v>4</v>
      </c>
      <c r="J403" s="39">
        <f>SUM(J415:J432)</f>
        <v>0</v>
      </c>
      <c r="K403" s="39">
        <f t="shared" ref="K403:U403" si="53">SUM(K415:K432)</f>
        <v>0</v>
      </c>
      <c r="L403" s="39">
        <f t="shared" si="53"/>
        <v>0</v>
      </c>
      <c r="M403" s="39">
        <f t="shared" si="53"/>
        <v>0</v>
      </c>
      <c r="N403" s="39">
        <f t="shared" si="53"/>
        <v>0</v>
      </c>
      <c r="O403" s="39">
        <f t="shared" si="53"/>
        <v>9.1</v>
      </c>
      <c r="P403" s="39">
        <f t="shared" si="53"/>
        <v>0</v>
      </c>
      <c r="Q403" s="39">
        <f t="shared" si="53"/>
        <v>0</v>
      </c>
      <c r="R403" s="39">
        <f t="shared" si="53"/>
        <v>0</v>
      </c>
      <c r="S403" s="39">
        <f t="shared" si="53"/>
        <v>99</v>
      </c>
      <c r="T403" s="39">
        <f t="shared" si="53"/>
        <v>0</v>
      </c>
      <c r="U403" s="39">
        <f t="shared" si="53"/>
        <v>0</v>
      </c>
      <c r="V403" s="39">
        <f>SUM(V415:V432)</f>
        <v>204.10000000000002</v>
      </c>
      <c r="W403" s="133"/>
      <c r="Y403" s="38"/>
    </row>
    <row r="404" spans="1:25" ht="25.2" outlineLevel="1" x14ac:dyDescent="0.45">
      <c r="A404" s="34" t="s">
        <v>225</v>
      </c>
      <c r="B404" s="42" t="s">
        <v>234</v>
      </c>
      <c r="C404" s="34">
        <v>1</v>
      </c>
      <c r="G404" s="34">
        <v>24</v>
      </c>
      <c r="H404" s="34">
        <v>16</v>
      </c>
      <c r="I404" s="34">
        <v>8</v>
      </c>
      <c r="M404" s="34">
        <v>2</v>
      </c>
      <c r="P404" s="34">
        <v>3</v>
      </c>
      <c r="V404" s="34">
        <f t="shared" ref="V404:V413" si="54">SUM(G404:U404)</f>
        <v>53</v>
      </c>
    </row>
    <row r="405" spans="1:25" outlineLevel="1" x14ac:dyDescent="0.4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 s="34">
        <f t="shared" si="54"/>
        <v>0</v>
      </c>
    </row>
    <row r="406" spans="1:25" outlineLevel="1" x14ac:dyDescent="0.4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 s="34">
        <f t="shared" si="54"/>
        <v>0</v>
      </c>
    </row>
    <row r="407" spans="1:25" outlineLevel="1" x14ac:dyDescent="0.45">
      <c r="V407" s="34">
        <f t="shared" si="54"/>
        <v>0</v>
      </c>
    </row>
    <row r="408" spans="1:25" outlineLevel="1" x14ac:dyDescent="0.45">
      <c r="V408" s="34">
        <f t="shared" si="54"/>
        <v>0</v>
      </c>
    </row>
    <row r="409" spans="1:25" outlineLevel="1" x14ac:dyDescent="0.45">
      <c r="V409" s="34">
        <f t="shared" si="54"/>
        <v>0</v>
      </c>
    </row>
    <row r="410" spans="1:25" outlineLevel="1" x14ac:dyDescent="0.45">
      <c r="V410" s="34">
        <f t="shared" si="54"/>
        <v>0</v>
      </c>
    </row>
    <row r="411" spans="1:25" outlineLevel="1" x14ac:dyDescent="0.45">
      <c r="V411" s="34">
        <f t="shared" si="54"/>
        <v>0</v>
      </c>
    </row>
    <row r="412" spans="1:25" outlineLevel="1" x14ac:dyDescent="0.45">
      <c r="V412" s="34">
        <f t="shared" si="54"/>
        <v>0</v>
      </c>
    </row>
    <row r="413" spans="1:25" outlineLevel="1" x14ac:dyDescent="0.45">
      <c r="V413" s="34">
        <f t="shared" si="54"/>
        <v>0</v>
      </c>
    </row>
    <row r="414" spans="1:25" outlineLevel="1" x14ac:dyDescent="0.45">
      <c r="B414" s="136" t="s">
        <v>29</v>
      </c>
      <c r="C414" s="136"/>
      <c r="D414" s="136"/>
      <c r="E414" s="136"/>
      <c r="F414" s="136"/>
      <c r="G414" s="136"/>
      <c r="H414" s="136"/>
      <c r="I414" s="136"/>
      <c r="J414" s="136"/>
      <c r="K414" s="136"/>
      <c r="L414" s="136"/>
      <c r="M414" s="136"/>
      <c r="N414" s="136"/>
      <c r="O414" s="136"/>
      <c r="P414" s="136"/>
      <c r="Q414" s="136"/>
      <c r="R414" s="136"/>
      <c r="S414" s="136"/>
      <c r="T414" s="136"/>
      <c r="U414" s="136"/>
      <c r="V414" s="103"/>
    </row>
    <row r="415" spans="1:25" ht="25.2" outlineLevel="1" x14ac:dyDescent="0.45">
      <c r="A415" t="s">
        <v>226</v>
      </c>
      <c r="B415" s="42" t="s">
        <v>167</v>
      </c>
      <c r="C415">
        <v>2</v>
      </c>
      <c r="D415"/>
      <c r="E415"/>
      <c r="F415"/>
      <c r="G415">
        <v>4</v>
      </c>
      <c r="H415">
        <v>4</v>
      </c>
      <c r="I415">
        <v>4</v>
      </c>
      <c r="J415"/>
      <c r="K415"/>
      <c r="L415"/>
      <c r="M415"/>
      <c r="N415"/>
      <c r="O415">
        <v>1.4</v>
      </c>
      <c r="P415"/>
      <c r="Q415"/>
      <c r="R415"/>
      <c r="S415"/>
      <c r="T415"/>
      <c r="U415"/>
      <c r="V415" s="34">
        <f t="shared" ref="V415:V431" si="55">SUM(G415:U415)</f>
        <v>13.4</v>
      </c>
      <c r="X415" s="38"/>
    </row>
    <row r="416" spans="1:25" outlineLevel="1" x14ac:dyDescent="0.45">
      <c r="A416" s="34" t="s">
        <v>223</v>
      </c>
      <c r="B416" s="42" t="s">
        <v>76</v>
      </c>
      <c r="C416" s="34">
        <v>1</v>
      </c>
      <c r="G416" s="34">
        <v>16</v>
      </c>
      <c r="H416" s="34">
        <v>68</v>
      </c>
      <c r="O416" s="34">
        <v>7.7</v>
      </c>
      <c r="V416" s="34">
        <f t="shared" si="55"/>
        <v>91.7</v>
      </c>
    </row>
    <row r="417" spans="1:24" ht="25.2" outlineLevel="1" x14ac:dyDescent="0.45">
      <c r="A417" s="34" t="s">
        <v>224</v>
      </c>
      <c r="B417" s="42" t="s">
        <v>133</v>
      </c>
      <c r="C417" s="34">
        <v>4</v>
      </c>
      <c r="S417" s="34">
        <v>99</v>
      </c>
      <c r="V417" s="34">
        <f t="shared" si="55"/>
        <v>99</v>
      </c>
      <c r="X417" s="38"/>
    </row>
    <row r="418" spans="1:24" outlineLevel="1" x14ac:dyDescent="0.45">
      <c r="V418" s="34">
        <f t="shared" si="55"/>
        <v>0</v>
      </c>
      <c r="X418" s="38"/>
    </row>
    <row r="419" spans="1:24" outlineLevel="1" x14ac:dyDescent="0.45">
      <c r="V419" s="34">
        <f t="shared" si="55"/>
        <v>0</v>
      </c>
      <c r="X419" s="38"/>
    </row>
    <row r="420" spans="1:24" outlineLevel="1" x14ac:dyDescent="0.45">
      <c r="V420" s="34">
        <f t="shared" si="55"/>
        <v>0</v>
      </c>
    </row>
    <row r="421" spans="1:24" outlineLevel="1" x14ac:dyDescent="0.45">
      <c r="H421" s="37"/>
      <c r="N421" s="38"/>
      <c r="V421" s="34">
        <f t="shared" si="55"/>
        <v>0</v>
      </c>
    </row>
    <row r="422" spans="1:24" outlineLevel="1" x14ac:dyDescent="0.45">
      <c r="H422" s="37"/>
      <c r="N422" s="38"/>
      <c r="V422" s="34">
        <f t="shared" si="55"/>
        <v>0</v>
      </c>
    </row>
    <row r="423" spans="1:24" outlineLevel="1" x14ac:dyDescent="0.45">
      <c r="H423" s="37"/>
      <c r="N423" s="38"/>
      <c r="V423" s="34">
        <f t="shared" si="55"/>
        <v>0</v>
      </c>
    </row>
    <row r="424" spans="1:24" outlineLevel="1" x14ac:dyDescent="0.45">
      <c r="H424" s="37"/>
      <c r="N424" s="38"/>
      <c r="V424" s="34">
        <f t="shared" si="55"/>
        <v>0</v>
      </c>
    </row>
    <row r="425" spans="1:24" outlineLevel="1" x14ac:dyDescent="0.45">
      <c r="H425" s="37"/>
      <c r="N425" s="38"/>
      <c r="V425" s="34">
        <f t="shared" si="55"/>
        <v>0</v>
      </c>
    </row>
    <row r="426" spans="1:24" outlineLevel="1" x14ac:dyDescent="0.45">
      <c r="H426" s="37"/>
      <c r="N426" s="38"/>
      <c r="S426" s="38"/>
      <c r="V426" s="34">
        <f t="shared" si="55"/>
        <v>0</v>
      </c>
    </row>
    <row r="427" spans="1:24" outlineLevel="1" x14ac:dyDescent="0.45">
      <c r="H427" s="37"/>
      <c r="N427" s="38"/>
      <c r="S427" s="38"/>
      <c r="V427" s="34">
        <f t="shared" si="55"/>
        <v>0</v>
      </c>
    </row>
    <row r="428" spans="1:24" outlineLevel="1" x14ac:dyDescent="0.45">
      <c r="H428" s="37"/>
      <c r="N428" s="38"/>
      <c r="S428" s="38"/>
      <c r="V428" s="34">
        <f t="shared" si="55"/>
        <v>0</v>
      </c>
    </row>
    <row r="429" spans="1:24" outlineLevel="1" x14ac:dyDescent="0.45">
      <c r="H429" s="37"/>
      <c r="N429" s="38"/>
      <c r="S429" s="38"/>
      <c r="V429" s="34">
        <f t="shared" si="55"/>
        <v>0</v>
      </c>
    </row>
    <row r="430" spans="1:24" outlineLevel="1" x14ac:dyDescent="0.45">
      <c r="H430" s="37"/>
      <c r="N430" s="38"/>
      <c r="S430" s="38"/>
      <c r="V430" s="34">
        <f t="shared" si="55"/>
        <v>0</v>
      </c>
    </row>
    <row r="431" spans="1:24" outlineLevel="1" x14ac:dyDescent="0.45">
      <c r="H431" s="37"/>
      <c r="N431" s="38"/>
      <c r="S431" s="38"/>
      <c r="V431" s="34">
        <f t="shared" si="55"/>
        <v>0</v>
      </c>
    </row>
    <row r="432" spans="1:24" ht="12.9" outlineLevel="1" thickBot="1" x14ac:dyDescent="0.5"/>
    <row r="433" spans="1:25" ht="12.75" customHeight="1" x14ac:dyDescent="0.45">
      <c r="A433" s="126">
        <v>14</v>
      </c>
      <c r="B433" s="128" t="s">
        <v>209</v>
      </c>
      <c r="C433" s="128" t="s">
        <v>32</v>
      </c>
      <c r="D433" s="130" t="s">
        <v>34</v>
      </c>
      <c r="E433" s="46" t="s">
        <v>15</v>
      </c>
      <c r="F433" s="66">
        <v>0.5</v>
      </c>
      <c r="G433" s="36">
        <f t="shared" ref="G433:U433" si="56">SUM(G435:G445)</f>
        <v>112</v>
      </c>
      <c r="H433" s="36">
        <f t="shared" si="56"/>
        <v>42</v>
      </c>
      <c r="I433" s="36">
        <f t="shared" si="56"/>
        <v>0</v>
      </c>
      <c r="J433" s="36">
        <f t="shared" si="56"/>
        <v>0</v>
      </c>
      <c r="K433" s="36">
        <f t="shared" si="56"/>
        <v>4</v>
      </c>
      <c r="L433" s="36">
        <f t="shared" si="56"/>
        <v>0</v>
      </c>
      <c r="M433" s="36">
        <f t="shared" si="56"/>
        <v>10</v>
      </c>
      <c r="N433" s="36">
        <f t="shared" si="56"/>
        <v>17.5</v>
      </c>
      <c r="O433" s="36">
        <f t="shared" si="56"/>
        <v>0</v>
      </c>
      <c r="P433" s="36">
        <f t="shared" si="56"/>
        <v>43.5</v>
      </c>
      <c r="Q433" s="36">
        <f t="shared" si="56"/>
        <v>0</v>
      </c>
      <c r="R433" s="36">
        <f t="shared" si="56"/>
        <v>0</v>
      </c>
      <c r="S433" s="36">
        <f t="shared" si="56"/>
        <v>0</v>
      </c>
      <c r="T433" s="36">
        <f t="shared" si="56"/>
        <v>0</v>
      </c>
      <c r="U433" s="36">
        <f t="shared" si="56"/>
        <v>0</v>
      </c>
      <c r="V433" s="36">
        <f>SUM(V435:V445)</f>
        <v>229</v>
      </c>
      <c r="W433" s="132">
        <f>V433+V434</f>
        <v>517.6</v>
      </c>
    </row>
    <row r="434" spans="1:25" ht="12.9" thickBot="1" x14ac:dyDescent="0.5">
      <c r="A434" s="127"/>
      <c r="B434" s="129"/>
      <c r="C434" s="129"/>
      <c r="D434" s="131"/>
      <c r="E434" s="47"/>
      <c r="F434" s="67"/>
      <c r="G434" s="39">
        <f>SUM(G446:G463)</f>
        <v>82</v>
      </c>
      <c r="H434" s="41">
        <f>SUM(H446:H463)</f>
        <v>80</v>
      </c>
      <c r="I434" s="39">
        <f>SUM(I446:I463)</f>
        <v>0</v>
      </c>
      <c r="J434" s="39">
        <f>SUM(J446:J463)</f>
        <v>0</v>
      </c>
      <c r="K434" s="39">
        <f t="shared" ref="K434:U434" si="57">SUM(K446:K463)</f>
        <v>4</v>
      </c>
      <c r="L434" s="39">
        <f t="shared" si="57"/>
        <v>0</v>
      </c>
      <c r="M434" s="39">
        <f t="shared" si="57"/>
        <v>10</v>
      </c>
      <c r="N434" s="39">
        <f t="shared" si="57"/>
        <v>20.5</v>
      </c>
      <c r="O434" s="39">
        <f t="shared" si="57"/>
        <v>0</v>
      </c>
      <c r="P434" s="39">
        <f t="shared" si="57"/>
        <v>52.5</v>
      </c>
      <c r="Q434" s="39">
        <f t="shared" si="57"/>
        <v>0</v>
      </c>
      <c r="R434" s="39">
        <f t="shared" si="57"/>
        <v>0</v>
      </c>
      <c r="S434" s="39">
        <f t="shared" si="57"/>
        <v>39.6</v>
      </c>
      <c r="T434" s="39">
        <f t="shared" si="57"/>
        <v>0</v>
      </c>
      <c r="U434" s="39">
        <f t="shared" si="57"/>
        <v>0</v>
      </c>
      <c r="V434" s="39">
        <f>SUM(V446:V463)</f>
        <v>288.60000000000002</v>
      </c>
      <c r="W434" s="133"/>
      <c r="Y434" s="38"/>
    </row>
    <row r="435" spans="1:25" ht="37.799999999999997" outlineLevel="1" x14ac:dyDescent="0.45">
      <c r="A435" s="2" t="s">
        <v>223</v>
      </c>
      <c r="B435" s="82" t="s">
        <v>67</v>
      </c>
      <c r="C435" s="51">
        <v>4</v>
      </c>
      <c r="D435" s="51"/>
      <c r="E435" s="51"/>
      <c r="F435" s="51"/>
      <c r="G435" s="51">
        <v>64</v>
      </c>
      <c r="H435" s="51"/>
      <c r="I435" s="51"/>
      <c r="J435" s="51"/>
      <c r="K435" s="51"/>
      <c r="L435" s="51"/>
      <c r="M435" s="51">
        <v>4</v>
      </c>
      <c r="N435" s="51"/>
      <c r="O435" s="51"/>
      <c r="P435" s="51">
        <v>16.5</v>
      </c>
      <c r="Q435" s="51"/>
      <c r="R435" s="51"/>
      <c r="S435" s="51"/>
      <c r="T435" s="51"/>
      <c r="U435" s="51"/>
      <c r="V435" s="34">
        <f t="shared" ref="V435:V444" si="58">SUM(G435:U435)</f>
        <v>84.5</v>
      </c>
    </row>
    <row r="436" spans="1:25" outlineLevel="1" x14ac:dyDescent="0.45">
      <c r="A436" s="34" t="s">
        <v>223</v>
      </c>
      <c r="B436" s="42" t="s">
        <v>70</v>
      </c>
      <c r="C436" s="34">
        <v>2</v>
      </c>
      <c r="G436" s="34">
        <v>34</v>
      </c>
      <c r="H436" s="34">
        <v>34</v>
      </c>
      <c r="M436" s="34">
        <v>2</v>
      </c>
      <c r="P436" s="34">
        <v>9.5</v>
      </c>
      <c r="V436" s="34">
        <f t="shared" si="58"/>
        <v>79.5</v>
      </c>
    </row>
    <row r="437" spans="1:25" ht="37.799999999999997" outlineLevel="1" x14ac:dyDescent="0.45">
      <c r="A437" s="34" t="s">
        <v>224</v>
      </c>
      <c r="B437" s="42" t="s">
        <v>100</v>
      </c>
      <c r="C437" s="34">
        <v>4</v>
      </c>
      <c r="G437" s="34">
        <v>6</v>
      </c>
      <c r="K437" s="34">
        <v>2</v>
      </c>
      <c r="M437" s="34">
        <v>2</v>
      </c>
      <c r="N437" s="34">
        <v>12</v>
      </c>
      <c r="P437" s="34">
        <v>12</v>
      </c>
      <c r="V437" s="34">
        <f t="shared" si="58"/>
        <v>34</v>
      </c>
    </row>
    <row r="438" spans="1:25" ht="25.2" outlineLevel="1" x14ac:dyDescent="0.45">
      <c r="A438" s="34" t="s">
        <v>224</v>
      </c>
      <c r="B438" s="42" t="s">
        <v>111</v>
      </c>
      <c r="C438" s="34">
        <v>3</v>
      </c>
      <c r="G438" s="34">
        <v>8</v>
      </c>
      <c r="H438" s="34">
        <v>8</v>
      </c>
      <c r="K438" s="34">
        <v>2</v>
      </c>
      <c r="M438" s="34">
        <v>2</v>
      </c>
      <c r="N438" s="34">
        <v>5.5</v>
      </c>
      <c r="P438" s="34">
        <v>5.5</v>
      </c>
      <c r="V438" s="34">
        <f t="shared" si="58"/>
        <v>31</v>
      </c>
    </row>
    <row r="439" spans="1:25" outlineLevel="1" x14ac:dyDescent="0.45">
      <c r="V439" s="34">
        <f t="shared" si="58"/>
        <v>0</v>
      </c>
    </row>
    <row r="440" spans="1:25" outlineLevel="1" x14ac:dyDescent="0.45">
      <c r="V440" s="34">
        <f t="shared" si="58"/>
        <v>0</v>
      </c>
    </row>
    <row r="441" spans="1:25" outlineLevel="1" x14ac:dyDescent="0.45">
      <c r="V441" s="34">
        <f t="shared" si="58"/>
        <v>0</v>
      </c>
    </row>
    <row r="442" spans="1:25" outlineLevel="1" x14ac:dyDescent="0.45">
      <c r="V442" s="34">
        <f t="shared" si="58"/>
        <v>0</v>
      </c>
    </row>
    <row r="443" spans="1:25" outlineLevel="1" x14ac:dyDescent="0.45">
      <c r="V443" s="34">
        <f t="shared" si="58"/>
        <v>0</v>
      </c>
    </row>
    <row r="444" spans="1:25" outlineLevel="1" x14ac:dyDescent="0.45">
      <c r="V444" s="34">
        <f t="shared" si="58"/>
        <v>0</v>
      </c>
    </row>
    <row r="445" spans="1:25" outlineLevel="1" x14ac:dyDescent="0.45">
      <c r="B445" s="136" t="s">
        <v>29</v>
      </c>
      <c r="C445" s="136"/>
      <c r="D445" s="136"/>
      <c r="E445" s="136"/>
      <c r="F445" s="136"/>
      <c r="G445" s="136"/>
      <c r="H445" s="136"/>
      <c r="I445" s="136"/>
      <c r="J445" s="136"/>
      <c r="K445" s="136"/>
      <c r="L445" s="136"/>
      <c r="M445" s="136"/>
      <c r="N445" s="136"/>
      <c r="O445" s="136"/>
      <c r="P445" s="136"/>
      <c r="Q445" s="136"/>
      <c r="R445" s="136"/>
      <c r="S445" s="136"/>
      <c r="T445" s="136"/>
      <c r="U445" s="136"/>
      <c r="V445" s="103"/>
    </row>
    <row r="446" spans="1:25" ht="37.799999999999997" outlineLevel="1" x14ac:dyDescent="0.45">
      <c r="A446" s="34" t="s">
        <v>223</v>
      </c>
      <c r="B446" s="42" t="s">
        <v>67</v>
      </c>
      <c r="C446" s="34">
        <v>3</v>
      </c>
      <c r="G446" s="34">
        <v>32</v>
      </c>
      <c r="H446" s="34">
        <v>64</v>
      </c>
      <c r="M446" s="34">
        <v>4</v>
      </c>
      <c r="P446" s="34">
        <v>18.5</v>
      </c>
      <c r="V446" s="34">
        <f t="shared" ref="V446:V462" si="59">SUM(G446:U446)</f>
        <v>118.5</v>
      </c>
      <c r="X446" s="38"/>
    </row>
    <row r="447" spans="1:25" outlineLevel="1" x14ac:dyDescent="0.45">
      <c r="A447" t="s">
        <v>223</v>
      </c>
      <c r="B447" t="s">
        <v>93</v>
      </c>
      <c r="C447">
        <v>2</v>
      </c>
      <c r="D447"/>
      <c r="E447"/>
      <c r="F447"/>
      <c r="G447">
        <v>34</v>
      </c>
      <c r="H447"/>
      <c r="I447"/>
      <c r="J447"/>
      <c r="K447"/>
      <c r="L447"/>
      <c r="M447">
        <v>2</v>
      </c>
      <c r="N447"/>
      <c r="O447"/>
      <c r="P447">
        <v>13.5</v>
      </c>
      <c r="Q447"/>
      <c r="R447"/>
      <c r="S447"/>
      <c r="T447"/>
      <c r="U447"/>
      <c r="V447" s="34">
        <f t="shared" si="59"/>
        <v>49.5</v>
      </c>
    </row>
    <row r="448" spans="1:25" ht="37.799999999999997" outlineLevel="1" x14ac:dyDescent="0.45">
      <c r="A448" s="34" t="s">
        <v>224</v>
      </c>
      <c r="B448" s="42" t="s">
        <v>131</v>
      </c>
      <c r="C448" s="34">
        <v>3</v>
      </c>
      <c r="G448" s="34">
        <v>8</v>
      </c>
      <c r="K448" s="34">
        <v>2</v>
      </c>
      <c r="M448" s="34">
        <v>2</v>
      </c>
      <c r="N448" s="34">
        <v>8.5</v>
      </c>
      <c r="P448" s="34">
        <v>8.5</v>
      </c>
      <c r="V448" s="34">
        <f t="shared" si="59"/>
        <v>29</v>
      </c>
      <c r="X448" s="38"/>
    </row>
    <row r="449" spans="1:24" ht="25.2" outlineLevel="1" x14ac:dyDescent="0.45">
      <c r="A449" s="34" t="s">
        <v>223</v>
      </c>
      <c r="B449" s="42" t="s">
        <v>85</v>
      </c>
      <c r="C449" s="34">
        <v>4</v>
      </c>
      <c r="S449" s="34">
        <v>19.8</v>
      </c>
      <c r="V449" s="34">
        <f t="shared" si="59"/>
        <v>19.8</v>
      </c>
      <c r="X449" s="38"/>
    </row>
    <row r="450" spans="1:24" ht="37.799999999999997" outlineLevel="1" x14ac:dyDescent="0.45">
      <c r="A450" s="34" t="s">
        <v>224</v>
      </c>
      <c r="B450" s="42" t="s">
        <v>100</v>
      </c>
      <c r="C450" s="34">
        <v>4</v>
      </c>
      <c r="G450" s="34">
        <v>8</v>
      </c>
      <c r="H450" s="34">
        <v>16</v>
      </c>
      <c r="K450" s="34">
        <v>2</v>
      </c>
      <c r="M450" s="34">
        <v>2</v>
      </c>
      <c r="N450" s="34">
        <v>12</v>
      </c>
      <c r="P450" s="34">
        <v>12</v>
      </c>
      <c r="V450" s="34">
        <f t="shared" si="59"/>
        <v>52</v>
      </c>
      <c r="X450" s="38"/>
    </row>
    <row r="451" spans="1:24" ht="25.2" outlineLevel="1" x14ac:dyDescent="0.45">
      <c r="A451" s="34" t="s">
        <v>224</v>
      </c>
      <c r="B451" s="42" t="s">
        <v>122</v>
      </c>
      <c r="C451" s="34">
        <v>5</v>
      </c>
      <c r="S451" s="34">
        <v>19.8</v>
      </c>
      <c r="V451" s="34">
        <f t="shared" si="59"/>
        <v>19.8</v>
      </c>
    </row>
    <row r="452" spans="1:24" outlineLevel="1" x14ac:dyDescent="0.45">
      <c r="H452" s="37"/>
      <c r="N452" s="38"/>
      <c r="V452" s="34">
        <f t="shared" si="59"/>
        <v>0</v>
      </c>
    </row>
    <row r="453" spans="1:24" outlineLevel="1" x14ac:dyDescent="0.45">
      <c r="H453" s="37"/>
      <c r="N453" s="38"/>
      <c r="V453" s="34">
        <f t="shared" si="59"/>
        <v>0</v>
      </c>
    </row>
    <row r="454" spans="1:24" outlineLevel="1" x14ac:dyDescent="0.45">
      <c r="H454" s="37"/>
      <c r="N454" s="38"/>
      <c r="V454" s="34">
        <f t="shared" si="59"/>
        <v>0</v>
      </c>
    </row>
    <row r="455" spans="1:24" outlineLevel="1" x14ac:dyDescent="0.45">
      <c r="H455" s="37"/>
      <c r="N455" s="38"/>
      <c r="V455" s="34">
        <f t="shared" si="59"/>
        <v>0</v>
      </c>
    </row>
    <row r="456" spans="1:24" outlineLevel="1" x14ac:dyDescent="0.45">
      <c r="H456" s="37"/>
      <c r="N456" s="38"/>
      <c r="V456" s="34">
        <f t="shared" si="59"/>
        <v>0</v>
      </c>
    </row>
    <row r="457" spans="1:24" outlineLevel="1" x14ac:dyDescent="0.45">
      <c r="H457" s="37"/>
      <c r="N457" s="38"/>
      <c r="S457" s="38"/>
      <c r="V457" s="34">
        <f t="shared" si="59"/>
        <v>0</v>
      </c>
    </row>
    <row r="458" spans="1:24" outlineLevel="1" x14ac:dyDescent="0.45">
      <c r="H458" s="37"/>
      <c r="N458" s="38"/>
      <c r="S458" s="38"/>
      <c r="V458" s="34">
        <f t="shared" si="59"/>
        <v>0</v>
      </c>
    </row>
    <row r="459" spans="1:24" outlineLevel="1" x14ac:dyDescent="0.45">
      <c r="H459" s="37"/>
      <c r="N459" s="38"/>
      <c r="S459" s="38"/>
      <c r="V459" s="34">
        <f t="shared" si="59"/>
        <v>0</v>
      </c>
    </row>
    <row r="460" spans="1:24" outlineLevel="1" x14ac:dyDescent="0.45">
      <c r="H460" s="37"/>
      <c r="N460" s="38"/>
      <c r="S460" s="38"/>
      <c r="V460" s="34">
        <f t="shared" si="59"/>
        <v>0</v>
      </c>
    </row>
    <row r="461" spans="1:24" outlineLevel="1" x14ac:dyDescent="0.45">
      <c r="H461" s="37"/>
      <c r="N461" s="38"/>
      <c r="S461" s="38"/>
      <c r="V461" s="34">
        <f t="shared" si="59"/>
        <v>0</v>
      </c>
    </row>
    <row r="462" spans="1:24" outlineLevel="1" x14ac:dyDescent="0.45">
      <c r="H462" s="37"/>
      <c r="N462" s="38"/>
      <c r="S462" s="38"/>
      <c r="V462" s="34">
        <f t="shared" si="59"/>
        <v>0</v>
      </c>
    </row>
    <row r="463" spans="1:24" ht="12.9" outlineLevel="1" thickBot="1" x14ac:dyDescent="0.5"/>
    <row r="464" spans="1:24" ht="12.75" customHeight="1" x14ac:dyDescent="0.45">
      <c r="A464" s="126">
        <v>15</v>
      </c>
      <c r="B464" s="128" t="s">
        <v>210</v>
      </c>
      <c r="C464" s="128" t="s">
        <v>9</v>
      </c>
      <c r="D464" s="130" t="s">
        <v>12</v>
      </c>
      <c r="E464" s="46" t="s">
        <v>15</v>
      </c>
      <c r="F464" s="66">
        <v>0.5</v>
      </c>
      <c r="G464" s="36">
        <f t="shared" ref="G464:U464" si="60">SUM(G466:G476)</f>
        <v>64</v>
      </c>
      <c r="H464" s="36">
        <f t="shared" si="60"/>
        <v>30</v>
      </c>
      <c r="I464" s="36">
        <f t="shared" si="60"/>
        <v>16</v>
      </c>
      <c r="J464" s="36">
        <f t="shared" si="60"/>
        <v>0</v>
      </c>
      <c r="K464" s="36">
        <f t="shared" si="60"/>
        <v>0</v>
      </c>
      <c r="L464" s="36">
        <f t="shared" si="60"/>
        <v>0</v>
      </c>
      <c r="M464" s="36">
        <f t="shared" si="60"/>
        <v>4</v>
      </c>
      <c r="N464" s="36">
        <f t="shared" si="60"/>
        <v>0</v>
      </c>
      <c r="O464" s="36">
        <f t="shared" si="60"/>
        <v>6.65</v>
      </c>
      <c r="P464" s="36">
        <f t="shared" si="60"/>
        <v>3.5</v>
      </c>
      <c r="Q464" s="36">
        <f t="shared" si="60"/>
        <v>0</v>
      </c>
      <c r="R464" s="36">
        <f t="shared" si="60"/>
        <v>0</v>
      </c>
      <c r="S464" s="36">
        <f t="shared" si="60"/>
        <v>0</v>
      </c>
      <c r="T464" s="36">
        <f t="shared" si="60"/>
        <v>0</v>
      </c>
      <c r="U464" s="36">
        <f t="shared" si="60"/>
        <v>0</v>
      </c>
      <c r="V464" s="36">
        <f>SUM(V466:V476)</f>
        <v>124.15</v>
      </c>
      <c r="W464" s="132">
        <f>V464+V465</f>
        <v>398.5</v>
      </c>
    </row>
    <row r="465" spans="1:25" ht="12.9" thickBot="1" x14ac:dyDescent="0.5">
      <c r="A465" s="127"/>
      <c r="B465" s="129"/>
      <c r="C465" s="129"/>
      <c r="D465" s="131"/>
      <c r="E465" s="47"/>
      <c r="F465" s="67"/>
      <c r="G465" s="39">
        <f>SUM(G477:G494)</f>
        <v>58</v>
      </c>
      <c r="H465" s="41">
        <f>SUM(H477:H494)</f>
        <v>64</v>
      </c>
      <c r="I465" s="39">
        <f>SUM(I477:I494)</f>
        <v>0</v>
      </c>
      <c r="J465" s="39">
        <f>SUM(J477:J494)</f>
        <v>0</v>
      </c>
      <c r="K465" s="39">
        <f t="shared" ref="K465:U465" si="61">SUM(K477:K494)</f>
        <v>0</v>
      </c>
      <c r="L465" s="39">
        <f t="shared" si="61"/>
        <v>0</v>
      </c>
      <c r="M465" s="39">
        <f t="shared" si="61"/>
        <v>2</v>
      </c>
      <c r="N465" s="39">
        <f t="shared" si="61"/>
        <v>0</v>
      </c>
      <c r="O465" s="39">
        <f t="shared" si="61"/>
        <v>8.75</v>
      </c>
      <c r="P465" s="39">
        <f t="shared" si="61"/>
        <v>3</v>
      </c>
      <c r="Q465" s="39">
        <f t="shared" si="61"/>
        <v>0</v>
      </c>
      <c r="R465" s="39">
        <f t="shared" si="61"/>
        <v>0</v>
      </c>
      <c r="S465" s="39">
        <f t="shared" si="61"/>
        <v>138.6</v>
      </c>
      <c r="T465" s="39">
        <f t="shared" si="61"/>
        <v>0</v>
      </c>
      <c r="U465" s="39">
        <f t="shared" si="61"/>
        <v>0</v>
      </c>
      <c r="V465" s="39">
        <f>SUM(V477:V494)</f>
        <v>274.35000000000002</v>
      </c>
      <c r="W465" s="133"/>
      <c r="Y465" s="38"/>
    </row>
    <row r="466" spans="1:25" ht="25.2" outlineLevel="1" x14ac:dyDescent="0.45">
      <c r="A466" s="34" t="s">
        <v>223</v>
      </c>
      <c r="B466" s="42" t="s">
        <v>72</v>
      </c>
      <c r="C466" s="34">
        <v>2</v>
      </c>
      <c r="G466" s="34">
        <v>34</v>
      </c>
      <c r="I466" s="34">
        <v>16</v>
      </c>
      <c r="O466" s="34">
        <v>6.65</v>
      </c>
      <c r="V466" s="34">
        <f t="shared" ref="V466:V475" si="62">SUM(G466:U466)</f>
        <v>56.65</v>
      </c>
    </row>
    <row r="467" spans="1:25" ht="37.799999999999997" outlineLevel="1" x14ac:dyDescent="0.45">
      <c r="A467" s="34" t="s">
        <v>225</v>
      </c>
      <c r="B467" s="42" t="s">
        <v>148</v>
      </c>
      <c r="C467" s="34">
        <v>2</v>
      </c>
      <c r="G467" s="34">
        <v>24</v>
      </c>
      <c r="H467" s="34">
        <v>24</v>
      </c>
      <c r="M467" s="34">
        <v>2</v>
      </c>
      <c r="P467" s="34">
        <v>1.5</v>
      </c>
      <c r="V467" s="34">
        <f t="shared" si="62"/>
        <v>51.5</v>
      </c>
    </row>
    <row r="468" spans="1:25" ht="50.4" outlineLevel="1" x14ac:dyDescent="0.45">
      <c r="A468" s="34" t="s">
        <v>226</v>
      </c>
      <c r="B468" s="42" t="s">
        <v>163</v>
      </c>
      <c r="C468" s="34">
        <v>2</v>
      </c>
      <c r="G468" s="34">
        <v>6</v>
      </c>
      <c r="H468" s="34">
        <v>6</v>
      </c>
      <c r="M468" s="34">
        <v>2</v>
      </c>
      <c r="P468" s="34">
        <v>2</v>
      </c>
      <c r="V468" s="34">
        <f t="shared" si="62"/>
        <v>16</v>
      </c>
    </row>
    <row r="469" spans="1:25" outlineLevel="1" x14ac:dyDescent="0.45">
      <c r="V469" s="34">
        <f t="shared" si="62"/>
        <v>0</v>
      </c>
    </row>
    <row r="470" spans="1:25" outlineLevel="1" x14ac:dyDescent="0.4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 s="34">
        <f t="shared" si="62"/>
        <v>0</v>
      </c>
    </row>
    <row r="471" spans="1:25" outlineLevel="1" x14ac:dyDescent="0.45">
      <c r="V471" s="34">
        <f t="shared" si="62"/>
        <v>0</v>
      </c>
    </row>
    <row r="472" spans="1:25" outlineLevel="1" x14ac:dyDescent="0.45">
      <c r="V472" s="34">
        <f t="shared" si="62"/>
        <v>0</v>
      </c>
    </row>
    <row r="473" spans="1:25" outlineLevel="1" x14ac:dyDescent="0.45">
      <c r="V473" s="34">
        <f t="shared" si="62"/>
        <v>0</v>
      </c>
    </row>
    <row r="474" spans="1:25" outlineLevel="1" x14ac:dyDescent="0.45">
      <c r="V474" s="34">
        <f t="shared" si="62"/>
        <v>0</v>
      </c>
    </row>
    <row r="475" spans="1:25" outlineLevel="1" x14ac:dyDescent="0.45">
      <c r="V475" s="34">
        <f t="shared" si="62"/>
        <v>0</v>
      </c>
    </row>
    <row r="476" spans="1:25" outlineLevel="1" x14ac:dyDescent="0.45">
      <c r="B476" s="136" t="s">
        <v>29</v>
      </c>
      <c r="C476" s="136"/>
      <c r="D476" s="136"/>
      <c r="E476" s="136"/>
      <c r="F476" s="136"/>
      <c r="G476" s="136"/>
      <c r="H476" s="136"/>
      <c r="I476" s="136"/>
      <c r="J476" s="136"/>
      <c r="K476" s="136"/>
      <c r="L476" s="136"/>
      <c r="M476" s="136"/>
      <c r="N476" s="136"/>
      <c r="O476" s="136"/>
      <c r="P476" s="136"/>
      <c r="Q476" s="136"/>
      <c r="R476" s="136"/>
      <c r="S476" s="136"/>
      <c r="T476" s="136"/>
      <c r="U476" s="136"/>
      <c r="V476" s="103"/>
    </row>
    <row r="477" spans="1:25" ht="25.2" outlineLevel="1" x14ac:dyDescent="0.45">
      <c r="A477" s="34" t="s">
        <v>223</v>
      </c>
      <c r="B477" s="42" t="s">
        <v>79</v>
      </c>
      <c r="C477" s="34">
        <v>1</v>
      </c>
      <c r="G477" s="34">
        <v>34</v>
      </c>
      <c r="H477" s="34">
        <v>32</v>
      </c>
      <c r="O477" s="34">
        <v>8.75</v>
      </c>
      <c r="V477" s="34">
        <f t="shared" ref="V477:V493" si="63">SUM(G477:U477)</f>
        <v>74.75</v>
      </c>
      <c r="X477" s="38"/>
    </row>
    <row r="478" spans="1:25" ht="25.2" outlineLevel="1" x14ac:dyDescent="0.45">
      <c r="A478" s="34" t="s">
        <v>225</v>
      </c>
      <c r="B478" s="42" t="s">
        <v>152</v>
      </c>
      <c r="C478" s="34">
        <v>1</v>
      </c>
      <c r="G478" s="34">
        <v>24</v>
      </c>
      <c r="H478" s="34">
        <v>32</v>
      </c>
      <c r="M478" s="34">
        <v>2</v>
      </c>
      <c r="P478" s="34">
        <v>3</v>
      </c>
      <c r="V478" s="34">
        <f t="shared" si="63"/>
        <v>61</v>
      </c>
    </row>
    <row r="479" spans="1:25" ht="25.2" outlineLevel="1" x14ac:dyDescent="0.45">
      <c r="A479" s="34" t="s">
        <v>224</v>
      </c>
      <c r="B479" s="42" t="s">
        <v>133</v>
      </c>
      <c r="C479" s="34">
        <v>4</v>
      </c>
      <c r="S479" s="34">
        <v>59.4</v>
      </c>
      <c r="V479" s="34">
        <f t="shared" si="63"/>
        <v>59.4</v>
      </c>
      <c r="X479" s="38"/>
    </row>
    <row r="480" spans="1:25" ht="25.2" outlineLevel="1" x14ac:dyDescent="0.45">
      <c r="A480" s="34" t="s">
        <v>224</v>
      </c>
      <c r="B480" s="42" t="s">
        <v>122</v>
      </c>
      <c r="C480" s="34">
        <v>5</v>
      </c>
      <c r="S480" s="34">
        <v>39.6</v>
      </c>
      <c r="V480" s="34">
        <f t="shared" si="63"/>
        <v>39.6</v>
      </c>
      <c r="X480" s="38"/>
    </row>
    <row r="481" spans="1:25" ht="25.2" outlineLevel="1" x14ac:dyDescent="0.45">
      <c r="A481" s="34" t="s">
        <v>223</v>
      </c>
      <c r="B481" s="42" t="s">
        <v>85</v>
      </c>
      <c r="C481" s="34">
        <v>4</v>
      </c>
      <c r="S481" s="34">
        <v>39.6</v>
      </c>
      <c r="V481" s="34">
        <f t="shared" si="63"/>
        <v>39.6</v>
      </c>
      <c r="X481" s="38"/>
    </row>
    <row r="482" spans="1:25" outlineLevel="1" x14ac:dyDescent="0.45">
      <c r="V482" s="34">
        <f t="shared" si="63"/>
        <v>0</v>
      </c>
    </row>
    <row r="483" spans="1:25" outlineLevel="1" x14ac:dyDescent="0.45">
      <c r="H483" s="37"/>
      <c r="N483" s="38"/>
      <c r="V483" s="34">
        <f t="shared" si="63"/>
        <v>0</v>
      </c>
    </row>
    <row r="484" spans="1:25" outlineLevel="1" x14ac:dyDescent="0.45">
      <c r="H484" s="37"/>
      <c r="N484" s="38"/>
      <c r="V484" s="34">
        <f t="shared" si="63"/>
        <v>0</v>
      </c>
    </row>
    <row r="485" spans="1:25" outlineLevel="1" x14ac:dyDescent="0.45">
      <c r="H485" s="37"/>
      <c r="N485" s="38"/>
      <c r="V485" s="34">
        <f t="shared" si="63"/>
        <v>0</v>
      </c>
    </row>
    <row r="486" spans="1:25" outlineLevel="1" x14ac:dyDescent="0.45">
      <c r="H486" s="37"/>
      <c r="N486" s="38"/>
      <c r="V486" s="34">
        <f t="shared" si="63"/>
        <v>0</v>
      </c>
    </row>
    <row r="487" spans="1:25" outlineLevel="1" x14ac:dyDescent="0.45">
      <c r="H487" s="37"/>
      <c r="N487" s="38"/>
      <c r="V487" s="34">
        <f t="shared" si="63"/>
        <v>0</v>
      </c>
    </row>
    <row r="488" spans="1:25" outlineLevel="1" x14ac:dyDescent="0.45">
      <c r="H488" s="37"/>
      <c r="N488" s="38"/>
      <c r="S488" s="38"/>
      <c r="V488" s="34">
        <f t="shared" si="63"/>
        <v>0</v>
      </c>
    </row>
    <row r="489" spans="1:25" outlineLevel="1" x14ac:dyDescent="0.45">
      <c r="H489" s="37"/>
      <c r="N489" s="38"/>
      <c r="S489" s="38"/>
      <c r="V489" s="34">
        <f t="shared" si="63"/>
        <v>0</v>
      </c>
    </row>
    <row r="490" spans="1:25" outlineLevel="1" x14ac:dyDescent="0.45">
      <c r="H490" s="37"/>
      <c r="N490" s="38"/>
      <c r="S490" s="38"/>
      <c r="V490" s="34">
        <f t="shared" si="63"/>
        <v>0</v>
      </c>
    </row>
    <row r="491" spans="1:25" outlineLevel="1" x14ac:dyDescent="0.45">
      <c r="H491" s="37"/>
      <c r="N491" s="38"/>
      <c r="S491" s="38"/>
      <c r="V491" s="34">
        <f t="shared" si="63"/>
        <v>0</v>
      </c>
    </row>
    <row r="492" spans="1:25" outlineLevel="1" x14ac:dyDescent="0.45">
      <c r="H492" s="37"/>
      <c r="N492" s="38"/>
      <c r="S492" s="38"/>
      <c r="V492" s="34">
        <f t="shared" si="63"/>
        <v>0</v>
      </c>
    </row>
    <row r="493" spans="1:25" outlineLevel="1" x14ac:dyDescent="0.45">
      <c r="H493" s="37"/>
      <c r="N493" s="38"/>
      <c r="S493" s="38"/>
      <c r="V493" s="34">
        <f t="shared" si="63"/>
        <v>0</v>
      </c>
    </row>
    <row r="494" spans="1:25" ht="12.9" outlineLevel="1" thickBot="1" x14ac:dyDescent="0.5"/>
    <row r="495" spans="1:25" ht="12.75" customHeight="1" x14ac:dyDescent="0.45">
      <c r="A495" s="126">
        <v>16</v>
      </c>
      <c r="B495" s="128" t="s">
        <v>211</v>
      </c>
      <c r="C495" s="128" t="s">
        <v>9</v>
      </c>
      <c r="D495" s="130" t="s">
        <v>34</v>
      </c>
      <c r="E495" s="46" t="s">
        <v>15</v>
      </c>
      <c r="F495" s="66">
        <v>0.25</v>
      </c>
      <c r="G495" s="36">
        <f t="shared" ref="G495:U495" si="64">SUM(G497:G507)</f>
        <v>74</v>
      </c>
      <c r="H495" s="36">
        <f t="shared" si="64"/>
        <v>64</v>
      </c>
      <c r="I495" s="36">
        <f t="shared" si="64"/>
        <v>18</v>
      </c>
      <c r="J495" s="36">
        <f t="shared" si="64"/>
        <v>0</v>
      </c>
      <c r="K495" s="36">
        <f t="shared" si="64"/>
        <v>0</v>
      </c>
      <c r="L495" s="36">
        <f t="shared" si="64"/>
        <v>0</v>
      </c>
      <c r="M495" s="36">
        <f t="shared" si="64"/>
        <v>6</v>
      </c>
      <c r="N495" s="36">
        <f t="shared" si="64"/>
        <v>0</v>
      </c>
      <c r="O495" s="36">
        <f t="shared" si="64"/>
        <v>2.1</v>
      </c>
      <c r="P495" s="36">
        <f t="shared" si="64"/>
        <v>19.5</v>
      </c>
      <c r="Q495" s="36">
        <f t="shared" si="64"/>
        <v>0</v>
      </c>
      <c r="R495" s="36">
        <f t="shared" si="64"/>
        <v>0</v>
      </c>
      <c r="S495" s="36">
        <f t="shared" si="64"/>
        <v>0</v>
      </c>
      <c r="T495" s="36">
        <f t="shared" si="64"/>
        <v>0</v>
      </c>
      <c r="U495" s="36">
        <f t="shared" si="64"/>
        <v>0</v>
      </c>
      <c r="V495" s="36">
        <f>SUM(V497:V507)</f>
        <v>183.6</v>
      </c>
      <c r="W495" s="132">
        <f>V495+V496</f>
        <v>282.60000000000002</v>
      </c>
    </row>
    <row r="496" spans="1:25" ht="12.9" thickBot="1" x14ac:dyDescent="0.5">
      <c r="A496" s="127"/>
      <c r="B496" s="129"/>
      <c r="C496" s="129"/>
      <c r="D496" s="131"/>
      <c r="E496" s="47"/>
      <c r="F496" s="67"/>
      <c r="G496" s="39">
        <f>SUM(G508:G525)</f>
        <v>0</v>
      </c>
      <c r="H496" s="41">
        <f>SUM(H508:H525)</f>
        <v>0</v>
      </c>
      <c r="I496" s="39">
        <f>SUM(I508:I525)</f>
        <v>0</v>
      </c>
      <c r="J496" s="39">
        <f>SUM(J508:J525)</f>
        <v>0</v>
      </c>
      <c r="K496" s="39">
        <f t="shared" ref="K496:U496" si="65">SUM(K508:K525)</f>
        <v>0</v>
      </c>
      <c r="L496" s="39">
        <f t="shared" si="65"/>
        <v>0</v>
      </c>
      <c r="M496" s="39">
        <f t="shared" si="65"/>
        <v>0</v>
      </c>
      <c r="N496" s="39">
        <f t="shared" si="65"/>
        <v>0</v>
      </c>
      <c r="O496" s="39">
        <f t="shared" si="65"/>
        <v>0</v>
      </c>
      <c r="P496" s="39">
        <f t="shared" si="65"/>
        <v>0</v>
      </c>
      <c r="Q496" s="39">
        <f t="shared" si="65"/>
        <v>0</v>
      </c>
      <c r="R496" s="39">
        <f t="shared" si="65"/>
        <v>0</v>
      </c>
      <c r="S496" s="39">
        <f t="shared" si="65"/>
        <v>99</v>
      </c>
      <c r="T496" s="39">
        <f t="shared" si="65"/>
        <v>0</v>
      </c>
      <c r="U496" s="39">
        <f t="shared" si="65"/>
        <v>0</v>
      </c>
      <c r="V496" s="39">
        <f>SUM(V508:V525)</f>
        <v>99</v>
      </c>
      <c r="W496" s="133"/>
      <c r="Y496" s="38"/>
    </row>
    <row r="497" spans="1:24" ht="37.799999999999997" outlineLevel="1" x14ac:dyDescent="0.45">
      <c r="A497" s="34" t="s">
        <v>223</v>
      </c>
      <c r="B497" s="42" t="s">
        <v>68</v>
      </c>
      <c r="C497" s="34">
        <v>4</v>
      </c>
      <c r="G497" s="34">
        <v>32</v>
      </c>
      <c r="H497" s="34">
        <v>32</v>
      </c>
      <c r="M497" s="34">
        <v>4</v>
      </c>
      <c r="P497" s="34">
        <v>16.5</v>
      </c>
      <c r="V497" s="34">
        <f t="shared" ref="V497:V506" si="66">SUM(G497:U497)</f>
        <v>84.5</v>
      </c>
    </row>
    <row r="498" spans="1:24" ht="13.5" customHeight="1" outlineLevel="1" x14ac:dyDescent="0.45">
      <c r="A498" t="s">
        <v>225</v>
      </c>
      <c r="B498" t="s">
        <v>145</v>
      </c>
      <c r="C498">
        <v>1</v>
      </c>
      <c r="D498"/>
      <c r="E498"/>
      <c r="F498"/>
      <c r="G498">
        <v>18</v>
      </c>
      <c r="H498"/>
      <c r="I498">
        <v>18</v>
      </c>
      <c r="J498"/>
      <c r="K498"/>
      <c r="L498"/>
      <c r="M498"/>
      <c r="N498"/>
      <c r="O498">
        <v>2.1</v>
      </c>
      <c r="P498"/>
      <c r="Q498"/>
      <c r="R498"/>
      <c r="S498"/>
      <c r="T498"/>
      <c r="U498"/>
      <c r="V498" s="34">
        <f t="shared" si="66"/>
        <v>38.1</v>
      </c>
    </row>
    <row r="499" spans="1:24" outlineLevel="1" x14ac:dyDescent="0.45">
      <c r="A499" t="s">
        <v>225</v>
      </c>
      <c r="B499" t="s">
        <v>233</v>
      </c>
      <c r="C499">
        <v>1</v>
      </c>
      <c r="D499"/>
      <c r="E499"/>
      <c r="F499"/>
      <c r="G499">
        <v>24</v>
      </c>
      <c r="H499">
        <v>32</v>
      </c>
      <c r="I499"/>
      <c r="J499"/>
      <c r="K499"/>
      <c r="L499"/>
      <c r="M499">
        <v>2</v>
      </c>
      <c r="N499"/>
      <c r="O499"/>
      <c r="P499">
        <v>3</v>
      </c>
      <c r="Q499"/>
      <c r="R499"/>
      <c r="S499"/>
      <c r="T499"/>
      <c r="U499"/>
      <c r="V499" s="34">
        <f t="shared" si="66"/>
        <v>61</v>
      </c>
    </row>
    <row r="500" spans="1:24" outlineLevel="1" x14ac:dyDescent="0.45">
      <c r="V500" s="34">
        <f t="shared" si="66"/>
        <v>0</v>
      </c>
    </row>
    <row r="501" spans="1:24" outlineLevel="1" x14ac:dyDescent="0.45">
      <c r="V501" s="34">
        <f t="shared" si="66"/>
        <v>0</v>
      </c>
    </row>
    <row r="502" spans="1:24" outlineLevel="1" x14ac:dyDescent="0.45">
      <c r="V502" s="34">
        <f t="shared" si="66"/>
        <v>0</v>
      </c>
    </row>
    <row r="503" spans="1:24" outlineLevel="1" x14ac:dyDescent="0.45">
      <c r="V503" s="34">
        <f t="shared" si="66"/>
        <v>0</v>
      </c>
    </row>
    <row r="504" spans="1:24" outlineLevel="1" x14ac:dyDescent="0.45">
      <c r="V504" s="34">
        <f t="shared" si="66"/>
        <v>0</v>
      </c>
    </row>
    <row r="505" spans="1:24" outlineLevel="1" x14ac:dyDescent="0.45">
      <c r="V505" s="34">
        <f t="shared" si="66"/>
        <v>0</v>
      </c>
    </row>
    <row r="506" spans="1:24" outlineLevel="1" x14ac:dyDescent="0.45">
      <c r="V506" s="34">
        <f t="shared" si="66"/>
        <v>0</v>
      </c>
    </row>
    <row r="507" spans="1:24" outlineLevel="1" x14ac:dyDescent="0.45">
      <c r="B507" s="136" t="s">
        <v>29</v>
      </c>
      <c r="C507" s="136"/>
      <c r="D507" s="136"/>
      <c r="E507" s="136"/>
      <c r="F507" s="136"/>
      <c r="G507" s="136"/>
      <c r="H507" s="136"/>
      <c r="I507" s="136"/>
      <c r="J507" s="136"/>
      <c r="K507" s="136"/>
      <c r="L507" s="136"/>
      <c r="M507" s="136"/>
      <c r="N507" s="136"/>
      <c r="O507" s="136"/>
      <c r="P507" s="136"/>
      <c r="Q507" s="136"/>
      <c r="R507" s="136"/>
      <c r="S507" s="136"/>
      <c r="T507" s="136"/>
      <c r="U507" s="136"/>
      <c r="V507" s="103"/>
    </row>
    <row r="508" spans="1:24" ht="25.2" outlineLevel="1" x14ac:dyDescent="0.45">
      <c r="A508" s="34" t="s">
        <v>223</v>
      </c>
      <c r="B508" s="42" t="s">
        <v>85</v>
      </c>
      <c r="C508" s="34">
        <v>4</v>
      </c>
      <c r="S508" s="34">
        <v>59.4</v>
      </c>
      <c r="V508" s="34">
        <f t="shared" ref="V508:V524" si="67">SUM(G508:U508)</f>
        <v>59.4</v>
      </c>
      <c r="X508" s="38"/>
    </row>
    <row r="509" spans="1:24" ht="25.2" outlineLevel="1" x14ac:dyDescent="0.45">
      <c r="A509" s="34" t="s">
        <v>224</v>
      </c>
      <c r="B509" s="42" t="s">
        <v>122</v>
      </c>
      <c r="C509" s="34">
        <v>5</v>
      </c>
      <c r="S509" s="34">
        <v>39.6</v>
      </c>
      <c r="V509" s="34">
        <f t="shared" si="67"/>
        <v>39.6</v>
      </c>
    </row>
    <row r="510" spans="1:24" outlineLevel="1" x14ac:dyDescent="0.45">
      <c r="V510" s="34">
        <f t="shared" si="67"/>
        <v>0</v>
      </c>
      <c r="X510" s="38"/>
    </row>
    <row r="511" spans="1:24" outlineLevel="1" x14ac:dyDescent="0.45">
      <c r="V511" s="34">
        <f t="shared" si="67"/>
        <v>0</v>
      </c>
      <c r="X511" s="38"/>
    </row>
    <row r="512" spans="1:24" outlineLevel="1" x14ac:dyDescent="0.45">
      <c r="V512" s="34">
        <f t="shared" si="67"/>
        <v>0</v>
      </c>
      <c r="X512" s="38"/>
    </row>
    <row r="513" spans="1:25" outlineLevel="1" x14ac:dyDescent="0.45">
      <c r="V513" s="34">
        <f t="shared" si="67"/>
        <v>0</v>
      </c>
    </row>
    <row r="514" spans="1:25" outlineLevel="1" x14ac:dyDescent="0.45">
      <c r="H514" s="37"/>
      <c r="N514" s="38"/>
      <c r="V514" s="34">
        <f t="shared" si="67"/>
        <v>0</v>
      </c>
    </row>
    <row r="515" spans="1:25" outlineLevel="1" x14ac:dyDescent="0.45">
      <c r="H515" s="37"/>
      <c r="N515" s="38"/>
      <c r="V515" s="34">
        <f t="shared" si="67"/>
        <v>0</v>
      </c>
    </row>
    <row r="516" spans="1:25" outlineLevel="1" x14ac:dyDescent="0.45">
      <c r="H516" s="37"/>
      <c r="N516" s="38"/>
      <c r="V516" s="34">
        <f t="shared" si="67"/>
        <v>0</v>
      </c>
    </row>
    <row r="517" spans="1:25" outlineLevel="1" x14ac:dyDescent="0.45">
      <c r="H517" s="37"/>
      <c r="N517" s="38"/>
      <c r="V517" s="34">
        <f t="shared" si="67"/>
        <v>0</v>
      </c>
    </row>
    <row r="518" spans="1:25" outlineLevel="1" x14ac:dyDescent="0.45">
      <c r="H518" s="37"/>
      <c r="N518" s="38"/>
      <c r="V518" s="34">
        <f t="shared" si="67"/>
        <v>0</v>
      </c>
    </row>
    <row r="519" spans="1:25" outlineLevel="1" x14ac:dyDescent="0.45">
      <c r="H519" s="37"/>
      <c r="N519" s="38"/>
      <c r="S519" s="38"/>
      <c r="V519" s="34">
        <f t="shared" si="67"/>
        <v>0</v>
      </c>
    </row>
    <row r="520" spans="1:25" outlineLevel="1" x14ac:dyDescent="0.45">
      <c r="H520" s="37"/>
      <c r="N520" s="38"/>
      <c r="S520" s="38"/>
      <c r="V520" s="34">
        <f t="shared" si="67"/>
        <v>0</v>
      </c>
    </row>
    <row r="521" spans="1:25" outlineLevel="1" x14ac:dyDescent="0.45">
      <c r="H521" s="37"/>
      <c r="N521" s="38"/>
      <c r="S521" s="38"/>
      <c r="V521" s="34">
        <f t="shared" si="67"/>
        <v>0</v>
      </c>
    </row>
    <row r="522" spans="1:25" outlineLevel="1" x14ac:dyDescent="0.45">
      <c r="H522" s="37"/>
      <c r="N522" s="38"/>
      <c r="S522" s="38"/>
      <c r="V522" s="34">
        <f t="shared" si="67"/>
        <v>0</v>
      </c>
    </row>
    <row r="523" spans="1:25" outlineLevel="1" x14ac:dyDescent="0.45">
      <c r="H523" s="37"/>
      <c r="N523" s="38"/>
      <c r="S523" s="38"/>
      <c r="V523" s="34">
        <f t="shared" si="67"/>
        <v>0</v>
      </c>
    </row>
    <row r="524" spans="1:25" outlineLevel="1" x14ac:dyDescent="0.45">
      <c r="H524" s="37"/>
      <c r="N524" s="38"/>
      <c r="S524" s="38"/>
      <c r="V524" s="34">
        <f t="shared" si="67"/>
        <v>0</v>
      </c>
    </row>
    <row r="525" spans="1:25" ht="12.9" outlineLevel="1" thickBot="1" x14ac:dyDescent="0.5"/>
    <row r="526" spans="1:25" ht="12.75" customHeight="1" x14ac:dyDescent="0.45">
      <c r="A526" s="126">
        <v>17</v>
      </c>
      <c r="B526" s="128" t="s">
        <v>212</v>
      </c>
      <c r="C526" s="128" t="s">
        <v>32</v>
      </c>
      <c r="D526" s="130" t="s">
        <v>12</v>
      </c>
      <c r="E526" s="46"/>
      <c r="F526" s="66"/>
      <c r="G526" s="36">
        <f t="shared" ref="G526:U526" si="68">SUM(G528:G538)</f>
        <v>90</v>
      </c>
      <c r="H526" s="36">
        <f t="shared" si="68"/>
        <v>156</v>
      </c>
      <c r="I526" s="36">
        <f t="shared" si="68"/>
        <v>0</v>
      </c>
      <c r="J526" s="36">
        <f t="shared" si="68"/>
        <v>0</v>
      </c>
      <c r="K526" s="36">
        <f t="shared" si="68"/>
        <v>6</v>
      </c>
      <c r="L526" s="36">
        <f t="shared" si="68"/>
        <v>68</v>
      </c>
      <c r="M526" s="36">
        <f t="shared" si="68"/>
        <v>12</v>
      </c>
      <c r="N526" s="36">
        <f t="shared" si="68"/>
        <v>34.5</v>
      </c>
      <c r="O526" s="36">
        <f t="shared" si="68"/>
        <v>0</v>
      </c>
      <c r="P526" s="36">
        <f t="shared" si="68"/>
        <v>64</v>
      </c>
      <c r="Q526" s="36">
        <f t="shared" si="68"/>
        <v>0</v>
      </c>
      <c r="R526" s="36">
        <f t="shared" si="68"/>
        <v>0</v>
      </c>
      <c r="S526" s="36">
        <f t="shared" si="68"/>
        <v>0</v>
      </c>
      <c r="T526" s="36">
        <f t="shared" si="68"/>
        <v>0</v>
      </c>
      <c r="U526" s="36">
        <f t="shared" si="68"/>
        <v>0</v>
      </c>
      <c r="V526" s="36">
        <f>SUM(V528:V538)</f>
        <v>430.5</v>
      </c>
      <c r="W526" s="132">
        <f>V526+V527</f>
        <v>999.6</v>
      </c>
    </row>
    <row r="527" spans="1:25" ht="12.9" thickBot="1" x14ac:dyDescent="0.5">
      <c r="A527" s="127"/>
      <c r="B527" s="129"/>
      <c r="C527" s="129"/>
      <c r="D527" s="131"/>
      <c r="E527" s="47" t="s">
        <v>33</v>
      </c>
      <c r="F527" s="47">
        <v>1</v>
      </c>
      <c r="G527" s="39">
        <f>SUM(G539:G556)</f>
        <v>64</v>
      </c>
      <c r="H527" s="41">
        <f>SUM(H539:H556)</f>
        <v>132</v>
      </c>
      <c r="I527" s="39">
        <f>SUM(I539:I556)</f>
        <v>0</v>
      </c>
      <c r="J527" s="39">
        <f>SUM(J539:J556)</f>
        <v>0</v>
      </c>
      <c r="K527" s="39">
        <f t="shared" ref="K527:U527" si="69">SUM(K539:K556)</f>
        <v>4</v>
      </c>
      <c r="L527" s="39">
        <f t="shared" si="69"/>
        <v>116</v>
      </c>
      <c r="M527" s="39">
        <f t="shared" si="69"/>
        <v>6</v>
      </c>
      <c r="N527" s="39">
        <f t="shared" si="69"/>
        <v>25.5</v>
      </c>
      <c r="O527" s="39">
        <f t="shared" si="69"/>
        <v>0</v>
      </c>
      <c r="P527" s="39">
        <f t="shared" si="69"/>
        <v>40</v>
      </c>
      <c r="Q527" s="39">
        <f t="shared" si="69"/>
        <v>0</v>
      </c>
      <c r="R527" s="39">
        <f t="shared" si="69"/>
        <v>0</v>
      </c>
      <c r="S527" s="39">
        <f t="shared" si="69"/>
        <v>181.6</v>
      </c>
      <c r="T527" s="39">
        <f t="shared" si="69"/>
        <v>0</v>
      </c>
      <c r="U527" s="39">
        <f t="shared" si="69"/>
        <v>0</v>
      </c>
      <c r="V527" s="39">
        <f>SUM(V539:V556)</f>
        <v>569.1</v>
      </c>
      <c r="W527" s="133"/>
      <c r="Y527" s="38"/>
    </row>
    <row r="528" spans="1:25" outlineLevel="1" x14ac:dyDescent="0.45">
      <c r="A528" t="s">
        <v>223</v>
      </c>
      <c r="B528" t="s">
        <v>65</v>
      </c>
      <c r="C528">
        <v>2</v>
      </c>
      <c r="D528"/>
      <c r="E528"/>
      <c r="F528"/>
      <c r="G528">
        <v>34</v>
      </c>
      <c r="H528">
        <v>68</v>
      </c>
      <c r="I528"/>
      <c r="J528"/>
      <c r="K528"/>
      <c r="L528"/>
      <c r="M528">
        <v>2</v>
      </c>
      <c r="N528"/>
      <c r="O528"/>
      <c r="P528">
        <v>14.5</v>
      </c>
      <c r="Q528"/>
      <c r="R528"/>
      <c r="S528"/>
      <c r="T528"/>
      <c r="U528"/>
      <c r="V528" s="34">
        <f t="shared" ref="V528:V537" si="70">SUM(G528:U528)</f>
        <v>118.5</v>
      </c>
    </row>
    <row r="529" spans="1:24" outlineLevel="1" x14ac:dyDescent="0.45">
      <c r="A529" t="s">
        <v>224</v>
      </c>
      <c r="B529" t="s">
        <v>99</v>
      </c>
      <c r="C529">
        <v>4</v>
      </c>
      <c r="D529"/>
      <c r="E529"/>
      <c r="F529"/>
      <c r="G529">
        <v>8</v>
      </c>
      <c r="H529">
        <v>16</v>
      </c>
      <c r="I529"/>
      <c r="J529"/>
      <c r="K529">
        <v>2</v>
      </c>
      <c r="L529"/>
      <c r="M529">
        <v>2</v>
      </c>
      <c r="N529">
        <v>12</v>
      </c>
      <c r="O529"/>
      <c r="P529">
        <v>12</v>
      </c>
      <c r="Q529"/>
      <c r="R529"/>
      <c r="S529"/>
      <c r="T529"/>
      <c r="U529"/>
      <c r="V529" s="34">
        <f t="shared" si="70"/>
        <v>52</v>
      </c>
    </row>
    <row r="530" spans="1:24" ht="37.799999999999997" outlineLevel="1" x14ac:dyDescent="0.45">
      <c r="A530" s="34" t="s">
        <v>224</v>
      </c>
      <c r="B530" s="42" t="s">
        <v>103</v>
      </c>
      <c r="C530" s="34">
        <v>2</v>
      </c>
      <c r="G530" s="34">
        <v>8</v>
      </c>
      <c r="H530" s="34">
        <v>16</v>
      </c>
      <c r="K530" s="34">
        <v>2</v>
      </c>
      <c r="M530" s="34">
        <v>2</v>
      </c>
      <c r="N530" s="34">
        <v>12.5</v>
      </c>
      <c r="P530" s="34">
        <v>12.5</v>
      </c>
      <c r="V530" s="34">
        <f t="shared" si="70"/>
        <v>53</v>
      </c>
    </row>
    <row r="531" spans="1:24" ht="37.799999999999997" outlineLevel="1" x14ac:dyDescent="0.45">
      <c r="A531" s="34" t="s">
        <v>224</v>
      </c>
      <c r="B531" s="42" t="s">
        <v>103</v>
      </c>
      <c r="C531" s="34">
        <v>3</v>
      </c>
      <c r="L531" s="34">
        <v>68</v>
      </c>
      <c r="V531" s="34">
        <f t="shared" si="70"/>
        <v>68</v>
      </c>
    </row>
    <row r="532" spans="1:24" outlineLevel="1" x14ac:dyDescent="0.45">
      <c r="A532" s="34" t="s">
        <v>224</v>
      </c>
      <c r="B532" s="42" t="s">
        <v>114</v>
      </c>
      <c r="C532" s="34">
        <v>1</v>
      </c>
      <c r="G532" s="34">
        <v>6</v>
      </c>
      <c r="H532" s="34">
        <v>8</v>
      </c>
      <c r="K532" s="34">
        <v>2</v>
      </c>
      <c r="M532" s="34">
        <v>2</v>
      </c>
      <c r="N532" s="34">
        <v>10</v>
      </c>
      <c r="P532" s="34">
        <v>10</v>
      </c>
      <c r="V532" s="34">
        <f t="shared" si="70"/>
        <v>38</v>
      </c>
    </row>
    <row r="533" spans="1:24" outlineLevel="1" x14ac:dyDescent="0.45">
      <c r="A533" s="34" t="s">
        <v>223</v>
      </c>
      <c r="B533" s="42" t="s">
        <v>74</v>
      </c>
      <c r="C533" s="34">
        <v>1</v>
      </c>
      <c r="G533" s="34">
        <v>34</v>
      </c>
      <c r="H533" s="34">
        <v>32</v>
      </c>
      <c r="M533" s="34">
        <v>2</v>
      </c>
      <c r="P533" s="34">
        <v>9</v>
      </c>
      <c r="V533" s="34">
        <f t="shared" si="70"/>
        <v>77</v>
      </c>
    </row>
    <row r="534" spans="1:24" outlineLevel="1" x14ac:dyDescent="0.45">
      <c r="A534" s="34" t="s">
        <v>223</v>
      </c>
      <c r="B534" s="42" t="s">
        <v>75</v>
      </c>
      <c r="C534" s="34">
        <v>1</v>
      </c>
      <c r="H534" s="34">
        <v>16</v>
      </c>
      <c r="M534" s="34">
        <v>2</v>
      </c>
      <c r="P534" s="34">
        <v>6</v>
      </c>
      <c r="V534" s="34">
        <f t="shared" si="70"/>
        <v>24</v>
      </c>
    </row>
    <row r="535" spans="1:24" outlineLevel="1" x14ac:dyDescent="0.45">
      <c r="V535" s="34">
        <f t="shared" si="70"/>
        <v>0</v>
      </c>
    </row>
    <row r="536" spans="1:24" outlineLevel="1" x14ac:dyDescent="0.45">
      <c r="V536" s="34">
        <f t="shared" si="70"/>
        <v>0</v>
      </c>
    </row>
    <row r="537" spans="1:24" outlineLevel="1" x14ac:dyDescent="0.45">
      <c r="V537" s="34">
        <f t="shared" si="70"/>
        <v>0</v>
      </c>
    </row>
    <row r="538" spans="1:24" outlineLevel="1" x14ac:dyDescent="0.45">
      <c r="B538" s="136" t="s">
        <v>29</v>
      </c>
      <c r="C538" s="136"/>
      <c r="D538" s="136"/>
      <c r="E538" s="136"/>
      <c r="F538" s="136"/>
      <c r="G538" s="136"/>
      <c r="H538" s="136"/>
      <c r="I538" s="136"/>
      <c r="J538" s="136"/>
      <c r="K538" s="136"/>
      <c r="L538" s="136"/>
      <c r="M538" s="136"/>
      <c r="N538" s="136"/>
      <c r="O538" s="136"/>
      <c r="P538" s="136"/>
      <c r="Q538" s="136"/>
      <c r="R538" s="136"/>
      <c r="S538" s="136"/>
      <c r="T538" s="136"/>
      <c r="U538" s="136"/>
      <c r="V538" s="107"/>
    </row>
    <row r="539" spans="1:24" outlineLevel="1" x14ac:dyDescent="0.45">
      <c r="A539" t="s">
        <v>223</v>
      </c>
      <c r="B539" t="s">
        <v>88</v>
      </c>
      <c r="C539">
        <v>4</v>
      </c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>
        <v>16.5</v>
      </c>
      <c r="T539"/>
      <c r="U539"/>
      <c r="V539" s="34">
        <f t="shared" ref="V539:V555" si="71">SUM(G539:U539)</f>
        <v>16.5</v>
      </c>
      <c r="X539" s="38"/>
    </row>
    <row r="540" spans="1:24" outlineLevel="1" x14ac:dyDescent="0.45">
      <c r="A540" t="s">
        <v>224</v>
      </c>
      <c r="B540" t="s">
        <v>125</v>
      </c>
      <c r="C540">
        <v>5</v>
      </c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>
        <v>12.5</v>
      </c>
      <c r="T540"/>
      <c r="U540"/>
      <c r="V540" s="34">
        <f t="shared" si="71"/>
        <v>12.5</v>
      </c>
    </row>
    <row r="541" spans="1:24" outlineLevel="1" x14ac:dyDescent="0.45">
      <c r="A541" t="s">
        <v>224</v>
      </c>
      <c r="B541" t="s">
        <v>136</v>
      </c>
      <c r="C541">
        <v>4</v>
      </c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>
        <v>10.5</v>
      </c>
      <c r="T541"/>
      <c r="U541"/>
      <c r="V541" s="34">
        <f t="shared" si="71"/>
        <v>10.5</v>
      </c>
      <c r="X541" s="38"/>
    </row>
    <row r="542" spans="1:24" ht="37.799999999999997" outlineLevel="1" x14ac:dyDescent="0.45">
      <c r="A542" s="34" t="s">
        <v>223</v>
      </c>
      <c r="B542" s="42" t="s">
        <v>65</v>
      </c>
      <c r="C542" s="34">
        <v>2</v>
      </c>
      <c r="G542" s="34">
        <v>50</v>
      </c>
      <c r="H542" s="34">
        <v>100</v>
      </c>
      <c r="L542" s="34">
        <v>116</v>
      </c>
      <c r="M542" s="34">
        <v>2</v>
      </c>
      <c r="P542" s="34">
        <v>14.5</v>
      </c>
      <c r="V542" s="34">
        <f t="shared" si="71"/>
        <v>282.5</v>
      </c>
      <c r="X542" s="38"/>
    </row>
    <row r="543" spans="1:24" ht="25.2" outlineLevel="1" x14ac:dyDescent="0.45">
      <c r="A543" s="34" t="s">
        <v>226</v>
      </c>
      <c r="B543" s="42" t="s">
        <v>171</v>
      </c>
      <c r="C543" s="34">
        <v>2</v>
      </c>
      <c r="S543" s="34">
        <v>2</v>
      </c>
      <c r="V543" s="34">
        <f t="shared" si="71"/>
        <v>2</v>
      </c>
      <c r="X543" s="38"/>
    </row>
    <row r="544" spans="1:24" outlineLevel="1" x14ac:dyDescent="0.45">
      <c r="A544" s="34" t="s">
        <v>225</v>
      </c>
      <c r="B544" s="42" t="s">
        <v>159</v>
      </c>
      <c r="C544" s="34">
        <v>2</v>
      </c>
      <c r="S544" s="34">
        <v>1.5</v>
      </c>
      <c r="V544" s="34">
        <f t="shared" si="71"/>
        <v>1.5</v>
      </c>
    </row>
    <row r="545" spans="1:25" ht="25.2" outlineLevel="1" x14ac:dyDescent="0.45">
      <c r="A545" s="34" t="s">
        <v>223</v>
      </c>
      <c r="B545" s="42" t="s">
        <v>85</v>
      </c>
      <c r="C545" s="34">
        <v>4</v>
      </c>
      <c r="H545" s="37"/>
      <c r="N545" s="38"/>
      <c r="S545" s="34">
        <v>39.6</v>
      </c>
      <c r="V545" s="34">
        <f t="shared" si="71"/>
        <v>39.6</v>
      </c>
    </row>
    <row r="546" spans="1:25" ht="25.2" outlineLevel="1" x14ac:dyDescent="0.45">
      <c r="A546" s="34" t="s">
        <v>224</v>
      </c>
      <c r="B546" s="42" t="s">
        <v>133</v>
      </c>
      <c r="C546" s="34">
        <v>4</v>
      </c>
      <c r="H546" s="37"/>
      <c r="N546" s="38"/>
      <c r="S546" s="34">
        <v>59.4</v>
      </c>
      <c r="V546" s="34">
        <f t="shared" si="71"/>
        <v>59.4</v>
      </c>
    </row>
    <row r="547" spans="1:25" ht="37.799999999999997" outlineLevel="1" x14ac:dyDescent="0.45">
      <c r="A547" s="34" t="s">
        <v>224</v>
      </c>
      <c r="B547" s="42" t="s">
        <v>99</v>
      </c>
      <c r="C547" s="34">
        <v>3</v>
      </c>
      <c r="G547" s="34">
        <v>6</v>
      </c>
      <c r="H547" s="37">
        <v>16</v>
      </c>
      <c r="K547" s="34">
        <v>2</v>
      </c>
      <c r="M547" s="34">
        <v>2</v>
      </c>
      <c r="N547" s="38">
        <v>13</v>
      </c>
      <c r="P547" s="34">
        <v>13</v>
      </c>
      <c r="V547" s="34">
        <f t="shared" si="71"/>
        <v>52</v>
      </c>
    </row>
    <row r="548" spans="1:25" ht="37.799999999999997" outlineLevel="1" x14ac:dyDescent="0.45">
      <c r="A548" s="34" t="s">
        <v>224</v>
      </c>
      <c r="B548" s="42" t="s">
        <v>103</v>
      </c>
      <c r="C548" s="34">
        <v>2</v>
      </c>
      <c r="G548" s="34">
        <v>8</v>
      </c>
      <c r="H548" s="37">
        <v>16</v>
      </c>
      <c r="K548" s="34">
        <v>2</v>
      </c>
      <c r="M548" s="34">
        <v>2</v>
      </c>
      <c r="N548" s="38">
        <v>12.5</v>
      </c>
      <c r="P548" s="34">
        <v>12.5</v>
      </c>
      <c r="V548" s="34">
        <f t="shared" si="71"/>
        <v>53</v>
      </c>
    </row>
    <row r="549" spans="1:25" ht="25.2" outlineLevel="1" x14ac:dyDescent="0.45">
      <c r="A549" s="34" t="s">
        <v>224</v>
      </c>
      <c r="B549" s="42" t="s">
        <v>122</v>
      </c>
      <c r="C549" s="34">
        <v>5</v>
      </c>
      <c r="H549" s="37"/>
      <c r="N549" s="38"/>
      <c r="S549" s="34">
        <v>39.6</v>
      </c>
      <c r="V549" s="34">
        <f t="shared" si="71"/>
        <v>39.6</v>
      </c>
    </row>
    <row r="550" spans="1:25" outlineLevel="1" x14ac:dyDescent="0.45">
      <c r="H550" s="37"/>
      <c r="N550" s="38"/>
      <c r="S550" s="38"/>
      <c r="V550" s="34">
        <f t="shared" si="71"/>
        <v>0</v>
      </c>
    </row>
    <row r="551" spans="1:25" outlineLevel="1" x14ac:dyDescent="0.45">
      <c r="H551" s="37"/>
      <c r="N551" s="38"/>
      <c r="S551" s="38"/>
      <c r="V551" s="34">
        <f t="shared" si="71"/>
        <v>0</v>
      </c>
    </row>
    <row r="552" spans="1:25" outlineLevel="1" x14ac:dyDescent="0.45">
      <c r="H552" s="37"/>
      <c r="N552" s="38"/>
      <c r="S552" s="38"/>
      <c r="V552" s="34">
        <f t="shared" si="71"/>
        <v>0</v>
      </c>
    </row>
    <row r="553" spans="1:25" outlineLevel="1" x14ac:dyDescent="0.45">
      <c r="H553" s="37"/>
      <c r="N553" s="38"/>
      <c r="S553" s="38"/>
      <c r="V553" s="34">
        <f t="shared" si="71"/>
        <v>0</v>
      </c>
    </row>
    <row r="554" spans="1:25" outlineLevel="1" x14ac:dyDescent="0.45">
      <c r="H554" s="37"/>
      <c r="N554" s="38"/>
      <c r="S554" s="38"/>
      <c r="V554" s="34">
        <f t="shared" si="71"/>
        <v>0</v>
      </c>
    </row>
    <row r="555" spans="1:25" outlineLevel="1" x14ac:dyDescent="0.45">
      <c r="H555" s="37"/>
      <c r="N555" s="38"/>
      <c r="S555" s="38"/>
      <c r="V555" s="34">
        <f t="shared" si="71"/>
        <v>0</v>
      </c>
    </row>
    <row r="556" spans="1:25" ht="12.9" outlineLevel="1" thickBot="1" x14ac:dyDescent="0.5"/>
    <row r="557" spans="1:25" ht="12.75" customHeight="1" x14ac:dyDescent="0.45">
      <c r="A557" s="126">
        <v>18</v>
      </c>
      <c r="B557" s="128" t="s">
        <v>239</v>
      </c>
      <c r="C557" s="128" t="s">
        <v>61</v>
      </c>
      <c r="D557" s="130" t="s">
        <v>12</v>
      </c>
      <c r="E557" s="46"/>
      <c r="F557" s="66"/>
      <c r="G557" s="36">
        <f t="shared" ref="G557:U557" si="72">SUM(G559:G569)</f>
        <v>0</v>
      </c>
      <c r="H557" s="36">
        <f t="shared" si="72"/>
        <v>164</v>
      </c>
      <c r="I557" s="36">
        <f t="shared" si="72"/>
        <v>0</v>
      </c>
      <c r="J557" s="36">
        <f t="shared" si="72"/>
        <v>0</v>
      </c>
      <c r="K557" s="36">
        <f t="shared" si="72"/>
        <v>0</v>
      </c>
      <c r="L557" s="36">
        <f t="shared" si="72"/>
        <v>0</v>
      </c>
      <c r="M557" s="36">
        <f t="shared" si="72"/>
        <v>0</v>
      </c>
      <c r="N557" s="36">
        <f t="shared" si="72"/>
        <v>0</v>
      </c>
      <c r="O557" s="36">
        <f t="shared" si="72"/>
        <v>0</v>
      </c>
      <c r="P557" s="36">
        <f t="shared" si="72"/>
        <v>0</v>
      </c>
      <c r="Q557" s="36">
        <f t="shared" si="72"/>
        <v>0</v>
      </c>
      <c r="R557" s="36">
        <f t="shared" si="72"/>
        <v>0</v>
      </c>
      <c r="S557" s="36">
        <f t="shared" si="72"/>
        <v>0</v>
      </c>
      <c r="T557" s="36">
        <f t="shared" si="72"/>
        <v>0</v>
      </c>
      <c r="U557" s="36">
        <f t="shared" si="72"/>
        <v>0</v>
      </c>
      <c r="V557" s="36">
        <f>SUM(V559:V569)</f>
        <v>164</v>
      </c>
      <c r="W557" s="132">
        <f>V557+V558</f>
        <v>260</v>
      </c>
    </row>
    <row r="558" spans="1:25" ht="12.9" thickBot="1" x14ac:dyDescent="0.5">
      <c r="A558" s="127"/>
      <c r="B558" s="129"/>
      <c r="C558" s="129"/>
      <c r="D558" s="131"/>
      <c r="E558" s="47" t="s">
        <v>33</v>
      </c>
      <c r="F558" s="67">
        <v>0.25</v>
      </c>
      <c r="G558" s="39">
        <f>SUM(G570:G587)</f>
        <v>0</v>
      </c>
      <c r="H558" s="41">
        <f>SUM(H570:H587)</f>
        <v>96</v>
      </c>
      <c r="I558" s="39">
        <f>SUM(I570:I587)</f>
        <v>0</v>
      </c>
      <c r="J558" s="39">
        <f>SUM(J570:J587)</f>
        <v>0</v>
      </c>
      <c r="K558" s="39">
        <f t="shared" ref="K558:U558" si="73">SUM(K570:K587)</f>
        <v>0</v>
      </c>
      <c r="L558" s="39">
        <f t="shared" si="73"/>
        <v>0</v>
      </c>
      <c r="M558" s="39">
        <f t="shared" si="73"/>
        <v>0</v>
      </c>
      <c r="N558" s="39">
        <f t="shared" si="73"/>
        <v>0</v>
      </c>
      <c r="O558" s="39">
        <f t="shared" si="73"/>
        <v>0</v>
      </c>
      <c r="P558" s="39">
        <f t="shared" si="73"/>
        <v>0</v>
      </c>
      <c r="Q558" s="39">
        <f t="shared" si="73"/>
        <v>0</v>
      </c>
      <c r="R558" s="39">
        <f t="shared" si="73"/>
        <v>0</v>
      </c>
      <c r="S558" s="39">
        <f t="shared" si="73"/>
        <v>0</v>
      </c>
      <c r="T558" s="39">
        <f t="shared" si="73"/>
        <v>0</v>
      </c>
      <c r="U558" s="39">
        <f t="shared" si="73"/>
        <v>0</v>
      </c>
      <c r="V558" s="39">
        <f>SUM(V570:V587)</f>
        <v>96</v>
      </c>
      <c r="W558" s="133"/>
      <c r="Y558" s="38"/>
    </row>
    <row r="559" spans="1:25" outlineLevel="1" x14ac:dyDescent="0.45">
      <c r="A559" s="34" t="s">
        <v>223</v>
      </c>
      <c r="B559" s="42" t="s">
        <v>228</v>
      </c>
      <c r="C559" s="34">
        <v>1</v>
      </c>
      <c r="H559" s="34">
        <v>68</v>
      </c>
      <c r="V559" s="34">
        <f t="shared" ref="V559:V568" si="74">SUM(G559:U559)</f>
        <v>68</v>
      </c>
    </row>
    <row r="560" spans="1:25" outlineLevel="1" x14ac:dyDescent="0.45">
      <c r="A560" s="34" t="s">
        <v>223</v>
      </c>
      <c r="B560" s="42" t="s">
        <v>71</v>
      </c>
      <c r="C560" s="34">
        <v>2</v>
      </c>
      <c r="H560" s="34">
        <v>32</v>
      </c>
      <c r="V560" s="34">
        <f t="shared" si="74"/>
        <v>32</v>
      </c>
    </row>
    <row r="561" spans="1:24" outlineLevel="1" x14ac:dyDescent="0.45">
      <c r="A561" s="34" t="s">
        <v>224</v>
      </c>
      <c r="B561" s="42" t="s">
        <v>96</v>
      </c>
      <c r="C561" s="34">
        <v>3</v>
      </c>
      <c r="H561" s="34">
        <v>16</v>
      </c>
      <c r="V561" s="34">
        <f t="shared" si="74"/>
        <v>16</v>
      </c>
    </row>
    <row r="562" spans="1:24" ht="37.799999999999997" outlineLevel="1" x14ac:dyDescent="0.45">
      <c r="A562" s="34" t="s">
        <v>223</v>
      </c>
      <c r="B562" s="42" t="s">
        <v>67</v>
      </c>
      <c r="C562" s="34">
        <v>4</v>
      </c>
      <c r="H562" s="34">
        <v>48</v>
      </c>
      <c r="V562" s="34">
        <f t="shared" si="74"/>
        <v>48</v>
      </c>
    </row>
    <row r="563" spans="1:24" outlineLevel="1" x14ac:dyDescent="0.45">
      <c r="V563" s="34">
        <f t="shared" si="74"/>
        <v>0</v>
      </c>
    </row>
    <row r="564" spans="1:24" outlineLevel="1" x14ac:dyDescent="0.45">
      <c r="V564" s="34">
        <f t="shared" si="74"/>
        <v>0</v>
      </c>
    </row>
    <row r="565" spans="1:24" outlineLevel="1" x14ac:dyDescent="0.45">
      <c r="V565" s="34">
        <f t="shared" si="74"/>
        <v>0</v>
      </c>
    </row>
    <row r="566" spans="1:24" outlineLevel="1" x14ac:dyDescent="0.45">
      <c r="V566" s="34">
        <f t="shared" si="74"/>
        <v>0</v>
      </c>
    </row>
    <row r="567" spans="1:24" outlineLevel="1" x14ac:dyDescent="0.45">
      <c r="V567" s="34">
        <f t="shared" si="74"/>
        <v>0</v>
      </c>
    </row>
    <row r="568" spans="1:24" outlineLevel="1" x14ac:dyDescent="0.45">
      <c r="V568" s="34">
        <f t="shared" si="74"/>
        <v>0</v>
      </c>
    </row>
    <row r="569" spans="1:24" outlineLevel="1" x14ac:dyDescent="0.45">
      <c r="B569" s="136" t="s">
        <v>29</v>
      </c>
      <c r="C569" s="136"/>
      <c r="D569" s="136"/>
      <c r="E569" s="136"/>
      <c r="F569" s="136"/>
      <c r="G569" s="136"/>
      <c r="H569" s="136"/>
      <c r="I569" s="136"/>
      <c r="J569" s="136"/>
      <c r="K569" s="136"/>
      <c r="L569" s="136"/>
      <c r="M569" s="136"/>
      <c r="N569" s="136"/>
      <c r="O569" s="136"/>
      <c r="P569" s="136"/>
      <c r="Q569" s="136"/>
      <c r="R569" s="136"/>
      <c r="S569" s="136"/>
      <c r="T569" s="136"/>
      <c r="U569" s="136"/>
      <c r="V569" s="109"/>
    </row>
    <row r="570" spans="1:24" outlineLevel="1" x14ac:dyDescent="0.45">
      <c r="A570" s="34" t="s">
        <v>223</v>
      </c>
      <c r="B570" s="42" t="s">
        <v>81</v>
      </c>
      <c r="C570" s="34">
        <v>3</v>
      </c>
      <c r="H570" s="34">
        <v>96</v>
      </c>
      <c r="V570" s="34">
        <f t="shared" ref="V570:V586" si="75">SUM(G570:U570)</f>
        <v>96</v>
      </c>
      <c r="X570" s="38"/>
    </row>
    <row r="571" spans="1:24" outlineLevel="1" x14ac:dyDescent="0.45">
      <c r="V571" s="34">
        <f t="shared" si="75"/>
        <v>0</v>
      </c>
    </row>
    <row r="572" spans="1:24" outlineLevel="1" x14ac:dyDescent="0.45">
      <c r="V572" s="34">
        <f t="shared" si="75"/>
        <v>0</v>
      </c>
      <c r="X572" s="38"/>
    </row>
    <row r="573" spans="1:24" outlineLevel="1" x14ac:dyDescent="0.45">
      <c r="V573" s="34">
        <f t="shared" si="75"/>
        <v>0</v>
      </c>
      <c r="X573" s="38"/>
    </row>
    <row r="574" spans="1:24" outlineLevel="1" x14ac:dyDescent="0.45">
      <c r="V574" s="34">
        <f t="shared" si="75"/>
        <v>0</v>
      </c>
      <c r="X574" s="38"/>
    </row>
    <row r="575" spans="1:24" outlineLevel="1" x14ac:dyDescent="0.45">
      <c r="V575" s="34">
        <f t="shared" si="75"/>
        <v>0</v>
      </c>
    </row>
    <row r="576" spans="1:24" outlineLevel="1" x14ac:dyDescent="0.45">
      <c r="H576" s="37"/>
      <c r="N576" s="38"/>
      <c r="V576" s="34">
        <f t="shared" si="75"/>
        <v>0</v>
      </c>
    </row>
    <row r="577" spans="1:25" outlineLevel="1" x14ac:dyDescent="0.45">
      <c r="H577" s="37"/>
      <c r="N577" s="38"/>
      <c r="V577" s="34">
        <f t="shared" si="75"/>
        <v>0</v>
      </c>
    </row>
    <row r="578" spans="1:25" outlineLevel="1" x14ac:dyDescent="0.45">
      <c r="H578" s="37"/>
      <c r="N578" s="38"/>
      <c r="V578" s="34">
        <f t="shared" si="75"/>
        <v>0</v>
      </c>
    </row>
    <row r="579" spans="1:25" outlineLevel="1" x14ac:dyDescent="0.45">
      <c r="H579" s="37"/>
      <c r="N579" s="38"/>
      <c r="V579" s="34">
        <f t="shared" si="75"/>
        <v>0</v>
      </c>
    </row>
    <row r="580" spans="1:25" outlineLevel="1" x14ac:dyDescent="0.45">
      <c r="H580" s="37"/>
      <c r="N580" s="38"/>
      <c r="V580" s="34">
        <f t="shared" si="75"/>
        <v>0</v>
      </c>
    </row>
    <row r="581" spans="1:25" outlineLevel="1" x14ac:dyDescent="0.45">
      <c r="H581" s="37"/>
      <c r="N581" s="38"/>
      <c r="S581" s="38"/>
      <c r="V581" s="34">
        <f t="shared" si="75"/>
        <v>0</v>
      </c>
    </row>
    <row r="582" spans="1:25" outlineLevel="1" x14ac:dyDescent="0.45">
      <c r="H582" s="37"/>
      <c r="N582" s="38"/>
      <c r="S582" s="38"/>
      <c r="V582" s="34">
        <f t="shared" si="75"/>
        <v>0</v>
      </c>
    </row>
    <row r="583" spans="1:25" outlineLevel="1" x14ac:dyDescent="0.45">
      <c r="H583" s="37"/>
      <c r="N583" s="38"/>
      <c r="S583" s="38"/>
      <c r="V583" s="34">
        <f t="shared" si="75"/>
        <v>0</v>
      </c>
    </row>
    <row r="584" spans="1:25" outlineLevel="1" x14ac:dyDescent="0.45">
      <c r="H584" s="37"/>
      <c r="N584" s="38"/>
      <c r="S584" s="38"/>
      <c r="V584" s="34">
        <f t="shared" si="75"/>
        <v>0</v>
      </c>
    </row>
    <row r="585" spans="1:25" outlineLevel="1" x14ac:dyDescent="0.45">
      <c r="H585" s="37"/>
      <c r="N585" s="38"/>
      <c r="S585" s="38"/>
      <c r="V585" s="34">
        <f t="shared" si="75"/>
        <v>0</v>
      </c>
    </row>
    <row r="586" spans="1:25" outlineLevel="1" x14ac:dyDescent="0.45">
      <c r="H586" s="37"/>
      <c r="N586" s="38"/>
      <c r="S586" s="38"/>
      <c r="V586" s="34">
        <f t="shared" si="75"/>
        <v>0</v>
      </c>
    </row>
    <row r="587" spans="1:25" outlineLevel="1" x14ac:dyDescent="0.45"/>
    <row r="588" spans="1:25" ht="12.9" outlineLevel="1" thickBot="1" x14ac:dyDescent="0.5"/>
    <row r="589" spans="1:25" ht="12.75" customHeight="1" x14ac:dyDescent="0.45">
      <c r="A589" s="126">
        <v>19</v>
      </c>
      <c r="B589" s="128" t="s">
        <v>213</v>
      </c>
      <c r="C589" s="128" t="s">
        <v>9</v>
      </c>
      <c r="D589" s="130" t="s">
        <v>34</v>
      </c>
      <c r="E589" s="46" t="s">
        <v>15</v>
      </c>
      <c r="F589" s="66">
        <v>0.25</v>
      </c>
      <c r="G589" s="36">
        <f t="shared" ref="G589:U589" si="76">SUM(G591:G601)</f>
        <v>14</v>
      </c>
      <c r="H589" s="36">
        <f t="shared" si="76"/>
        <v>32</v>
      </c>
      <c r="I589" s="36">
        <f t="shared" si="76"/>
        <v>0</v>
      </c>
      <c r="J589" s="36">
        <f t="shared" si="76"/>
        <v>0</v>
      </c>
      <c r="K589" s="36">
        <f t="shared" si="76"/>
        <v>4</v>
      </c>
      <c r="L589" s="36">
        <f t="shared" si="76"/>
        <v>0</v>
      </c>
      <c r="M589" s="36">
        <f t="shared" si="76"/>
        <v>4</v>
      </c>
      <c r="N589" s="36">
        <f t="shared" si="76"/>
        <v>20.5</v>
      </c>
      <c r="O589" s="36">
        <f t="shared" si="76"/>
        <v>0</v>
      </c>
      <c r="P589" s="36">
        <f t="shared" si="76"/>
        <v>20.5</v>
      </c>
      <c r="Q589" s="36">
        <f t="shared" si="76"/>
        <v>0</v>
      </c>
      <c r="R589" s="36">
        <f t="shared" si="76"/>
        <v>42</v>
      </c>
      <c r="S589" s="36">
        <f t="shared" si="76"/>
        <v>0</v>
      </c>
      <c r="T589" s="36">
        <f t="shared" si="76"/>
        <v>0</v>
      </c>
      <c r="U589" s="36">
        <f t="shared" si="76"/>
        <v>0</v>
      </c>
      <c r="V589" s="36">
        <f>SUM(V591:V601)</f>
        <v>137</v>
      </c>
      <c r="W589" s="132">
        <f>V589+V590</f>
        <v>286.10000000000002</v>
      </c>
    </row>
    <row r="590" spans="1:25" ht="12.9" thickBot="1" x14ac:dyDescent="0.5">
      <c r="A590" s="127"/>
      <c r="B590" s="129"/>
      <c r="C590" s="129"/>
      <c r="D590" s="131"/>
      <c r="E590" s="47"/>
      <c r="F590" s="67"/>
      <c r="G590" s="39">
        <f>SUM(G602:G619)</f>
        <v>0</v>
      </c>
      <c r="H590" s="41">
        <f>SUM(H602:H619)</f>
        <v>0</v>
      </c>
      <c r="I590" s="39">
        <f>SUM(I602:I619)</f>
        <v>0</v>
      </c>
      <c r="J590" s="39">
        <f>SUM(J602:J619)</f>
        <v>0</v>
      </c>
      <c r="K590" s="39">
        <f t="shared" ref="K590:U590" si="77">SUM(K602:K619)</f>
        <v>0</v>
      </c>
      <c r="L590" s="39">
        <f t="shared" si="77"/>
        <v>0</v>
      </c>
      <c r="M590" s="39">
        <f t="shared" si="77"/>
        <v>0</v>
      </c>
      <c r="N590" s="39">
        <f t="shared" si="77"/>
        <v>0</v>
      </c>
      <c r="O590" s="39">
        <f t="shared" si="77"/>
        <v>0</v>
      </c>
      <c r="P590" s="39">
        <f t="shared" si="77"/>
        <v>0</v>
      </c>
      <c r="Q590" s="39">
        <f t="shared" si="77"/>
        <v>0</v>
      </c>
      <c r="R590" s="39">
        <f t="shared" si="77"/>
        <v>10.5</v>
      </c>
      <c r="S590" s="39">
        <f t="shared" si="77"/>
        <v>138.60000000000002</v>
      </c>
      <c r="T590" s="39">
        <f t="shared" si="77"/>
        <v>0</v>
      </c>
      <c r="U590" s="39">
        <f t="shared" si="77"/>
        <v>0</v>
      </c>
      <c r="V590" s="39">
        <f>SUM(V602:V619)</f>
        <v>149.10000000000002</v>
      </c>
      <c r="W590" s="133"/>
      <c r="Y590" s="38"/>
    </row>
    <row r="591" spans="1:25" ht="25.2" outlineLevel="1" x14ac:dyDescent="0.45">
      <c r="A591" t="s">
        <v>224</v>
      </c>
      <c r="B591" s="42" t="s">
        <v>107</v>
      </c>
      <c r="C591">
        <v>4</v>
      </c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>
        <v>42</v>
      </c>
      <c r="S591"/>
      <c r="T591"/>
      <c r="U591"/>
      <c r="V591" s="34">
        <f t="shared" ref="V591:V600" si="78">SUM(G591:U591)</f>
        <v>42</v>
      </c>
    </row>
    <row r="592" spans="1:25" ht="50.4" outlineLevel="1" x14ac:dyDescent="0.45">
      <c r="A592" s="34" t="s">
        <v>224</v>
      </c>
      <c r="B592" s="42" t="s">
        <v>105</v>
      </c>
      <c r="C592" s="34">
        <v>3</v>
      </c>
      <c r="G592" s="34">
        <v>8</v>
      </c>
      <c r="H592" s="34">
        <v>16</v>
      </c>
      <c r="K592" s="34">
        <v>2</v>
      </c>
      <c r="M592" s="34">
        <v>2</v>
      </c>
      <c r="N592" s="34">
        <v>8.5</v>
      </c>
      <c r="P592" s="34">
        <v>8.5</v>
      </c>
      <c r="V592" s="34">
        <f t="shared" si="78"/>
        <v>45</v>
      </c>
    </row>
    <row r="593" spans="1:24" ht="36" customHeight="1" outlineLevel="1" x14ac:dyDescent="0.45">
      <c r="A593" t="s">
        <v>224</v>
      </c>
      <c r="B593" s="125" t="s">
        <v>229</v>
      </c>
      <c r="C593">
        <v>4</v>
      </c>
      <c r="D593"/>
      <c r="E593"/>
      <c r="F593"/>
      <c r="G593">
        <v>6</v>
      </c>
      <c r="H593">
        <v>16</v>
      </c>
      <c r="I593"/>
      <c r="J593"/>
      <c r="K593">
        <v>2</v>
      </c>
      <c r="L593"/>
      <c r="M593">
        <v>2</v>
      </c>
      <c r="N593">
        <v>12</v>
      </c>
      <c r="O593"/>
      <c r="P593">
        <v>12</v>
      </c>
      <c r="Q593"/>
      <c r="R593"/>
      <c r="S593"/>
      <c r="T593"/>
      <c r="U593"/>
      <c r="V593" s="34">
        <f t="shared" si="78"/>
        <v>50</v>
      </c>
    </row>
    <row r="594" spans="1:24" outlineLevel="1" x14ac:dyDescent="0.45">
      <c r="A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 s="34">
        <f t="shared" si="78"/>
        <v>0</v>
      </c>
    </row>
    <row r="595" spans="1:24" outlineLevel="1" x14ac:dyDescent="0.45">
      <c r="V595" s="34">
        <f t="shared" si="78"/>
        <v>0</v>
      </c>
    </row>
    <row r="596" spans="1:24" outlineLevel="1" x14ac:dyDescent="0.45">
      <c r="V596" s="34">
        <f t="shared" si="78"/>
        <v>0</v>
      </c>
    </row>
    <row r="597" spans="1:24" outlineLevel="1" x14ac:dyDescent="0.45">
      <c r="V597" s="34">
        <f t="shared" si="78"/>
        <v>0</v>
      </c>
    </row>
    <row r="598" spans="1:24" outlineLevel="1" x14ac:dyDescent="0.45">
      <c r="V598" s="34">
        <f t="shared" si="78"/>
        <v>0</v>
      </c>
    </row>
    <row r="599" spans="1:24" outlineLevel="1" x14ac:dyDescent="0.45">
      <c r="V599" s="34">
        <f t="shared" si="78"/>
        <v>0</v>
      </c>
    </row>
    <row r="600" spans="1:24" outlineLevel="1" x14ac:dyDescent="0.45">
      <c r="V600" s="34">
        <f t="shared" si="78"/>
        <v>0</v>
      </c>
    </row>
    <row r="601" spans="1:24" outlineLevel="1" x14ac:dyDescent="0.45">
      <c r="B601" s="136" t="s">
        <v>29</v>
      </c>
      <c r="C601" s="136"/>
      <c r="D601" s="136"/>
      <c r="E601" s="136"/>
      <c r="F601" s="136"/>
      <c r="G601" s="136"/>
      <c r="H601" s="136"/>
      <c r="I601" s="136"/>
      <c r="J601" s="136"/>
      <c r="K601" s="136"/>
      <c r="L601" s="136"/>
      <c r="M601" s="136"/>
      <c r="N601" s="136"/>
      <c r="O601" s="136"/>
      <c r="P601" s="136"/>
      <c r="Q601" s="136"/>
      <c r="R601" s="136"/>
      <c r="S601" s="136"/>
      <c r="T601" s="136"/>
      <c r="U601" s="136"/>
      <c r="V601" s="109"/>
    </row>
    <row r="602" spans="1:24" ht="25.2" outlineLevel="1" x14ac:dyDescent="0.45">
      <c r="A602" s="34" t="s">
        <v>224</v>
      </c>
      <c r="B602" s="42" t="s">
        <v>133</v>
      </c>
      <c r="C602" s="34">
        <v>4</v>
      </c>
      <c r="S602" s="34">
        <v>79.2</v>
      </c>
      <c r="V602" s="34">
        <f t="shared" ref="V602:V618" si="79">SUM(G602:U602)</f>
        <v>79.2</v>
      </c>
      <c r="X602" s="38"/>
    </row>
    <row r="603" spans="1:24" ht="25.2" outlineLevel="1" x14ac:dyDescent="0.45">
      <c r="A603" s="34" t="s">
        <v>223</v>
      </c>
      <c r="B603" s="42" t="s">
        <v>85</v>
      </c>
      <c r="C603" s="34">
        <v>4</v>
      </c>
      <c r="S603" s="34">
        <v>39.6</v>
      </c>
      <c r="V603" s="34">
        <f t="shared" si="79"/>
        <v>39.6</v>
      </c>
    </row>
    <row r="604" spans="1:24" ht="25.2" outlineLevel="1" x14ac:dyDescent="0.45">
      <c r="A604" s="34" t="s">
        <v>226</v>
      </c>
      <c r="B604" s="42" t="s">
        <v>166</v>
      </c>
      <c r="C604" s="34">
        <v>2</v>
      </c>
      <c r="R604" s="34">
        <v>6</v>
      </c>
      <c r="V604" s="34">
        <f t="shared" si="79"/>
        <v>6</v>
      </c>
      <c r="X604" s="38"/>
    </row>
    <row r="605" spans="1:24" ht="25.2" outlineLevel="1" x14ac:dyDescent="0.45">
      <c r="A605" s="34" t="s">
        <v>224</v>
      </c>
      <c r="B605" s="42" t="s">
        <v>122</v>
      </c>
      <c r="C605" s="34">
        <v>5</v>
      </c>
      <c r="S605" s="34">
        <v>19.8</v>
      </c>
      <c r="V605" s="34">
        <f t="shared" si="79"/>
        <v>19.8</v>
      </c>
      <c r="X605" s="38"/>
    </row>
    <row r="606" spans="1:24" ht="25.2" outlineLevel="1" x14ac:dyDescent="0.45">
      <c r="A606" s="34" t="s">
        <v>225</v>
      </c>
      <c r="B606" s="42" t="s">
        <v>156</v>
      </c>
      <c r="C606" s="34">
        <v>2</v>
      </c>
      <c r="R606" s="34">
        <v>4.5</v>
      </c>
      <c r="V606" s="34">
        <f t="shared" si="79"/>
        <v>4.5</v>
      </c>
      <c r="X606" s="38"/>
    </row>
    <row r="607" spans="1:24" outlineLevel="1" x14ac:dyDescent="0.45">
      <c r="V607" s="34">
        <f t="shared" si="79"/>
        <v>0</v>
      </c>
    </row>
    <row r="608" spans="1:24" outlineLevel="1" x14ac:dyDescent="0.45">
      <c r="H608" s="37"/>
      <c r="N608" s="38"/>
      <c r="V608" s="34">
        <f t="shared" si="79"/>
        <v>0</v>
      </c>
    </row>
    <row r="609" spans="1:25" outlineLevel="1" x14ac:dyDescent="0.45">
      <c r="H609" s="37"/>
      <c r="N609" s="38"/>
      <c r="V609" s="34">
        <f t="shared" si="79"/>
        <v>0</v>
      </c>
    </row>
    <row r="610" spans="1:25" outlineLevel="1" x14ac:dyDescent="0.45">
      <c r="H610" s="37"/>
      <c r="N610" s="38"/>
      <c r="V610" s="34">
        <f t="shared" si="79"/>
        <v>0</v>
      </c>
    </row>
    <row r="611" spans="1:25" outlineLevel="1" x14ac:dyDescent="0.45">
      <c r="H611" s="37"/>
      <c r="N611" s="38"/>
      <c r="V611" s="34">
        <f t="shared" si="79"/>
        <v>0</v>
      </c>
    </row>
    <row r="612" spans="1:25" outlineLevel="1" x14ac:dyDescent="0.45">
      <c r="H612" s="37"/>
      <c r="N612" s="38"/>
      <c r="V612" s="34">
        <f t="shared" si="79"/>
        <v>0</v>
      </c>
    </row>
    <row r="613" spans="1:25" outlineLevel="1" x14ac:dyDescent="0.45">
      <c r="H613" s="37"/>
      <c r="N613" s="38"/>
      <c r="S613" s="38"/>
      <c r="V613" s="34">
        <f t="shared" si="79"/>
        <v>0</v>
      </c>
    </row>
    <row r="614" spans="1:25" outlineLevel="1" x14ac:dyDescent="0.45">
      <c r="H614" s="37"/>
      <c r="N614" s="38"/>
      <c r="S614" s="38"/>
      <c r="V614" s="34">
        <f t="shared" si="79"/>
        <v>0</v>
      </c>
    </row>
    <row r="615" spans="1:25" outlineLevel="1" x14ac:dyDescent="0.45">
      <c r="H615" s="37"/>
      <c r="N615" s="38"/>
      <c r="S615" s="38"/>
      <c r="V615" s="34">
        <f t="shared" si="79"/>
        <v>0</v>
      </c>
    </row>
    <row r="616" spans="1:25" outlineLevel="1" x14ac:dyDescent="0.45">
      <c r="H616" s="37"/>
      <c r="N616" s="38"/>
      <c r="S616" s="38"/>
      <c r="V616" s="34">
        <f t="shared" si="79"/>
        <v>0</v>
      </c>
    </row>
    <row r="617" spans="1:25" outlineLevel="1" x14ac:dyDescent="0.45">
      <c r="H617" s="37"/>
      <c r="N617" s="38"/>
      <c r="S617" s="38"/>
      <c r="V617" s="34">
        <f t="shared" si="79"/>
        <v>0</v>
      </c>
    </row>
    <row r="618" spans="1:25" outlineLevel="1" x14ac:dyDescent="0.45">
      <c r="H618" s="37"/>
      <c r="N618" s="38"/>
      <c r="S618" s="38"/>
      <c r="V618" s="34">
        <f t="shared" si="79"/>
        <v>0</v>
      </c>
    </row>
    <row r="619" spans="1:25" outlineLevel="1" x14ac:dyDescent="0.45"/>
    <row r="620" spans="1:25" ht="12.9" outlineLevel="1" thickBot="1" x14ac:dyDescent="0.5"/>
    <row r="621" spans="1:25" ht="12.75" customHeight="1" x14ac:dyDescent="0.45">
      <c r="A621" s="126">
        <v>20</v>
      </c>
      <c r="B621" s="128" t="s">
        <v>214</v>
      </c>
      <c r="C621" s="128" t="s">
        <v>9</v>
      </c>
      <c r="D621" s="130" t="s">
        <v>12</v>
      </c>
      <c r="E621" s="46"/>
      <c r="F621" s="66"/>
      <c r="G621" s="36">
        <f t="shared" ref="G621:U621" si="80">SUM(G623:G633)</f>
        <v>0</v>
      </c>
      <c r="H621" s="36">
        <f t="shared" si="80"/>
        <v>0</v>
      </c>
      <c r="I621" s="36">
        <f t="shared" si="80"/>
        <v>0</v>
      </c>
      <c r="J621" s="36">
        <f t="shared" si="80"/>
        <v>0</v>
      </c>
      <c r="K621" s="36">
        <f t="shared" si="80"/>
        <v>0</v>
      </c>
      <c r="L621" s="36">
        <f t="shared" si="80"/>
        <v>0</v>
      </c>
      <c r="M621" s="36">
        <f t="shared" si="80"/>
        <v>0</v>
      </c>
      <c r="N621" s="36">
        <f t="shared" si="80"/>
        <v>0</v>
      </c>
      <c r="O621" s="36">
        <f t="shared" si="80"/>
        <v>0</v>
      </c>
      <c r="P621" s="36">
        <f t="shared" si="80"/>
        <v>0</v>
      </c>
      <c r="Q621" s="36">
        <f t="shared" si="80"/>
        <v>0</v>
      </c>
      <c r="R621" s="36">
        <f t="shared" si="80"/>
        <v>0</v>
      </c>
      <c r="S621" s="36">
        <f t="shared" si="80"/>
        <v>0</v>
      </c>
      <c r="T621" s="36">
        <f t="shared" si="80"/>
        <v>0</v>
      </c>
      <c r="U621" s="36">
        <f t="shared" si="80"/>
        <v>0</v>
      </c>
      <c r="V621" s="36">
        <f>SUM(V623:V633)</f>
        <v>0</v>
      </c>
      <c r="W621" s="132">
        <f>V621+V622</f>
        <v>0</v>
      </c>
    </row>
    <row r="622" spans="1:25" ht="12.9" thickBot="1" x14ac:dyDescent="0.5">
      <c r="A622" s="127"/>
      <c r="B622" s="129"/>
      <c r="C622" s="129"/>
      <c r="D622" s="131"/>
      <c r="E622" s="47" t="s">
        <v>33</v>
      </c>
      <c r="F622" s="67"/>
      <c r="G622" s="39">
        <f>SUM(G634:G651)</f>
        <v>0</v>
      </c>
      <c r="H622" s="41">
        <f>SUM(H634:H651)</f>
        <v>0</v>
      </c>
      <c r="I622" s="39">
        <f>SUM(I634:I651)</f>
        <v>0</v>
      </c>
      <c r="J622" s="39">
        <f>SUM(J634:J651)</f>
        <v>0</v>
      </c>
      <c r="K622" s="39">
        <f t="shared" ref="K622:U622" si="81">SUM(K634:K651)</f>
        <v>0</v>
      </c>
      <c r="L622" s="39">
        <f t="shared" si="81"/>
        <v>0</v>
      </c>
      <c r="M622" s="39">
        <f t="shared" si="81"/>
        <v>0</v>
      </c>
      <c r="N622" s="39">
        <f t="shared" si="81"/>
        <v>0</v>
      </c>
      <c r="O622" s="39">
        <f t="shared" si="81"/>
        <v>0</v>
      </c>
      <c r="P622" s="39">
        <f t="shared" si="81"/>
        <v>0</v>
      </c>
      <c r="Q622" s="39">
        <f t="shared" si="81"/>
        <v>0</v>
      </c>
      <c r="R622" s="39">
        <f t="shared" si="81"/>
        <v>0</v>
      </c>
      <c r="S622" s="39">
        <f t="shared" si="81"/>
        <v>0</v>
      </c>
      <c r="T622" s="39">
        <f t="shared" si="81"/>
        <v>0</v>
      </c>
      <c r="U622" s="39">
        <f t="shared" si="81"/>
        <v>0</v>
      </c>
      <c r="V622" s="39">
        <f>SUM(V634:V651)</f>
        <v>0</v>
      </c>
      <c r="W622" s="133"/>
      <c r="Y622" s="38"/>
    </row>
    <row r="623" spans="1:25" outlineLevel="1" x14ac:dyDescent="0.45">
      <c r="V623" s="34">
        <f t="shared" ref="V623:V632" si="82">SUM(G623:U623)</f>
        <v>0</v>
      </c>
    </row>
    <row r="624" spans="1:25" outlineLevel="1" x14ac:dyDescent="0.45">
      <c r="V624" s="34">
        <f t="shared" si="82"/>
        <v>0</v>
      </c>
    </row>
    <row r="625" spans="2:24" outlineLevel="1" x14ac:dyDescent="0.45">
      <c r="V625" s="34">
        <f t="shared" si="82"/>
        <v>0</v>
      </c>
    </row>
    <row r="626" spans="2:24" outlineLevel="1" x14ac:dyDescent="0.45">
      <c r="V626" s="34">
        <f t="shared" si="82"/>
        <v>0</v>
      </c>
    </row>
    <row r="627" spans="2:24" outlineLevel="1" x14ac:dyDescent="0.45">
      <c r="V627" s="34">
        <f t="shared" si="82"/>
        <v>0</v>
      </c>
    </row>
    <row r="628" spans="2:24" outlineLevel="1" x14ac:dyDescent="0.45">
      <c r="V628" s="34">
        <f t="shared" si="82"/>
        <v>0</v>
      </c>
    </row>
    <row r="629" spans="2:24" outlineLevel="1" x14ac:dyDescent="0.45">
      <c r="V629" s="34">
        <f t="shared" si="82"/>
        <v>0</v>
      </c>
    </row>
    <row r="630" spans="2:24" outlineLevel="1" x14ac:dyDescent="0.45">
      <c r="V630" s="34">
        <f t="shared" si="82"/>
        <v>0</v>
      </c>
    </row>
    <row r="631" spans="2:24" outlineLevel="1" x14ac:dyDescent="0.45">
      <c r="V631" s="34">
        <f t="shared" si="82"/>
        <v>0</v>
      </c>
    </row>
    <row r="632" spans="2:24" outlineLevel="1" x14ac:dyDescent="0.45">
      <c r="V632" s="34">
        <f t="shared" si="82"/>
        <v>0</v>
      </c>
    </row>
    <row r="633" spans="2:24" outlineLevel="1" x14ac:dyDescent="0.45">
      <c r="B633" s="136" t="s">
        <v>29</v>
      </c>
      <c r="C633" s="136"/>
      <c r="D633" s="136"/>
      <c r="E633" s="136"/>
      <c r="F633" s="136"/>
      <c r="G633" s="136"/>
      <c r="H633" s="136"/>
      <c r="I633" s="136"/>
      <c r="J633" s="136"/>
      <c r="K633" s="136"/>
      <c r="L633" s="136"/>
      <c r="M633" s="136"/>
      <c r="N633" s="136"/>
      <c r="O633" s="136"/>
      <c r="P633" s="136"/>
      <c r="Q633" s="136"/>
      <c r="R633" s="136"/>
      <c r="S633" s="136"/>
      <c r="T633" s="136"/>
      <c r="U633" s="136"/>
      <c r="V633" s="107"/>
    </row>
    <row r="634" spans="2:24" outlineLevel="1" x14ac:dyDescent="0.45">
      <c r="V634" s="34">
        <f t="shared" ref="V634:V650" si="83">SUM(G634:U634)</f>
        <v>0</v>
      </c>
      <c r="X634" s="38"/>
    </row>
    <row r="635" spans="2:24" outlineLevel="1" x14ac:dyDescent="0.45">
      <c r="V635" s="34">
        <f t="shared" si="83"/>
        <v>0</v>
      </c>
    </row>
    <row r="636" spans="2:24" outlineLevel="1" x14ac:dyDescent="0.45">
      <c r="V636" s="34">
        <f t="shared" si="83"/>
        <v>0</v>
      </c>
      <c r="X636" s="38"/>
    </row>
    <row r="637" spans="2:24" outlineLevel="1" x14ac:dyDescent="0.45">
      <c r="V637" s="34">
        <f t="shared" si="83"/>
        <v>0</v>
      </c>
      <c r="X637" s="38"/>
    </row>
    <row r="638" spans="2:24" outlineLevel="1" x14ac:dyDescent="0.45">
      <c r="V638" s="34">
        <f t="shared" si="83"/>
        <v>0</v>
      </c>
      <c r="X638" s="38"/>
    </row>
    <row r="639" spans="2:24" outlineLevel="1" x14ac:dyDescent="0.45">
      <c r="V639" s="34">
        <f t="shared" si="83"/>
        <v>0</v>
      </c>
    </row>
    <row r="640" spans="2:24" outlineLevel="1" x14ac:dyDescent="0.45">
      <c r="H640" s="37"/>
      <c r="N640" s="38"/>
      <c r="V640" s="34">
        <f t="shared" si="83"/>
        <v>0</v>
      </c>
    </row>
    <row r="641" spans="1:26" outlineLevel="1" x14ac:dyDescent="0.45">
      <c r="H641" s="37"/>
      <c r="N641" s="38"/>
      <c r="V641" s="34">
        <f t="shared" si="83"/>
        <v>0</v>
      </c>
    </row>
    <row r="642" spans="1:26" outlineLevel="1" x14ac:dyDescent="0.45">
      <c r="H642" s="37"/>
      <c r="N642" s="38"/>
      <c r="V642" s="34">
        <f t="shared" si="83"/>
        <v>0</v>
      </c>
    </row>
    <row r="643" spans="1:26" outlineLevel="1" x14ac:dyDescent="0.45">
      <c r="H643" s="37"/>
      <c r="N643" s="38"/>
      <c r="V643" s="34">
        <f t="shared" si="83"/>
        <v>0</v>
      </c>
    </row>
    <row r="644" spans="1:26" outlineLevel="1" x14ac:dyDescent="0.45">
      <c r="H644" s="37"/>
      <c r="N644" s="38"/>
      <c r="V644" s="34">
        <f t="shared" si="83"/>
        <v>0</v>
      </c>
    </row>
    <row r="645" spans="1:26" outlineLevel="1" x14ac:dyDescent="0.45">
      <c r="H645" s="37"/>
      <c r="N645" s="38"/>
      <c r="S645" s="38"/>
      <c r="V645" s="34">
        <f t="shared" si="83"/>
        <v>0</v>
      </c>
    </row>
    <row r="646" spans="1:26" outlineLevel="1" x14ac:dyDescent="0.45">
      <c r="H646" s="37"/>
      <c r="N646" s="38"/>
      <c r="S646" s="38"/>
      <c r="V646" s="34">
        <f t="shared" si="83"/>
        <v>0</v>
      </c>
    </row>
    <row r="647" spans="1:26" outlineLevel="1" x14ac:dyDescent="0.45">
      <c r="H647" s="37"/>
      <c r="N647" s="38"/>
      <c r="S647" s="38"/>
      <c r="V647" s="34">
        <f t="shared" si="83"/>
        <v>0</v>
      </c>
    </row>
    <row r="648" spans="1:26" outlineLevel="1" x14ac:dyDescent="0.45">
      <c r="H648" s="37"/>
      <c r="N648" s="38"/>
      <c r="S648" s="38"/>
      <c r="V648" s="34">
        <f t="shared" si="83"/>
        <v>0</v>
      </c>
    </row>
    <row r="649" spans="1:26" outlineLevel="1" x14ac:dyDescent="0.45">
      <c r="H649" s="37"/>
      <c r="N649" s="38"/>
      <c r="S649" s="38"/>
      <c r="V649" s="34">
        <f t="shared" si="83"/>
        <v>0</v>
      </c>
    </row>
    <row r="650" spans="1:26" outlineLevel="1" x14ac:dyDescent="0.45">
      <c r="H650" s="37"/>
      <c r="N650" s="38"/>
      <c r="S650" s="38"/>
      <c r="V650" s="34">
        <f t="shared" si="83"/>
        <v>0</v>
      </c>
    </row>
    <row r="651" spans="1:26" outlineLevel="1" x14ac:dyDescent="0.45"/>
    <row r="652" spans="1:26" ht="12.9" outlineLevel="1" thickBot="1" x14ac:dyDescent="0.5"/>
    <row r="653" spans="1:26" s="1" customFormat="1" x14ac:dyDescent="0.4">
      <c r="A653" s="145"/>
      <c r="B653" s="134" t="s">
        <v>36</v>
      </c>
      <c r="C653" s="134"/>
      <c r="D653" s="137"/>
      <c r="E653" s="90"/>
      <c r="F653" s="45">
        <f t="shared" ref="F653:V653" si="84">F9+F52+F83+F117+F148+F179+F216+F247+F278+F309+F340+F371+F402+F433+F464+F495+F526+F621+F557+F589</f>
        <v>6</v>
      </c>
      <c r="G653" s="36">
        <f t="shared" si="84"/>
        <v>1004</v>
      </c>
      <c r="H653" s="36">
        <f t="shared" si="84"/>
        <v>1712</v>
      </c>
      <c r="I653" s="36">
        <f t="shared" si="84"/>
        <v>66</v>
      </c>
      <c r="J653" s="36">
        <f t="shared" si="84"/>
        <v>0</v>
      </c>
      <c r="K653" s="36">
        <f t="shared" si="84"/>
        <v>36</v>
      </c>
      <c r="L653" s="36">
        <f t="shared" si="84"/>
        <v>152</v>
      </c>
      <c r="M653" s="36">
        <f t="shared" si="84"/>
        <v>80</v>
      </c>
      <c r="N653" s="36">
        <f t="shared" si="84"/>
        <v>173.5</v>
      </c>
      <c r="O653" s="36">
        <f t="shared" si="84"/>
        <v>109.55000000000001</v>
      </c>
      <c r="P653" s="36">
        <f t="shared" si="84"/>
        <v>333</v>
      </c>
      <c r="Q653" s="36">
        <f t="shared" si="84"/>
        <v>0</v>
      </c>
      <c r="R653" s="36">
        <f t="shared" si="84"/>
        <v>42</v>
      </c>
      <c r="S653" s="36">
        <f t="shared" si="84"/>
        <v>0</v>
      </c>
      <c r="T653" s="36">
        <f t="shared" si="84"/>
        <v>0</v>
      </c>
      <c r="U653" s="36">
        <f t="shared" si="84"/>
        <v>195</v>
      </c>
      <c r="V653" s="36">
        <f t="shared" si="84"/>
        <v>3903.05</v>
      </c>
      <c r="W653" s="149">
        <f>V653+V654</f>
        <v>9187.5500000000029</v>
      </c>
      <c r="X653" s="74"/>
      <c r="Y653" s="74"/>
    </row>
    <row r="654" spans="1:26" s="1" customFormat="1" ht="12.9" thickBot="1" x14ac:dyDescent="0.45">
      <c r="A654" s="146"/>
      <c r="B654" s="135"/>
      <c r="C654" s="135"/>
      <c r="D654" s="138"/>
      <c r="E654" s="91"/>
      <c r="F654" s="48">
        <f t="shared" ref="F654:V654" si="85">F10+F53+F84+F118+F149+F180+F217+F248+F279+F310+F341+F372+F403+F434+F465+F496+F527+F622+F558+F590</f>
        <v>3.25</v>
      </c>
      <c r="G654" s="41">
        <f t="shared" si="85"/>
        <v>688</v>
      </c>
      <c r="H654" s="41">
        <f t="shared" si="85"/>
        <v>1388</v>
      </c>
      <c r="I654" s="39">
        <f t="shared" si="85"/>
        <v>24</v>
      </c>
      <c r="J654" s="39">
        <f t="shared" si="85"/>
        <v>0</v>
      </c>
      <c r="K654" s="39">
        <f t="shared" si="85"/>
        <v>36</v>
      </c>
      <c r="L654" s="39">
        <f t="shared" si="85"/>
        <v>322</v>
      </c>
      <c r="M654" s="39">
        <f t="shared" si="85"/>
        <v>58</v>
      </c>
      <c r="N654" s="39">
        <f t="shared" si="85"/>
        <v>185.5</v>
      </c>
      <c r="O654" s="39">
        <f t="shared" si="85"/>
        <v>114.8</v>
      </c>
      <c r="P654" s="39">
        <f t="shared" si="85"/>
        <v>271.5</v>
      </c>
      <c r="Q654" s="39">
        <f t="shared" si="85"/>
        <v>0</v>
      </c>
      <c r="R654" s="39">
        <f t="shared" si="85"/>
        <v>282.5</v>
      </c>
      <c r="S654" s="39">
        <f t="shared" si="85"/>
        <v>1650.1999999999998</v>
      </c>
      <c r="T654" s="39">
        <f t="shared" si="85"/>
        <v>129</v>
      </c>
      <c r="U654" s="39">
        <f t="shared" si="85"/>
        <v>135</v>
      </c>
      <c r="V654" s="39">
        <f t="shared" si="85"/>
        <v>5284.5000000000018</v>
      </c>
      <c r="W654" s="150"/>
      <c r="Y654" s="74"/>
      <c r="Z654" s="74"/>
    </row>
    <row r="655" spans="1:26" ht="27.75" customHeight="1" thickBot="1" x14ac:dyDescent="0.5">
      <c r="W655" s="54"/>
    </row>
    <row r="656" spans="1:26" ht="13.5" customHeight="1" x14ac:dyDescent="0.45">
      <c r="A656" s="126">
        <v>21</v>
      </c>
      <c r="B656" s="128" t="s">
        <v>38</v>
      </c>
      <c r="C656" s="134"/>
      <c r="D656" s="137"/>
      <c r="E656" s="137" t="s">
        <v>35</v>
      </c>
      <c r="F656" s="96">
        <v>1</v>
      </c>
      <c r="G656" s="36">
        <f t="shared" ref="G656:U656" si="86">SUM(G658:G668)</f>
        <v>0</v>
      </c>
      <c r="H656" s="36">
        <f t="shared" si="86"/>
        <v>0</v>
      </c>
      <c r="I656" s="36">
        <f t="shared" si="86"/>
        <v>0</v>
      </c>
      <c r="J656" s="36">
        <f t="shared" si="86"/>
        <v>0</v>
      </c>
      <c r="K656" s="36">
        <f t="shared" si="86"/>
        <v>0</v>
      </c>
      <c r="L656" s="36">
        <f t="shared" si="86"/>
        <v>0</v>
      </c>
      <c r="M656" s="36">
        <f t="shared" si="86"/>
        <v>0</v>
      </c>
      <c r="N656" s="36">
        <f t="shared" si="86"/>
        <v>0</v>
      </c>
      <c r="O656" s="36">
        <f t="shared" si="86"/>
        <v>0</v>
      </c>
      <c r="P656" s="36">
        <f t="shared" si="86"/>
        <v>0</v>
      </c>
      <c r="Q656" s="36">
        <f t="shared" si="86"/>
        <v>0</v>
      </c>
      <c r="R656" s="36">
        <f t="shared" si="86"/>
        <v>0</v>
      </c>
      <c r="S656" s="36">
        <f t="shared" si="86"/>
        <v>0</v>
      </c>
      <c r="T656" s="36">
        <f t="shared" si="86"/>
        <v>0</v>
      </c>
      <c r="U656" s="36">
        <f t="shared" si="86"/>
        <v>0</v>
      </c>
      <c r="V656" s="36">
        <f>SUM(V658:V668)</f>
        <v>0</v>
      </c>
      <c r="W656" s="139">
        <f>V656+V657</f>
        <v>473</v>
      </c>
      <c r="Y656" s="38"/>
    </row>
    <row r="657" spans="1:23" ht="12.75" customHeight="1" thickBot="1" x14ac:dyDescent="0.5">
      <c r="A657" s="127"/>
      <c r="B657" s="129"/>
      <c r="C657" s="135"/>
      <c r="D657" s="138"/>
      <c r="E657" s="138"/>
      <c r="F657" s="97"/>
      <c r="G657" s="39">
        <f t="shared" ref="G657:U657" si="87">SUM(G669:G686)</f>
        <v>0</v>
      </c>
      <c r="H657" s="39">
        <f t="shared" si="87"/>
        <v>0</v>
      </c>
      <c r="I657" s="39">
        <f t="shared" si="87"/>
        <v>0</v>
      </c>
      <c r="J657" s="39">
        <f t="shared" si="87"/>
        <v>0</v>
      </c>
      <c r="K657" s="39">
        <f t="shared" si="87"/>
        <v>0</v>
      </c>
      <c r="L657" s="39">
        <f t="shared" si="87"/>
        <v>0</v>
      </c>
      <c r="M657" s="39">
        <f t="shared" si="87"/>
        <v>0</v>
      </c>
      <c r="N657" s="39">
        <f t="shared" si="87"/>
        <v>0</v>
      </c>
      <c r="O657" s="39">
        <f t="shared" si="87"/>
        <v>0</v>
      </c>
      <c r="P657" s="39">
        <f t="shared" si="87"/>
        <v>0</v>
      </c>
      <c r="Q657" s="39">
        <f t="shared" si="87"/>
        <v>0</v>
      </c>
      <c r="R657" s="39">
        <f t="shared" si="87"/>
        <v>0</v>
      </c>
      <c r="S657" s="39">
        <f t="shared" si="87"/>
        <v>344</v>
      </c>
      <c r="T657" s="39">
        <f t="shared" si="87"/>
        <v>129</v>
      </c>
      <c r="U657" s="39">
        <f t="shared" si="87"/>
        <v>0</v>
      </c>
      <c r="V657" s="39">
        <f>SUM(V669:V686)</f>
        <v>473</v>
      </c>
      <c r="W657" s="140"/>
    </row>
    <row r="658" spans="1:23" outlineLevel="1" x14ac:dyDescent="0.4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 s="34">
        <f t="shared" ref="V658:V667" si="88">SUM(G658:U658)</f>
        <v>0</v>
      </c>
    </row>
    <row r="659" spans="1:23" outlineLevel="1" x14ac:dyDescent="0.45">
      <c r="V659" s="34">
        <f t="shared" si="88"/>
        <v>0</v>
      </c>
    </row>
    <row r="660" spans="1:23" outlineLevel="1" x14ac:dyDescent="0.45">
      <c r="V660" s="34">
        <f t="shared" si="88"/>
        <v>0</v>
      </c>
    </row>
    <row r="661" spans="1:23" outlineLevel="1" x14ac:dyDescent="0.45">
      <c r="V661" s="34">
        <f t="shared" si="88"/>
        <v>0</v>
      </c>
    </row>
    <row r="662" spans="1:23" outlineLevel="1" x14ac:dyDescent="0.4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 s="34">
        <f t="shared" si="88"/>
        <v>0</v>
      </c>
    </row>
    <row r="663" spans="1:23" outlineLevel="1" x14ac:dyDescent="0.45">
      <c r="V663" s="34">
        <f t="shared" si="88"/>
        <v>0</v>
      </c>
    </row>
    <row r="664" spans="1:23" outlineLevel="1" x14ac:dyDescent="0.45">
      <c r="V664" s="34">
        <f t="shared" si="88"/>
        <v>0</v>
      </c>
    </row>
    <row r="665" spans="1:23" outlineLevel="1" x14ac:dyDescent="0.45">
      <c r="V665" s="34">
        <f t="shared" si="88"/>
        <v>0</v>
      </c>
    </row>
    <row r="666" spans="1:23" outlineLevel="1" x14ac:dyDescent="0.45">
      <c r="V666" s="34">
        <f t="shared" si="88"/>
        <v>0</v>
      </c>
    </row>
    <row r="667" spans="1:23" outlineLevel="1" x14ac:dyDescent="0.45">
      <c r="V667" s="34">
        <f t="shared" si="88"/>
        <v>0</v>
      </c>
    </row>
    <row r="668" spans="1:23" outlineLevel="1" x14ac:dyDescent="0.45">
      <c r="B668" s="136" t="s">
        <v>29</v>
      </c>
      <c r="C668" s="136"/>
      <c r="D668" s="136"/>
      <c r="E668" s="136"/>
      <c r="F668" s="136"/>
      <c r="G668" s="136"/>
      <c r="H668" s="136"/>
      <c r="I668" s="136"/>
      <c r="J668" s="136"/>
      <c r="K668" s="136"/>
      <c r="L668" s="136"/>
      <c r="M668" s="136"/>
      <c r="N668" s="136"/>
      <c r="O668" s="136"/>
      <c r="P668" s="136"/>
      <c r="Q668" s="136"/>
      <c r="R668" s="136"/>
      <c r="S668" s="136"/>
      <c r="T668" s="136"/>
      <c r="U668" s="136"/>
      <c r="V668" s="68"/>
    </row>
    <row r="669" spans="1:23" outlineLevel="1" x14ac:dyDescent="0.45">
      <c r="A669" s="34" t="s">
        <v>223</v>
      </c>
      <c r="B669" s="42" t="s">
        <v>86</v>
      </c>
      <c r="C669" s="34">
        <v>4</v>
      </c>
      <c r="T669" s="34">
        <v>33</v>
      </c>
      <c r="V669" s="34">
        <f t="shared" ref="V669:V685" si="89">SUM(G669:U669)</f>
        <v>33</v>
      </c>
    </row>
    <row r="670" spans="1:23" ht="25.2" outlineLevel="1" x14ac:dyDescent="0.45">
      <c r="A670" t="s">
        <v>223</v>
      </c>
      <c r="B670" s="42" t="s">
        <v>90</v>
      </c>
      <c r="C670">
        <v>4</v>
      </c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>
        <v>132</v>
      </c>
      <c r="T670"/>
      <c r="U670"/>
      <c r="V670" s="34">
        <f t="shared" si="89"/>
        <v>132</v>
      </c>
    </row>
    <row r="671" spans="1:23" ht="25.2" outlineLevel="1" x14ac:dyDescent="0.45">
      <c r="A671" s="34" t="s">
        <v>226</v>
      </c>
      <c r="B671" s="42" t="s">
        <v>169</v>
      </c>
      <c r="C671" s="34">
        <v>2</v>
      </c>
      <c r="T671" s="34">
        <v>4</v>
      </c>
      <c r="V671" s="34">
        <f t="shared" si="89"/>
        <v>4</v>
      </c>
    </row>
    <row r="672" spans="1:23" ht="25.2" outlineLevel="1" x14ac:dyDescent="0.45">
      <c r="A672" t="s">
        <v>226</v>
      </c>
      <c r="B672" s="42" t="s">
        <v>173</v>
      </c>
      <c r="C672">
        <v>2</v>
      </c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>
        <v>16</v>
      </c>
      <c r="T672"/>
      <c r="U672"/>
      <c r="V672" s="34">
        <f t="shared" si="89"/>
        <v>16</v>
      </c>
    </row>
    <row r="673" spans="1:25" outlineLevel="1" x14ac:dyDescent="0.45">
      <c r="A673" s="34" t="s">
        <v>225</v>
      </c>
      <c r="B673" s="42" t="s">
        <v>161</v>
      </c>
      <c r="C673" s="34">
        <v>2</v>
      </c>
      <c r="S673" s="34">
        <v>12</v>
      </c>
      <c r="V673" s="34">
        <f t="shared" si="89"/>
        <v>12</v>
      </c>
    </row>
    <row r="674" spans="1:25" outlineLevel="1" x14ac:dyDescent="0.45">
      <c r="A674" s="34" t="s">
        <v>225</v>
      </c>
      <c r="B674" s="42" t="s">
        <v>157</v>
      </c>
      <c r="C674" s="34">
        <v>2</v>
      </c>
      <c r="T674" s="34">
        <v>3</v>
      </c>
      <c r="V674" s="34">
        <f t="shared" si="89"/>
        <v>3</v>
      </c>
    </row>
    <row r="675" spans="1:25" outlineLevel="1" x14ac:dyDescent="0.45">
      <c r="A675" t="s">
        <v>224</v>
      </c>
      <c r="B675" s="42" t="s">
        <v>123</v>
      </c>
      <c r="C675">
        <v>5</v>
      </c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>
        <v>25</v>
      </c>
      <c r="U675"/>
      <c r="V675" s="34">
        <f t="shared" si="89"/>
        <v>25</v>
      </c>
    </row>
    <row r="676" spans="1:25" ht="25.2" outlineLevel="1" x14ac:dyDescent="0.45">
      <c r="A676" t="s">
        <v>224</v>
      </c>
      <c r="B676" s="42" t="s">
        <v>134</v>
      </c>
      <c r="C676">
        <v>4</v>
      </c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>
        <v>21</v>
      </c>
      <c r="U676"/>
      <c r="V676" s="34">
        <f t="shared" si="89"/>
        <v>21</v>
      </c>
    </row>
    <row r="677" spans="1:25" outlineLevel="1" x14ac:dyDescent="0.45">
      <c r="A677" s="34" t="s">
        <v>223</v>
      </c>
      <c r="B677" s="42" t="s">
        <v>87</v>
      </c>
      <c r="C677" s="34">
        <v>4</v>
      </c>
      <c r="T677" s="34">
        <v>16.5</v>
      </c>
      <c r="V677" s="34">
        <f t="shared" si="89"/>
        <v>16.5</v>
      </c>
    </row>
    <row r="678" spans="1:25" outlineLevel="1" x14ac:dyDescent="0.45">
      <c r="A678" s="34" t="s">
        <v>224</v>
      </c>
      <c r="B678" s="42" t="s">
        <v>124</v>
      </c>
      <c r="C678" s="34">
        <v>5</v>
      </c>
      <c r="T678" s="34">
        <v>12.5</v>
      </c>
      <c r="V678" s="34">
        <f t="shared" si="89"/>
        <v>12.5</v>
      </c>
    </row>
    <row r="679" spans="1:25" outlineLevel="1" x14ac:dyDescent="0.45">
      <c r="A679" s="34" t="s">
        <v>224</v>
      </c>
      <c r="B679" s="42" t="s">
        <v>135</v>
      </c>
      <c r="C679" s="34">
        <v>4</v>
      </c>
      <c r="T679" s="34">
        <v>10.5</v>
      </c>
      <c r="V679" s="34">
        <f t="shared" si="89"/>
        <v>10.5</v>
      </c>
    </row>
    <row r="680" spans="1:25" ht="25.2" outlineLevel="1" x14ac:dyDescent="0.45">
      <c r="A680" s="34" t="s">
        <v>224</v>
      </c>
      <c r="B680" s="42" t="s">
        <v>127</v>
      </c>
      <c r="C680" s="34">
        <v>5</v>
      </c>
      <c r="S680" s="34">
        <v>100</v>
      </c>
      <c r="V680" s="34">
        <f t="shared" si="89"/>
        <v>100</v>
      </c>
    </row>
    <row r="681" spans="1:25" ht="25.2" outlineLevel="1" x14ac:dyDescent="0.45">
      <c r="A681" s="34" t="s">
        <v>224</v>
      </c>
      <c r="B681" s="42" t="s">
        <v>138</v>
      </c>
      <c r="C681" s="34">
        <v>4</v>
      </c>
      <c r="S681" s="34">
        <v>84</v>
      </c>
      <c r="V681" s="34">
        <f t="shared" si="89"/>
        <v>84</v>
      </c>
    </row>
    <row r="682" spans="1:25" outlineLevel="1" x14ac:dyDescent="0.45">
      <c r="A682" s="34" t="s">
        <v>225</v>
      </c>
      <c r="B682" s="42" t="s">
        <v>158</v>
      </c>
      <c r="C682" s="34">
        <v>2</v>
      </c>
      <c r="T682" s="34">
        <v>1.5</v>
      </c>
      <c r="V682" s="34">
        <f t="shared" si="89"/>
        <v>1.5</v>
      </c>
    </row>
    <row r="683" spans="1:25" outlineLevel="1" x14ac:dyDescent="0.45">
      <c r="A683" s="34" t="s">
        <v>226</v>
      </c>
      <c r="B683" s="42" t="s">
        <v>170</v>
      </c>
      <c r="C683" s="34">
        <v>2</v>
      </c>
      <c r="T683" s="34">
        <v>2</v>
      </c>
      <c r="V683" s="34">
        <f t="shared" si="89"/>
        <v>2</v>
      </c>
    </row>
    <row r="684" spans="1:25" outlineLevel="1" x14ac:dyDescent="0.45">
      <c r="V684" s="34">
        <f t="shared" si="89"/>
        <v>0</v>
      </c>
    </row>
    <row r="685" spans="1:25" outlineLevel="1" x14ac:dyDescent="0.45">
      <c r="V685" s="34">
        <f t="shared" si="89"/>
        <v>0</v>
      </c>
    </row>
    <row r="686" spans="1:25" ht="31.5" customHeight="1" thickBot="1" x14ac:dyDescent="0.5"/>
    <row r="687" spans="1:25" ht="18.75" customHeight="1" x14ac:dyDescent="0.45">
      <c r="A687" s="126">
        <v>22</v>
      </c>
      <c r="B687" s="128" t="s">
        <v>37</v>
      </c>
      <c r="C687" s="134"/>
      <c r="D687" s="137"/>
      <c r="E687" s="137" t="s">
        <v>35</v>
      </c>
      <c r="F687" s="96">
        <v>1</v>
      </c>
      <c r="G687" s="36">
        <f t="shared" ref="G687:V687" si="90">SUM(G689:G699)</f>
        <v>8</v>
      </c>
      <c r="H687" s="36">
        <f t="shared" si="90"/>
        <v>16</v>
      </c>
      <c r="I687" s="36">
        <f t="shared" si="90"/>
        <v>0</v>
      </c>
      <c r="J687" s="36">
        <f t="shared" si="90"/>
        <v>0</v>
      </c>
      <c r="K687" s="36">
        <f t="shared" si="90"/>
        <v>2</v>
      </c>
      <c r="L687" s="36">
        <f t="shared" si="90"/>
        <v>12</v>
      </c>
      <c r="M687" s="36">
        <f t="shared" si="90"/>
        <v>2</v>
      </c>
      <c r="N687" s="36">
        <f t="shared" si="90"/>
        <v>12.5</v>
      </c>
      <c r="O687" s="36">
        <f t="shared" si="90"/>
        <v>8.75</v>
      </c>
      <c r="P687" s="36">
        <f t="shared" si="90"/>
        <v>1.5</v>
      </c>
      <c r="Q687" s="36">
        <f t="shared" si="90"/>
        <v>0</v>
      </c>
      <c r="R687" s="36">
        <f t="shared" si="90"/>
        <v>0</v>
      </c>
      <c r="S687" s="36">
        <f t="shared" si="90"/>
        <v>0</v>
      </c>
      <c r="T687" s="36">
        <f t="shared" si="90"/>
        <v>0</v>
      </c>
      <c r="U687" s="36">
        <f t="shared" si="90"/>
        <v>0</v>
      </c>
      <c r="V687" s="36">
        <f t="shared" si="90"/>
        <v>62.75</v>
      </c>
      <c r="W687" s="139">
        <f>V687+V688</f>
        <v>382.5</v>
      </c>
      <c r="Y687" s="38"/>
    </row>
    <row r="688" spans="1:25" ht="12.9" thickBot="1" x14ac:dyDescent="0.5">
      <c r="A688" s="127"/>
      <c r="B688" s="129"/>
      <c r="C688" s="135"/>
      <c r="D688" s="138"/>
      <c r="E688" s="138"/>
      <c r="F688" s="47"/>
      <c r="G688" s="39">
        <f t="shared" ref="G688:V688" si="91">SUM(G700:G716)</f>
        <v>96</v>
      </c>
      <c r="H688" s="39">
        <f t="shared" si="91"/>
        <v>150</v>
      </c>
      <c r="I688" s="39">
        <f t="shared" si="91"/>
        <v>28</v>
      </c>
      <c r="J688" s="39">
        <f t="shared" si="91"/>
        <v>0</v>
      </c>
      <c r="K688" s="39">
        <f t="shared" si="91"/>
        <v>0</v>
      </c>
      <c r="L688" s="39">
        <f t="shared" si="91"/>
        <v>0</v>
      </c>
      <c r="M688" s="39">
        <f t="shared" si="91"/>
        <v>6</v>
      </c>
      <c r="N688" s="39">
        <f t="shared" si="91"/>
        <v>0</v>
      </c>
      <c r="O688" s="39">
        <f t="shared" si="91"/>
        <v>8.75</v>
      </c>
      <c r="P688" s="39">
        <f t="shared" si="91"/>
        <v>31</v>
      </c>
      <c r="Q688" s="39">
        <f t="shared" si="91"/>
        <v>0</v>
      </c>
      <c r="R688" s="39">
        <f t="shared" si="91"/>
        <v>0</v>
      </c>
      <c r="S688" s="39">
        <f t="shared" si="91"/>
        <v>0</v>
      </c>
      <c r="T688" s="39">
        <f t="shared" si="91"/>
        <v>0</v>
      </c>
      <c r="U688" s="39">
        <f t="shared" si="91"/>
        <v>0</v>
      </c>
      <c r="V688" s="39">
        <f t="shared" si="91"/>
        <v>319.75</v>
      </c>
      <c r="W688" s="140"/>
    </row>
    <row r="689" spans="1:22" ht="37.799999999999997" outlineLevel="1" x14ac:dyDescent="0.45">
      <c r="A689" s="34" t="s">
        <v>224</v>
      </c>
      <c r="B689" s="42" t="s">
        <v>101</v>
      </c>
      <c r="C689" s="34">
        <v>5</v>
      </c>
      <c r="G689" s="34">
        <v>8</v>
      </c>
      <c r="H689" s="34">
        <v>16</v>
      </c>
      <c r="K689" s="34">
        <v>2</v>
      </c>
      <c r="N689" s="34">
        <v>12.5</v>
      </c>
      <c r="O689" s="34">
        <v>8.75</v>
      </c>
      <c r="V689" s="34">
        <f t="shared" ref="V689:V715" si="92">SUM(G689:U689)</f>
        <v>47.25</v>
      </c>
    </row>
    <row r="690" spans="1:22" ht="25.2" outlineLevel="1" x14ac:dyDescent="0.45">
      <c r="A690" s="34" t="s">
        <v>225</v>
      </c>
      <c r="B690" s="42" t="s">
        <v>150</v>
      </c>
      <c r="C690" s="34">
        <v>2</v>
      </c>
      <c r="L690" s="34">
        <v>12</v>
      </c>
      <c r="M690" s="34">
        <v>2</v>
      </c>
      <c r="P690" s="34">
        <v>1.5</v>
      </c>
      <c r="V690" s="34">
        <f t="shared" si="92"/>
        <v>15.5</v>
      </c>
    </row>
    <row r="691" spans="1:22" outlineLevel="1" x14ac:dyDescent="0.4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 s="34">
        <f t="shared" si="92"/>
        <v>0</v>
      </c>
    </row>
    <row r="692" spans="1:22" outlineLevel="1" x14ac:dyDescent="0.45">
      <c r="V692" s="34">
        <f t="shared" si="92"/>
        <v>0</v>
      </c>
    </row>
    <row r="693" spans="1:22" outlineLevel="1" x14ac:dyDescent="0.45">
      <c r="V693" s="34">
        <f t="shared" si="92"/>
        <v>0</v>
      </c>
    </row>
    <row r="694" spans="1:22" outlineLevel="1" x14ac:dyDescent="0.45">
      <c r="V694" s="34">
        <f t="shared" si="92"/>
        <v>0</v>
      </c>
    </row>
    <row r="695" spans="1:22" outlineLevel="1" x14ac:dyDescent="0.45">
      <c r="V695" s="34">
        <f t="shared" si="92"/>
        <v>0</v>
      </c>
    </row>
    <row r="696" spans="1:22" outlineLevel="1" x14ac:dyDescent="0.45">
      <c r="V696" s="34">
        <f t="shared" si="92"/>
        <v>0</v>
      </c>
    </row>
    <row r="697" spans="1:22" outlineLevel="1" x14ac:dyDescent="0.45">
      <c r="V697" s="34">
        <f t="shared" si="92"/>
        <v>0</v>
      </c>
    </row>
    <row r="698" spans="1:22" outlineLevel="1" x14ac:dyDescent="0.45">
      <c r="V698" s="34">
        <f t="shared" si="92"/>
        <v>0</v>
      </c>
    </row>
    <row r="699" spans="1:22" outlineLevel="1" x14ac:dyDescent="0.45">
      <c r="B699" s="136" t="s">
        <v>29</v>
      </c>
      <c r="C699" s="136"/>
      <c r="D699" s="136"/>
      <c r="E699" s="136"/>
      <c r="F699" s="136"/>
      <c r="G699" s="136"/>
      <c r="H699" s="136"/>
      <c r="I699" s="136"/>
      <c r="J699" s="136"/>
      <c r="K699" s="136"/>
      <c r="L699" s="136"/>
      <c r="M699" s="136"/>
      <c r="N699" s="136"/>
      <c r="O699" s="136"/>
      <c r="P699" s="136"/>
      <c r="Q699" s="136"/>
      <c r="R699" s="136"/>
      <c r="S699" s="136"/>
      <c r="T699" s="136"/>
      <c r="U699" s="136"/>
      <c r="V699" s="68"/>
    </row>
    <row r="700" spans="1:22" ht="37.799999999999997" outlineLevel="1" x14ac:dyDescent="0.45">
      <c r="A700" s="34" t="s">
        <v>223</v>
      </c>
      <c r="B700" s="42" t="s">
        <v>82</v>
      </c>
      <c r="C700" s="34">
        <v>4</v>
      </c>
      <c r="G700" s="34">
        <v>28</v>
      </c>
      <c r="H700" s="34">
        <v>84</v>
      </c>
      <c r="I700" s="34">
        <v>28</v>
      </c>
      <c r="M700" s="34">
        <v>4</v>
      </c>
      <c r="P700" s="34">
        <v>16.5</v>
      </c>
      <c r="V700" s="34">
        <f t="shared" si="92"/>
        <v>160.5</v>
      </c>
    </row>
    <row r="701" spans="1:22" ht="37.799999999999997" outlineLevel="1" x14ac:dyDescent="0.45">
      <c r="A701" s="34" t="s">
        <v>223</v>
      </c>
      <c r="B701" s="42" t="s">
        <v>64</v>
      </c>
      <c r="C701" s="34">
        <v>2</v>
      </c>
      <c r="G701" s="34">
        <v>34</v>
      </c>
      <c r="H701" s="34">
        <v>34</v>
      </c>
      <c r="M701" s="34">
        <v>2</v>
      </c>
      <c r="P701" s="34">
        <v>14.5</v>
      </c>
      <c r="V701" s="34">
        <f t="shared" si="92"/>
        <v>84.5</v>
      </c>
    </row>
    <row r="702" spans="1:22" ht="25.2" outlineLevel="1" x14ac:dyDescent="0.45">
      <c r="A702" s="34" t="s">
        <v>223</v>
      </c>
      <c r="B702" s="42" t="s">
        <v>232</v>
      </c>
      <c r="C702" s="34">
        <v>1</v>
      </c>
      <c r="G702" s="34">
        <v>34</v>
      </c>
      <c r="H702" s="34">
        <v>32</v>
      </c>
      <c r="O702" s="34">
        <v>8.75</v>
      </c>
      <c r="V702" s="34">
        <f t="shared" si="92"/>
        <v>74.75</v>
      </c>
    </row>
    <row r="703" spans="1:22" outlineLevel="1" x14ac:dyDescent="0.45">
      <c r="V703" s="34">
        <f t="shared" si="92"/>
        <v>0</v>
      </c>
    </row>
    <row r="704" spans="1:22" outlineLevel="1" x14ac:dyDescent="0.45">
      <c r="V704" s="34">
        <f t="shared" si="92"/>
        <v>0</v>
      </c>
    </row>
    <row r="705" spans="1:25" outlineLevel="1" x14ac:dyDescent="0.45">
      <c r="V705" s="34">
        <f t="shared" si="92"/>
        <v>0</v>
      </c>
    </row>
    <row r="706" spans="1:25" outlineLevel="1" x14ac:dyDescent="0.45">
      <c r="V706" s="34">
        <f t="shared" si="92"/>
        <v>0</v>
      </c>
    </row>
    <row r="707" spans="1:25" outlineLevel="1" x14ac:dyDescent="0.45">
      <c r="V707" s="34">
        <f t="shared" si="92"/>
        <v>0</v>
      </c>
    </row>
    <row r="708" spans="1:25" outlineLevel="1" x14ac:dyDescent="0.45">
      <c r="V708" s="34">
        <f t="shared" si="92"/>
        <v>0</v>
      </c>
    </row>
    <row r="709" spans="1:25" outlineLevel="1" x14ac:dyDescent="0.45">
      <c r="V709" s="34">
        <f t="shared" si="92"/>
        <v>0</v>
      </c>
    </row>
    <row r="710" spans="1:25" outlineLevel="1" x14ac:dyDescent="0.45">
      <c r="V710" s="34">
        <f t="shared" si="92"/>
        <v>0</v>
      </c>
    </row>
    <row r="711" spans="1:25" outlineLevel="1" x14ac:dyDescent="0.45">
      <c r="V711" s="34">
        <f t="shared" si="92"/>
        <v>0</v>
      </c>
    </row>
    <row r="712" spans="1:25" outlineLevel="1" x14ac:dyDescent="0.45">
      <c r="V712" s="34">
        <f t="shared" si="92"/>
        <v>0</v>
      </c>
    </row>
    <row r="713" spans="1:25" outlineLevel="1" x14ac:dyDescent="0.45">
      <c r="V713" s="34">
        <f t="shared" si="92"/>
        <v>0</v>
      </c>
    </row>
    <row r="714" spans="1:25" outlineLevel="1" x14ac:dyDescent="0.45">
      <c r="V714" s="34">
        <f t="shared" si="92"/>
        <v>0</v>
      </c>
    </row>
    <row r="715" spans="1:25" outlineLevel="1" x14ac:dyDescent="0.45">
      <c r="A715" s="83"/>
      <c r="B715" s="84"/>
      <c r="C715" s="83"/>
      <c r="D715" s="83"/>
      <c r="E715" s="83"/>
      <c r="F715" s="83"/>
      <c r="G715" s="83"/>
      <c r="H715" s="83"/>
      <c r="I715" s="83"/>
      <c r="J715" s="83"/>
      <c r="K715" s="83"/>
      <c r="L715" s="83"/>
      <c r="M715" s="83"/>
      <c r="N715" s="83"/>
      <c r="O715" s="83"/>
      <c r="P715" s="83"/>
      <c r="Q715" s="83"/>
      <c r="R715" s="83"/>
      <c r="S715" s="83"/>
      <c r="T715" s="83"/>
      <c r="U715" s="83"/>
      <c r="V715" s="83">
        <f t="shared" si="92"/>
        <v>0</v>
      </c>
      <c r="W715" s="83"/>
    </row>
    <row r="716" spans="1:25" ht="26.25" customHeight="1" thickBot="1" x14ac:dyDescent="0.5"/>
    <row r="717" spans="1:25" x14ac:dyDescent="0.45">
      <c r="A717" s="126"/>
      <c r="B717" s="128" t="s">
        <v>2</v>
      </c>
      <c r="C717" s="143"/>
      <c r="D717" s="143"/>
      <c r="E717" s="45" t="s">
        <v>15</v>
      </c>
      <c r="F717" s="45">
        <f>F653</f>
        <v>6</v>
      </c>
      <c r="G717" s="36">
        <f t="shared" ref="G717:V717" si="93">G653+G656++G687</f>
        <v>1012</v>
      </c>
      <c r="H717" s="36">
        <f t="shared" si="93"/>
        <v>1728</v>
      </c>
      <c r="I717" s="36">
        <f t="shared" si="93"/>
        <v>66</v>
      </c>
      <c r="J717" s="36">
        <f t="shared" si="93"/>
        <v>0</v>
      </c>
      <c r="K717" s="36">
        <f t="shared" si="93"/>
        <v>38</v>
      </c>
      <c r="L717" s="36">
        <f t="shared" si="93"/>
        <v>164</v>
      </c>
      <c r="M717" s="36">
        <f t="shared" si="93"/>
        <v>82</v>
      </c>
      <c r="N717" s="36">
        <f t="shared" si="93"/>
        <v>186</v>
      </c>
      <c r="O717" s="36">
        <f t="shared" si="93"/>
        <v>118.30000000000001</v>
      </c>
      <c r="P717" s="36">
        <f t="shared" si="93"/>
        <v>334.5</v>
      </c>
      <c r="Q717" s="36">
        <f t="shared" si="93"/>
        <v>0</v>
      </c>
      <c r="R717" s="36">
        <f t="shared" si="93"/>
        <v>42</v>
      </c>
      <c r="S717" s="36">
        <f t="shared" si="93"/>
        <v>0</v>
      </c>
      <c r="T717" s="36">
        <f t="shared" si="93"/>
        <v>0</v>
      </c>
      <c r="U717" s="36">
        <f t="shared" si="93"/>
        <v>195</v>
      </c>
      <c r="V717" s="36">
        <f t="shared" si="93"/>
        <v>3965.8</v>
      </c>
      <c r="W717" s="147">
        <f>V717+V718</f>
        <v>10043.050000000003</v>
      </c>
      <c r="Y717" s="38"/>
    </row>
    <row r="718" spans="1:25" ht="12.9" thickBot="1" x14ac:dyDescent="0.5">
      <c r="A718" s="127"/>
      <c r="B718" s="129"/>
      <c r="C718" s="144"/>
      <c r="D718" s="144"/>
      <c r="E718" s="48" t="s">
        <v>33</v>
      </c>
      <c r="F718" s="67">
        <f>F654</f>
        <v>3.25</v>
      </c>
      <c r="G718" s="39">
        <f t="shared" ref="G718:V718" si="94">G654+G657+G688</f>
        <v>784</v>
      </c>
      <c r="H718" s="39">
        <f t="shared" si="94"/>
        <v>1538</v>
      </c>
      <c r="I718" s="39">
        <f t="shared" si="94"/>
        <v>52</v>
      </c>
      <c r="J718" s="39">
        <f t="shared" si="94"/>
        <v>0</v>
      </c>
      <c r="K718" s="39">
        <f t="shared" si="94"/>
        <v>36</v>
      </c>
      <c r="L718" s="39">
        <f t="shared" si="94"/>
        <v>322</v>
      </c>
      <c r="M718" s="39">
        <f t="shared" si="94"/>
        <v>64</v>
      </c>
      <c r="N718" s="39">
        <f t="shared" si="94"/>
        <v>185.5</v>
      </c>
      <c r="O718" s="39">
        <f t="shared" si="94"/>
        <v>123.55</v>
      </c>
      <c r="P718" s="39">
        <f t="shared" si="94"/>
        <v>302.5</v>
      </c>
      <c r="Q718" s="39">
        <f t="shared" si="94"/>
        <v>0</v>
      </c>
      <c r="R718" s="39">
        <f t="shared" si="94"/>
        <v>282.5</v>
      </c>
      <c r="S718" s="39">
        <f t="shared" si="94"/>
        <v>1994.1999999999998</v>
      </c>
      <c r="T718" s="39">
        <f t="shared" si="94"/>
        <v>258</v>
      </c>
      <c r="U718" s="39">
        <f t="shared" si="94"/>
        <v>135</v>
      </c>
      <c r="V718" s="39">
        <f t="shared" si="94"/>
        <v>6077.2500000000018</v>
      </c>
      <c r="W718" s="148"/>
      <c r="X718" s="38"/>
    </row>
    <row r="719" spans="1:25" x14ac:dyDescent="0.45">
      <c r="B719" s="42" t="s">
        <v>8</v>
      </c>
      <c r="F719" s="38">
        <f>F717+F718</f>
        <v>9.25</v>
      </c>
      <c r="G719" s="34">
        <f>G717+G718</f>
        <v>1796</v>
      </c>
      <c r="H719" s="34">
        <f t="shared" ref="H719:V719" si="95">H717+H718</f>
        <v>3266</v>
      </c>
      <c r="I719" s="34">
        <f t="shared" si="95"/>
        <v>118</v>
      </c>
      <c r="J719" s="34">
        <f t="shared" si="95"/>
        <v>0</v>
      </c>
      <c r="K719" s="34">
        <f t="shared" si="95"/>
        <v>74</v>
      </c>
      <c r="L719" s="34">
        <f t="shared" si="95"/>
        <v>486</v>
      </c>
      <c r="M719" s="34">
        <f t="shared" si="95"/>
        <v>146</v>
      </c>
      <c r="N719" s="34">
        <f t="shared" si="95"/>
        <v>371.5</v>
      </c>
      <c r="O719" s="34">
        <f t="shared" si="95"/>
        <v>241.85000000000002</v>
      </c>
      <c r="P719" s="34">
        <f t="shared" si="95"/>
        <v>637</v>
      </c>
      <c r="Q719" s="34">
        <f t="shared" si="95"/>
        <v>0</v>
      </c>
      <c r="R719" s="34">
        <f t="shared" si="95"/>
        <v>324.5</v>
      </c>
      <c r="S719" s="34">
        <f t="shared" si="95"/>
        <v>1994.1999999999998</v>
      </c>
      <c r="T719" s="34">
        <f t="shared" si="95"/>
        <v>258</v>
      </c>
      <c r="U719" s="34">
        <f t="shared" si="95"/>
        <v>330</v>
      </c>
      <c r="V719" s="34">
        <f t="shared" si="95"/>
        <v>10043.050000000003</v>
      </c>
    </row>
    <row r="720" spans="1:25" x14ac:dyDescent="0.45">
      <c r="F720" s="38"/>
    </row>
    <row r="721" spans="1:39" x14ac:dyDescent="0.45">
      <c r="F721" s="53"/>
    </row>
    <row r="722" spans="1:39" s="6" customFormat="1" ht="15" customHeight="1" x14ac:dyDescent="0.45">
      <c r="A722" s="34"/>
      <c r="B722" s="42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Y722" s="15"/>
      <c r="Z722" s="16"/>
      <c r="AA722" s="17"/>
      <c r="AB722" s="29"/>
      <c r="AC722" s="29"/>
      <c r="AD722" s="24"/>
      <c r="AE722" s="18"/>
      <c r="AF722" s="19"/>
      <c r="AG722" s="19"/>
      <c r="AH722" s="19"/>
      <c r="AI722" s="17"/>
      <c r="AJ722" s="19"/>
      <c r="AK722" s="16"/>
      <c r="AL722" s="19"/>
      <c r="AM722" s="19"/>
    </row>
    <row r="723" spans="1:39" x14ac:dyDescent="0.45">
      <c r="A723" s="111"/>
      <c r="B723" s="111"/>
      <c r="C723" s="112"/>
      <c r="D723" s="112"/>
      <c r="E723" s="120"/>
      <c r="F723" s="120"/>
      <c r="G723" s="113" t="s">
        <v>47</v>
      </c>
      <c r="H723" s="118"/>
      <c r="I723" s="120"/>
      <c r="J723" s="114" t="s">
        <v>48</v>
      </c>
      <c r="K723" s="112"/>
      <c r="L723" s="118"/>
      <c r="M723" s="112"/>
      <c r="N723" s="115"/>
      <c r="O723" s="116"/>
      <c r="P723" s="116"/>
      <c r="Q723" s="116"/>
      <c r="R723" s="118"/>
      <c r="S723" s="113" t="s">
        <v>53</v>
      </c>
      <c r="T723" s="118"/>
      <c r="U723" s="112"/>
      <c r="V723" s="117" t="s">
        <v>51</v>
      </c>
      <c r="W723" s="112"/>
    </row>
  </sheetData>
  <mergeCells count="170">
    <mergeCell ref="A1:B1"/>
    <mergeCell ref="A2:D2"/>
    <mergeCell ref="G5:G6"/>
    <mergeCell ref="K5:K6"/>
    <mergeCell ref="D5:D8"/>
    <mergeCell ref="B9:B10"/>
    <mergeCell ref="B33:U33"/>
    <mergeCell ref="C9:C10"/>
    <mergeCell ref="D9:D10"/>
    <mergeCell ref="F5:F8"/>
    <mergeCell ref="A9:A10"/>
    <mergeCell ref="A5:A8"/>
    <mergeCell ref="B5:B8"/>
    <mergeCell ref="C5:C8"/>
    <mergeCell ref="E5:E8"/>
    <mergeCell ref="Q5:R5"/>
    <mergeCell ref="I5:I6"/>
    <mergeCell ref="V3:W3"/>
    <mergeCell ref="D83:D84"/>
    <mergeCell ref="A4:B4"/>
    <mergeCell ref="W5:W8"/>
    <mergeCell ref="H5:H6"/>
    <mergeCell ref="M5:M6"/>
    <mergeCell ref="W9:W10"/>
    <mergeCell ref="V5:V6"/>
    <mergeCell ref="W52:W53"/>
    <mergeCell ref="S5:S6"/>
    <mergeCell ref="L5:L6"/>
    <mergeCell ref="A83:A84"/>
    <mergeCell ref="B83:B84"/>
    <mergeCell ref="W179:W180"/>
    <mergeCell ref="W653:W654"/>
    <mergeCell ref="D656:D657"/>
    <mergeCell ref="B633:U633"/>
    <mergeCell ref="B699:U699"/>
    <mergeCell ref="B290:U290"/>
    <mergeCell ref="B445:U445"/>
    <mergeCell ref="B476:U476"/>
    <mergeCell ref="B507:U507"/>
    <mergeCell ref="E687:E688"/>
    <mergeCell ref="B538:U538"/>
    <mergeCell ref="A717:A718"/>
    <mergeCell ref="B717:B718"/>
    <mergeCell ref="C717:C718"/>
    <mergeCell ref="D717:D718"/>
    <mergeCell ref="W687:W688"/>
    <mergeCell ref="B668:U668"/>
    <mergeCell ref="B621:B622"/>
    <mergeCell ref="A117:A118"/>
    <mergeCell ref="A687:A688"/>
    <mergeCell ref="B687:B688"/>
    <mergeCell ref="C687:C688"/>
    <mergeCell ref="D687:D688"/>
    <mergeCell ref="A653:A654"/>
    <mergeCell ref="B653:B654"/>
    <mergeCell ref="A179:A180"/>
    <mergeCell ref="W117:W118"/>
    <mergeCell ref="D117:D118"/>
    <mergeCell ref="C117:C118"/>
    <mergeCell ref="B197:U197"/>
    <mergeCell ref="B179:B180"/>
    <mergeCell ref="D179:D180"/>
    <mergeCell ref="W717:W718"/>
    <mergeCell ref="B160:U160"/>
    <mergeCell ref="C179:C180"/>
    <mergeCell ref="A148:A149"/>
    <mergeCell ref="C148:C149"/>
    <mergeCell ref="B129:U129"/>
    <mergeCell ref="N5:N6"/>
    <mergeCell ref="U5:U6"/>
    <mergeCell ref="P5:P6"/>
    <mergeCell ref="O5:O6"/>
    <mergeCell ref="T5:T6"/>
    <mergeCell ref="J5:J6"/>
    <mergeCell ref="D52:D53"/>
    <mergeCell ref="A52:A53"/>
    <mergeCell ref="B52:B53"/>
    <mergeCell ref="C52:C53"/>
    <mergeCell ref="B64:U64"/>
    <mergeCell ref="W148:W149"/>
    <mergeCell ref="W83:W84"/>
    <mergeCell ref="B117:B118"/>
    <mergeCell ref="C83:C84"/>
    <mergeCell ref="E656:E657"/>
    <mergeCell ref="B557:B558"/>
    <mergeCell ref="C557:C558"/>
    <mergeCell ref="D557:D558"/>
    <mergeCell ref="B569:U569"/>
    <mergeCell ref="B589:B590"/>
    <mergeCell ref="C589:C590"/>
    <mergeCell ref="D589:D590"/>
    <mergeCell ref="B601:U601"/>
    <mergeCell ref="B148:B149"/>
    <mergeCell ref="B98:U98"/>
    <mergeCell ref="B309:B310"/>
    <mergeCell ref="C309:C310"/>
    <mergeCell ref="D309:D310"/>
    <mergeCell ref="D148:D149"/>
    <mergeCell ref="W621:W622"/>
    <mergeCell ref="D621:D622"/>
    <mergeCell ref="C656:C657"/>
    <mergeCell ref="D653:D654"/>
    <mergeCell ref="W656:W657"/>
    <mergeCell ref="A247:A248"/>
    <mergeCell ref="B247:B248"/>
    <mergeCell ref="C247:C248"/>
    <mergeCell ref="D247:D248"/>
    <mergeCell ref="W247:W248"/>
    <mergeCell ref="B259:U259"/>
    <mergeCell ref="A216:A217"/>
    <mergeCell ref="B216:B217"/>
    <mergeCell ref="C216:C217"/>
    <mergeCell ref="D216:D217"/>
    <mergeCell ref="W216:W217"/>
    <mergeCell ref="B228:U228"/>
    <mergeCell ref="A340:A341"/>
    <mergeCell ref="B340:B341"/>
    <mergeCell ref="C340:C341"/>
    <mergeCell ref="D340:D341"/>
    <mergeCell ref="W340:W341"/>
    <mergeCell ref="B352:U352"/>
    <mergeCell ref="W309:W310"/>
    <mergeCell ref="B321:U321"/>
    <mergeCell ref="A278:A279"/>
    <mergeCell ref="B278:B279"/>
    <mergeCell ref="C278:C279"/>
    <mergeCell ref="D278:D279"/>
    <mergeCell ref="W278:W279"/>
    <mergeCell ref="A309:A310"/>
    <mergeCell ref="A371:A372"/>
    <mergeCell ref="B371:B372"/>
    <mergeCell ref="C371:C372"/>
    <mergeCell ref="D371:D372"/>
    <mergeCell ref="W371:W372"/>
    <mergeCell ref="B383:U383"/>
    <mergeCell ref="A433:A434"/>
    <mergeCell ref="B433:B434"/>
    <mergeCell ref="C433:C434"/>
    <mergeCell ref="D433:D434"/>
    <mergeCell ref="W433:W434"/>
    <mergeCell ref="A402:A403"/>
    <mergeCell ref="B402:B403"/>
    <mergeCell ref="C402:C403"/>
    <mergeCell ref="D402:D403"/>
    <mergeCell ref="W402:W403"/>
    <mergeCell ref="B414:U414"/>
    <mergeCell ref="A495:A496"/>
    <mergeCell ref="B495:B496"/>
    <mergeCell ref="C495:C496"/>
    <mergeCell ref="D495:D496"/>
    <mergeCell ref="W495:W496"/>
    <mergeCell ref="A464:A465"/>
    <mergeCell ref="B464:B465"/>
    <mergeCell ref="C464:C465"/>
    <mergeCell ref="D464:D465"/>
    <mergeCell ref="W464:W465"/>
    <mergeCell ref="A526:A527"/>
    <mergeCell ref="B526:B527"/>
    <mergeCell ref="C526:C527"/>
    <mergeCell ref="D526:D527"/>
    <mergeCell ref="W526:W527"/>
    <mergeCell ref="A621:A622"/>
    <mergeCell ref="A656:A657"/>
    <mergeCell ref="C653:C654"/>
    <mergeCell ref="B656:B657"/>
    <mergeCell ref="C621:C622"/>
    <mergeCell ref="A557:A558"/>
    <mergeCell ref="W557:W558"/>
    <mergeCell ref="A589:A590"/>
    <mergeCell ref="W589:W590"/>
  </mergeCells>
  <phoneticPr fontId="4" type="noConversion"/>
  <conditionalFormatting sqref="Z53">
    <cfRule type="cellIs" dxfId="0" priority="1" stopIfTrue="1" operator="greaterThan">
      <formula>Y53*(-1)</formula>
    </cfRule>
  </conditionalFormatting>
  <pageMargins left="0.78740157480314965" right="0.78740157480314965" top="1.1811023622047245" bottom="0.39370078740157483" header="0.51181102362204722" footer="0.51181102362204722"/>
  <pageSetup paperSize="9" scale="95" orientation="landscape" r:id="rId1"/>
  <headerFooter alignWithMargins="0"/>
  <rowBreaks count="1" manualBreakCount="1">
    <brk id="339" max="16383" man="1"/>
  </rowBreaks>
  <colBreaks count="1" manualBreakCount="1">
    <brk id="2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outlinePr summaryBelow="0" summaryRight="0"/>
  </sheetPr>
  <dimension ref="A1:AM872"/>
  <sheetViews>
    <sheetView zoomScale="85" zoomScaleNormal="85" workbookViewId="0">
      <pane ySplit="8" topLeftCell="A9" activePane="bottomLeft" state="frozen"/>
      <selection pane="bottomLeft" activeCell="B9" sqref="B9:B10"/>
    </sheetView>
  </sheetViews>
  <sheetFormatPr defaultColWidth="9.1640625" defaultRowHeight="12.6" outlineLevelRow="1" x14ac:dyDescent="0.45"/>
  <cols>
    <col min="1" max="1" width="2.83203125" style="3" customWidth="1"/>
    <col min="2" max="2" width="30" style="4" customWidth="1"/>
    <col min="3" max="3" width="5.5546875" style="5" customWidth="1"/>
    <col min="4" max="4" width="3.71875" style="5" customWidth="1"/>
    <col min="5" max="5" width="3.44140625" style="5" customWidth="1"/>
    <col min="6" max="6" width="6" style="5" customWidth="1"/>
    <col min="7" max="7" width="5.1640625" style="6" customWidth="1"/>
    <col min="8" max="8" width="5.27734375" style="6" customWidth="1"/>
    <col min="9" max="9" width="4.27734375" style="6" customWidth="1"/>
    <col min="10" max="10" width="8.1640625" style="7" customWidth="1"/>
    <col min="11" max="11" width="7" style="8" customWidth="1"/>
    <col min="12" max="12" width="5.71875" style="8" customWidth="1"/>
    <col min="13" max="13" width="6.44140625" style="8" customWidth="1"/>
    <col min="14" max="14" width="4.5546875" style="8" customWidth="1"/>
    <col min="15" max="15" width="6.5546875" style="8" customWidth="1"/>
    <col min="16" max="16" width="6.27734375" style="5" customWidth="1"/>
    <col min="17" max="17" width="5.1640625" style="5" customWidth="1"/>
    <col min="18" max="18" width="5.44140625" style="8" customWidth="1"/>
    <col min="19" max="19" width="6.71875" style="5" customWidth="1"/>
    <col min="20" max="20" width="4.83203125" style="5" customWidth="1"/>
    <col min="21" max="21" width="4.83203125" style="8" customWidth="1"/>
    <col min="22" max="22" width="7.71875" style="9" customWidth="1"/>
    <col min="23" max="23" width="8.44140625" style="5" customWidth="1"/>
    <col min="24" max="24" width="7.1640625" style="6" customWidth="1"/>
    <col min="25" max="25" width="10.1640625" style="6" customWidth="1"/>
    <col min="26" max="26" width="9.83203125" style="8" customWidth="1"/>
    <col min="27" max="27" width="5" style="10" customWidth="1"/>
    <col min="28" max="28" width="10.5546875" style="8" customWidth="1"/>
    <col min="29" max="29" width="6.83203125" style="8" customWidth="1"/>
    <col min="30" max="30" width="9.83203125" style="8" customWidth="1"/>
    <col min="31" max="31" width="6" style="5" customWidth="1"/>
    <col min="32" max="32" width="8.5546875" style="8" customWidth="1"/>
    <col min="33" max="33" width="5.27734375" style="11" hidden="1" customWidth="1"/>
    <col min="34" max="34" width="5" style="12" customWidth="1"/>
    <col min="35" max="35" width="6.1640625" style="8" customWidth="1"/>
    <col min="36" max="36" width="4.71875" style="6" customWidth="1"/>
    <col min="37" max="37" width="5.71875" style="6" customWidth="1"/>
    <col min="38" max="38" width="6.83203125" style="6" customWidth="1"/>
    <col min="39" max="39" width="5.44140625" style="6" customWidth="1"/>
    <col min="40" max="40" width="5.83203125" style="6" customWidth="1"/>
    <col min="41" max="41" width="5.71875" style="6" customWidth="1"/>
    <col min="42" max="42" width="6.44140625" style="6" customWidth="1"/>
    <col min="43" max="16384" width="9.1640625" style="6"/>
  </cols>
  <sheetData>
    <row r="1" spans="1:39" s="13" customFormat="1" x14ac:dyDescent="0.45">
      <c r="A1" s="157" t="s">
        <v>39</v>
      </c>
      <c r="B1" s="157"/>
      <c r="C1" s="56"/>
      <c r="D1" s="57"/>
      <c r="E1" s="58"/>
      <c r="F1" s="59"/>
      <c r="G1" s="60"/>
      <c r="H1" s="60"/>
      <c r="I1" s="86"/>
      <c r="J1" s="60" t="s">
        <v>40</v>
      </c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5" t="s">
        <v>55</v>
      </c>
      <c r="X1" s="1"/>
      <c r="Y1" s="1"/>
      <c r="Z1" s="23"/>
      <c r="AA1" s="22"/>
      <c r="AB1" s="23"/>
      <c r="AC1" s="23"/>
      <c r="AD1" s="23"/>
      <c r="AE1" s="20"/>
      <c r="AF1" s="23"/>
      <c r="AG1" s="27"/>
      <c r="AH1" s="28"/>
      <c r="AI1" s="23"/>
    </row>
    <row r="2" spans="1:39" s="13" customFormat="1" x14ac:dyDescent="0.45">
      <c r="A2" s="158" t="s">
        <v>41</v>
      </c>
      <c r="B2" s="158"/>
      <c r="C2" s="158"/>
      <c r="D2" s="158"/>
      <c r="E2" s="58"/>
      <c r="F2" s="59"/>
      <c r="G2" s="86"/>
      <c r="H2" s="60"/>
      <c r="I2" s="86"/>
      <c r="J2" s="60" t="s">
        <v>42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1"/>
      <c r="Y2" s="74"/>
      <c r="Z2" s="23"/>
      <c r="AA2" s="22"/>
      <c r="AB2" s="23"/>
      <c r="AC2" s="23"/>
      <c r="AD2" s="23"/>
      <c r="AE2" s="20"/>
      <c r="AF2" s="23"/>
      <c r="AG2" s="27"/>
      <c r="AH2" s="28"/>
      <c r="AI2" s="23"/>
    </row>
    <row r="3" spans="1:39" s="13" customFormat="1" x14ac:dyDescent="0.45">
      <c r="A3" s="64"/>
      <c r="B3" s="64"/>
      <c r="C3" s="94"/>
      <c r="D3" s="89" t="s">
        <v>56</v>
      </c>
      <c r="E3" s="58"/>
      <c r="F3" s="59"/>
      <c r="G3" s="86"/>
      <c r="H3" s="60"/>
      <c r="I3" s="86"/>
      <c r="J3" s="60" t="s">
        <v>43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151" t="s">
        <v>45</v>
      </c>
      <c r="W3" s="151"/>
      <c r="X3" s="1"/>
      <c r="Y3" s="1"/>
      <c r="Z3" s="100"/>
      <c r="AA3" s="22"/>
      <c r="AB3" s="23"/>
      <c r="AC3" s="23"/>
      <c r="AD3" s="23"/>
      <c r="AE3" s="20"/>
      <c r="AF3" s="23"/>
      <c r="AG3" s="27"/>
      <c r="AH3" s="28"/>
      <c r="AI3" s="23"/>
    </row>
    <row r="4" spans="1:39" s="13" customFormat="1" ht="12.9" thickBot="1" x14ac:dyDescent="0.5">
      <c r="A4" s="152" t="s">
        <v>63</v>
      </c>
      <c r="B4" s="152"/>
      <c r="C4" s="55"/>
      <c r="D4" s="65"/>
      <c r="E4" s="58"/>
      <c r="F4" s="59"/>
      <c r="G4" s="86"/>
      <c r="H4" s="60"/>
      <c r="I4" s="86"/>
      <c r="J4" s="60" t="s">
        <v>54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1"/>
      <c r="Y4" s="1"/>
      <c r="Z4" s="100"/>
    </row>
    <row r="5" spans="1:39" s="13" customFormat="1" ht="13.5" customHeight="1" thickBot="1" x14ac:dyDescent="0.5">
      <c r="A5" s="175" t="s">
        <v>16</v>
      </c>
      <c r="B5" s="177" t="s">
        <v>4</v>
      </c>
      <c r="C5" s="167" t="s">
        <v>17</v>
      </c>
      <c r="D5" s="167" t="s">
        <v>18</v>
      </c>
      <c r="E5" s="167" t="s">
        <v>19</v>
      </c>
      <c r="F5" s="167" t="s">
        <v>20</v>
      </c>
      <c r="G5" s="167" t="s">
        <v>5</v>
      </c>
      <c r="H5" s="167" t="s">
        <v>21</v>
      </c>
      <c r="I5" s="167" t="s">
        <v>22</v>
      </c>
      <c r="J5" s="167" t="s">
        <v>13</v>
      </c>
      <c r="K5" s="167" t="s">
        <v>52</v>
      </c>
      <c r="L5" s="167" t="s">
        <v>6</v>
      </c>
      <c r="M5" s="167" t="s">
        <v>10</v>
      </c>
      <c r="N5" s="167" t="s">
        <v>11</v>
      </c>
      <c r="O5" s="167" t="s">
        <v>1</v>
      </c>
      <c r="P5" s="167" t="s">
        <v>0</v>
      </c>
      <c r="Q5" s="179" t="s">
        <v>14</v>
      </c>
      <c r="R5" s="180"/>
      <c r="S5" s="169" t="s">
        <v>3</v>
      </c>
      <c r="T5" s="167" t="s">
        <v>23</v>
      </c>
      <c r="U5" s="167" t="s">
        <v>59</v>
      </c>
      <c r="V5" s="167" t="s">
        <v>24</v>
      </c>
      <c r="W5" s="173" t="s">
        <v>30</v>
      </c>
      <c r="X5" s="1"/>
      <c r="Y5" s="1"/>
    </row>
    <row r="6" spans="1:39" s="13" customFormat="1" ht="95.25" customHeight="1" thickBot="1" x14ac:dyDescent="0.5">
      <c r="A6" s="176"/>
      <c r="B6" s="178"/>
      <c r="C6" s="172"/>
      <c r="D6" s="172"/>
      <c r="E6" s="172"/>
      <c r="F6" s="172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69" t="s">
        <v>25</v>
      </c>
      <c r="R6" s="69" t="s">
        <v>26</v>
      </c>
      <c r="S6" s="170"/>
      <c r="T6" s="168"/>
      <c r="U6" s="168"/>
      <c r="V6" s="168"/>
      <c r="W6" s="174"/>
      <c r="X6" s="99"/>
      <c r="Y6" s="99"/>
    </row>
    <row r="7" spans="1:39" s="13" customFormat="1" ht="20.25" customHeight="1" thickBot="1" x14ac:dyDescent="0.5">
      <c r="A7" s="176"/>
      <c r="B7" s="178"/>
      <c r="C7" s="172"/>
      <c r="D7" s="172"/>
      <c r="E7" s="172"/>
      <c r="F7" s="172"/>
      <c r="G7" s="70" t="s">
        <v>27</v>
      </c>
      <c r="H7" s="70" t="s">
        <v>27</v>
      </c>
      <c r="I7" s="70" t="s">
        <v>27</v>
      </c>
      <c r="J7" s="70" t="s">
        <v>27</v>
      </c>
      <c r="K7" s="70" t="s">
        <v>27</v>
      </c>
      <c r="L7" s="70" t="s">
        <v>27</v>
      </c>
      <c r="M7" s="70" t="s">
        <v>27</v>
      </c>
      <c r="N7" s="70" t="s">
        <v>27</v>
      </c>
      <c r="O7" s="70" t="s">
        <v>27</v>
      </c>
      <c r="P7" s="70" t="s">
        <v>27</v>
      </c>
      <c r="Q7" s="70" t="s">
        <v>27</v>
      </c>
      <c r="R7" s="70" t="s">
        <v>27</v>
      </c>
      <c r="S7" s="70" t="s">
        <v>27</v>
      </c>
      <c r="T7" s="70" t="s">
        <v>27</v>
      </c>
      <c r="U7" s="70" t="s">
        <v>27</v>
      </c>
      <c r="V7" s="70" t="s">
        <v>27</v>
      </c>
      <c r="W7" s="174"/>
      <c r="AM7" s="52"/>
    </row>
    <row r="8" spans="1:39" s="13" customFormat="1" ht="14.25" customHeight="1" thickBot="1" x14ac:dyDescent="0.5">
      <c r="A8" s="176"/>
      <c r="B8" s="178"/>
      <c r="C8" s="172"/>
      <c r="D8" s="172"/>
      <c r="E8" s="172"/>
      <c r="F8" s="172"/>
      <c r="G8" s="71" t="s">
        <v>28</v>
      </c>
      <c r="H8" s="71" t="s">
        <v>28</v>
      </c>
      <c r="I8" s="71" t="s">
        <v>28</v>
      </c>
      <c r="J8" s="71" t="s">
        <v>28</v>
      </c>
      <c r="K8" s="71" t="s">
        <v>28</v>
      </c>
      <c r="L8" s="71" t="s">
        <v>28</v>
      </c>
      <c r="M8" s="71" t="s">
        <v>28</v>
      </c>
      <c r="N8" s="71" t="s">
        <v>28</v>
      </c>
      <c r="O8" s="71" t="s">
        <v>28</v>
      </c>
      <c r="P8" s="71" t="s">
        <v>28</v>
      </c>
      <c r="Q8" s="71" t="s">
        <v>28</v>
      </c>
      <c r="R8" s="71" t="s">
        <v>28</v>
      </c>
      <c r="S8" s="71" t="s">
        <v>28</v>
      </c>
      <c r="T8" s="71" t="s">
        <v>28</v>
      </c>
      <c r="U8" s="71" t="s">
        <v>28</v>
      </c>
      <c r="V8" s="71" t="s">
        <v>28</v>
      </c>
      <c r="W8" s="174"/>
      <c r="AM8" s="52"/>
    </row>
    <row r="9" spans="1:39" s="1" customFormat="1" x14ac:dyDescent="0.4">
      <c r="A9" s="145">
        <v>1</v>
      </c>
      <c r="B9" s="128" t="s">
        <v>199</v>
      </c>
      <c r="C9" s="134" t="s">
        <v>9</v>
      </c>
      <c r="D9" s="137" t="s">
        <v>12</v>
      </c>
      <c r="E9" s="90" t="s">
        <v>15</v>
      </c>
      <c r="F9" s="92">
        <v>0.5</v>
      </c>
      <c r="G9" s="72">
        <f t="shared" ref="G9:U9" si="0">SUM(G11:G20)</f>
        <v>0</v>
      </c>
      <c r="H9" s="72">
        <f t="shared" si="0"/>
        <v>0</v>
      </c>
      <c r="I9" s="72">
        <f t="shared" si="0"/>
        <v>0</v>
      </c>
      <c r="J9" s="72">
        <f t="shared" si="0"/>
        <v>0</v>
      </c>
      <c r="K9" s="72">
        <f t="shared" si="0"/>
        <v>0</v>
      </c>
      <c r="L9" s="72">
        <f t="shared" si="0"/>
        <v>0</v>
      </c>
      <c r="M9" s="72">
        <f t="shared" si="0"/>
        <v>0</v>
      </c>
      <c r="N9" s="72">
        <f t="shared" si="0"/>
        <v>0</v>
      </c>
      <c r="O9" s="72">
        <f t="shared" si="0"/>
        <v>0</v>
      </c>
      <c r="P9" s="72">
        <f t="shared" si="0"/>
        <v>0</v>
      </c>
      <c r="Q9" s="72">
        <f t="shared" si="0"/>
        <v>0</v>
      </c>
      <c r="R9" s="72">
        <f t="shared" si="0"/>
        <v>0</v>
      </c>
      <c r="S9" s="72">
        <f t="shared" si="0"/>
        <v>0</v>
      </c>
      <c r="T9" s="72">
        <f t="shared" si="0"/>
        <v>0</v>
      </c>
      <c r="U9" s="72">
        <f t="shared" si="0"/>
        <v>0</v>
      </c>
      <c r="V9" s="72">
        <f>SUM(V11:V20)</f>
        <v>0</v>
      </c>
      <c r="W9" s="149">
        <f>V9+V10</f>
        <v>539.75</v>
      </c>
    </row>
    <row r="10" spans="1:39" s="1" customFormat="1" ht="18" customHeight="1" collapsed="1" thickBot="1" x14ac:dyDescent="0.45">
      <c r="A10" s="146"/>
      <c r="B10" s="129"/>
      <c r="C10" s="135"/>
      <c r="D10" s="138"/>
      <c r="E10" s="91"/>
      <c r="F10" s="93"/>
      <c r="G10" s="73">
        <f t="shared" ref="G10:U10" si="1">SUM(G22:G39)</f>
        <v>134</v>
      </c>
      <c r="H10" s="79">
        <f t="shared" si="1"/>
        <v>356</v>
      </c>
      <c r="I10" s="79">
        <f t="shared" si="1"/>
        <v>0</v>
      </c>
      <c r="J10" s="73">
        <f t="shared" si="1"/>
        <v>6.3</v>
      </c>
      <c r="K10" s="73">
        <f t="shared" si="1"/>
        <v>0</v>
      </c>
      <c r="L10" s="73">
        <f t="shared" si="1"/>
        <v>0</v>
      </c>
      <c r="M10" s="73">
        <f t="shared" si="1"/>
        <v>6</v>
      </c>
      <c r="N10" s="73">
        <f t="shared" si="1"/>
        <v>0</v>
      </c>
      <c r="O10" s="73">
        <f t="shared" si="1"/>
        <v>5.95</v>
      </c>
      <c r="P10" s="73">
        <f t="shared" si="1"/>
        <v>31.5</v>
      </c>
      <c r="Q10" s="73">
        <f t="shared" si="1"/>
        <v>0</v>
      </c>
      <c r="R10" s="73">
        <f t="shared" si="1"/>
        <v>0</v>
      </c>
      <c r="S10" s="73">
        <f t="shared" si="1"/>
        <v>0</v>
      </c>
      <c r="T10" s="73">
        <f t="shared" si="1"/>
        <v>0</v>
      </c>
      <c r="U10" s="73">
        <f t="shared" si="1"/>
        <v>0</v>
      </c>
      <c r="V10" s="73">
        <f>SUM(V22:V39)</f>
        <v>539.75</v>
      </c>
      <c r="W10" s="150"/>
      <c r="Y10" s="74"/>
      <c r="Z10" s="74"/>
      <c r="AB10" s="74"/>
      <c r="AD10" s="74"/>
    </row>
    <row r="11" spans="1:39" s="1" customFormat="1" hidden="1" outlineLevel="1" x14ac:dyDescent="0.4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51">
        <f>SUM(G11:U11)</f>
        <v>0</v>
      </c>
      <c r="W11" s="2"/>
      <c r="Y11" s="74"/>
      <c r="AB11" s="74"/>
      <c r="AD11" s="74"/>
    </row>
    <row r="12" spans="1:39" s="1" customFormat="1" hidden="1" outlineLevel="1" x14ac:dyDescent="0.45">
      <c r="A12" s="2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>
        <f>SUM(G12:U12)</f>
        <v>0</v>
      </c>
      <c r="W12" s="2"/>
      <c r="Y12" s="74"/>
      <c r="AB12" s="74"/>
      <c r="AD12" s="74"/>
    </row>
    <row r="13" spans="1:39" s="1" customFormat="1" hidden="1" outlineLevel="1" x14ac:dyDescent="0.45">
      <c r="A13" s="2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>
        <f t="shared" ref="V13:V20" si="2">SUM(G13:U13)</f>
        <v>0</v>
      </c>
      <c r="W13" s="2"/>
      <c r="Y13" s="74"/>
      <c r="AB13" s="74"/>
      <c r="AD13" s="74"/>
    </row>
    <row r="14" spans="1:39" s="1" customFormat="1" hidden="1" outlineLevel="1" x14ac:dyDescent="0.45">
      <c r="A14" s="2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>
        <f t="shared" si="2"/>
        <v>0</v>
      </c>
      <c r="W14" s="2"/>
      <c r="Y14" s="74"/>
      <c r="AB14" s="74"/>
      <c r="AD14" s="74"/>
    </row>
    <row r="15" spans="1:39" s="1" customFormat="1" hidden="1" outlineLevel="1" x14ac:dyDescent="0.45">
      <c r="A15" s="2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>
        <f t="shared" si="2"/>
        <v>0</v>
      </c>
      <c r="W15" s="2"/>
      <c r="Y15" s="74"/>
      <c r="AB15" s="74"/>
      <c r="AD15" s="74"/>
    </row>
    <row r="16" spans="1:39" s="1" customFormat="1" hidden="1" outlineLevel="1" x14ac:dyDescent="0.45">
      <c r="A16" s="2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>
        <f t="shared" si="2"/>
        <v>0</v>
      </c>
      <c r="W16" s="2"/>
      <c r="Y16" s="74"/>
      <c r="AB16" s="74"/>
      <c r="AD16" s="74"/>
    </row>
    <row r="17" spans="1:30" s="1" customFormat="1" hidden="1" outlineLevel="1" x14ac:dyDescent="0.45">
      <c r="A17" s="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>
        <f t="shared" si="2"/>
        <v>0</v>
      </c>
      <c r="W17" s="2"/>
      <c r="Y17" s="74"/>
      <c r="AB17" s="74"/>
      <c r="AD17" s="74"/>
    </row>
    <row r="18" spans="1:30" s="1" customFormat="1" hidden="1" outlineLevel="1" x14ac:dyDescent="0.45">
      <c r="A18" s="2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>
        <f t="shared" si="2"/>
        <v>0</v>
      </c>
      <c r="W18" s="2"/>
      <c r="Y18" s="74"/>
      <c r="AB18" s="74"/>
      <c r="AD18" s="74"/>
    </row>
    <row r="19" spans="1:30" s="1" customFormat="1" hidden="1" outlineLevel="1" x14ac:dyDescent="0.45">
      <c r="A19" s="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>
        <f t="shared" si="2"/>
        <v>0</v>
      </c>
      <c r="W19" s="2"/>
      <c r="Y19" s="74"/>
      <c r="AB19" s="74"/>
      <c r="AD19" s="74"/>
    </row>
    <row r="20" spans="1:30" s="1" customFormat="1" hidden="1" outlineLevel="1" x14ac:dyDescent="0.45">
      <c r="A20" s="2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>
        <f t="shared" si="2"/>
        <v>0</v>
      </c>
      <c r="W20" s="2"/>
      <c r="Y20" s="74"/>
      <c r="AB20" s="74"/>
      <c r="AD20" s="74"/>
    </row>
    <row r="21" spans="1:30" s="1" customFormat="1" hidden="1" outlineLevel="1" x14ac:dyDescent="0.45">
      <c r="A21" s="2"/>
      <c r="B21" s="166" t="s">
        <v>29</v>
      </c>
      <c r="C21" s="166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  <c r="S21" s="166"/>
      <c r="T21" s="166"/>
      <c r="U21" s="166"/>
      <c r="V21" s="87"/>
      <c r="W21" s="2"/>
      <c r="Y21" s="74"/>
      <c r="AB21" s="74"/>
      <c r="AD21" s="74"/>
    </row>
    <row r="22" spans="1:30" s="1" customFormat="1" ht="37.799999999999997" hidden="1" outlineLevel="1" x14ac:dyDescent="0.45">
      <c r="A22" s="2" t="s">
        <v>223</v>
      </c>
      <c r="B22" s="82" t="s">
        <v>190</v>
      </c>
      <c r="C22" s="51">
        <v>4</v>
      </c>
      <c r="D22" s="51"/>
      <c r="E22" s="51"/>
      <c r="F22" s="51"/>
      <c r="G22" s="20">
        <v>22</v>
      </c>
      <c r="H22" s="21">
        <v>132</v>
      </c>
      <c r="I22" s="21"/>
      <c r="J22" s="23">
        <v>1.6</v>
      </c>
      <c r="K22" s="51"/>
      <c r="L22" s="32"/>
      <c r="M22" s="22">
        <v>2</v>
      </c>
      <c r="N22" s="51"/>
      <c r="O22" s="81"/>
      <c r="P22" s="22">
        <v>8</v>
      </c>
      <c r="Q22" s="51"/>
      <c r="R22" s="51"/>
      <c r="S22" s="51"/>
      <c r="T22" s="51"/>
      <c r="U22" s="51"/>
      <c r="V22" s="51">
        <f>SUM(G22:U22)</f>
        <v>165.6</v>
      </c>
      <c r="W22" s="2"/>
      <c r="Y22" s="74"/>
      <c r="AB22" s="74"/>
      <c r="AD22" s="74"/>
    </row>
    <row r="23" spans="1:30" s="1" customFormat="1" ht="37.799999999999997" hidden="1" outlineLevel="1" x14ac:dyDescent="0.45">
      <c r="A23" s="2" t="s">
        <v>223</v>
      </c>
      <c r="B23" s="82" t="s">
        <v>195</v>
      </c>
      <c r="C23" s="51">
        <v>4</v>
      </c>
      <c r="D23" s="51"/>
      <c r="E23" s="51"/>
      <c r="F23" s="51"/>
      <c r="G23" s="20">
        <v>44</v>
      </c>
      <c r="H23" s="21">
        <v>88</v>
      </c>
      <c r="I23" s="21"/>
      <c r="J23" s="23"/>
      <c r="K23" s="51"/>
      <c r="L23" s="32"/>
      <c r="M23" s="22"/>
      <c r="N23" s="51"/>
      <c r="O23" s="81">
        <v>5.95</v>
      </c>
      <c r="P23" s="22"/>
      <c r="Q23" s="51"/>
      <c r="R23" s="51"/>
      <c r="S23" s="51"/>
      <c r="T23" s="51"/>
      <c r="U23" s="51"/>
      <c r="V23" s="51">
        <f>SUM(G23:U23)</f>
        <v>137.94999999999999</v>
      </c>
      <c r="W23" s="2"/>
      <c r="Y23" s="74"/>
      <c r="AB23" s="74"/>
      <c r="AD23" s="74"/>
    </row>
    <row r="24" spans="1:30" s="1" customFormat="1" hidden="1" outlineLevel="1" x14ac:dyDescent="0.45">
      <c r="A24" s="2" t="s">
        <v>223</v>
      </c>
      <c r="B24" s="51" t="s">
        <v>187</v>
      </c>
      <c r="C24" s="51">
        <v>2</v>
      </c>
      <c r="D24" s="51"/>
      <c r="E24" s="51"/>
      <c r="F24" s="51"/>
      <c r="G24" s="51">
        <v>34</v>
      </c>
      <c r="H24" s="80">
        <v>68</v>
      </c>
      <c r="I24" s="51"/>
      <c r="J24" s="51">
        <v>2.2999999999999998</v>
      </c>
      <c r="K24" s="51"/>
      <c r="L24" s="51"/>
      <c r="M24" s="51">
        <v>2</v>
      </c>
      <c r="N24" s="81"/>
      <c r="O24" s="51"/>
      <c r="P24" s="51">
        <v>11.5</v>
      </c>
      <c r="Q24" s="51"/>
      <c r="R24" s="51"/>
      <c r="S24" s="51"/>
      <c r="T24" s="51"/>
      <c r="U24" s="51"/>
      <c r="V24" s="51">
        <f>SUM(G24:U24)</f>
        <v>117.8</v>
      </c>
      <c r="W24" s="2"/>
      <c r="Y24" s="74"/>
      <c r="AB24" s="74"/>
      <c r="AD24" s="74"/>
    </row>
    <row r="25" spans="1:30" s="1" customFormat="1" hidden="1" outlineLevel="1" x14ac:dyDescent="0.45">
      <c r="A25" s="2" t="s">
        <v>223</v>
      </c>
      <c r="B25" s="51" t="s">
        <v>193</v>
      </c>
      <c r="C25" s="51">
        <v>2</v>
      </c>
      <c r="D25" s="51"/>
      <c r="E25" s="51"/>
      <c r="F25" s="51"/>
      <c r="G25" s="51">
        <v>34</v>
      </c>
      <c r="H25" s="80">
        <v>68</v>
      </c>
      <c r="I25" s="51"/>
      <c r="J25" s="51">
        <v>2.4</v>
      </c>
      <c r="K25" s="51"/>
      <c r="L25" s="51"/>
      <c r="M25" s="51">
        <v>2</v>
      </c>
      <c r="N25" s="81"/>
      <c r="O25" s="51"/>
      <c r="P25" s="51">
        <v>12</v>
      </c>
      <c r="Q25" s="51"/>
      <c r="R25" s="51"/>
      <c r="S25" s="51"/>
      <c r="T25" s="51"/>
      <c r="U25" s="51"/>
      <c r="V25" s="51">
        <f>SUM(G25:U25)</f>
        <v>118.4</v>
      </c>
      <c r="W25" s="2"/>
      <c r="Y25" s="74"/>
      <c r="AB25" s="74"/>
      <c r="AD25" s="74"/>
    </row>
    <row r="26" spans="1:30" s="1" customFormat="1" hidden="1" outlineLevel="1" x14ac:dyDescent="0.45">
      <c r="A26" s="2"/>
      <c r="B26" s="51"/>
      <c r="C26" s="51"/>
      <c r="D26" s="51"/>
      <c r="E26" s="51"/>
      <c r="F26" s="51"/>
      <c r="G26" s="51"/>
      <c r="H26" s="80"/>
      <c r="I26" s="51"/>
      <c r="J26" s="51"/>
      <c r="K26" s="51"/>
      <c r="L26" s="51"/>
      <c r="M26" s="51"/>
      <c r="N26" s="81"/>
      <c r="O26" s="51"/>
      <c r="P26" s="51"/>
      <c r="Q26" s="51"/>
      <c r="R26" s="51"/>
      <c r="S26" s="81"/>
      <c r="T26" s="51"/>
      <c r="U26" s="51"/>
      <c r="V26" s="51">
        <f>SUM(G26:U26)</f>
        <v>0</v>
      </c>
      <c r="W26" s="2"/>
      <c r="Y26" s="74"/>
      <c r="AB26" s="74"/>
      <c r="AD26" s="74"/>
    </row>
    <row r="27" spans="1:30" s="1" customFormat="1" hidden="1" outlineLevel="1" x14ac:dyDescent="0.45">
      <c r="V27" s="51">
        <f t="shared" ref="V27:V38" si="3">SUM(G27:U27)</f>
        <v>0</v>
      </c>
      <c r="W27" s="2"/>
      <c r="Y27" s="74"/>
      <c r="AB27" s="74"/>
      <c r="AD27" s="74"/>
    </row>
    <row r="28" spans="1:30" s="1" customFormat="1" hidden="1" outlineLevel="1" x14ac:dyDescent="0.45">
      <c r="V28" s="51">
        <f t="shared" si="3"/>
        <v>0</v>
      </c>
      <c r="W28" s="2"/>
      <c r="Y28" s="74"/>
      <c r="AB28" s="74"/>
      <c r="AD28" s="74"/>
    </row>
    <row r="29" spans="1:30" s="1" customFormat="1" hidden="1" outlineLevel="1" x14ac:dyDescent="0.45">
      <c r="A29" s="2"/>
      <c r="B29" s="51"/>
      <c r="C29" s="51"/>
      <c r="D29" s="51"/>
      <c r="E29" s="51"/>
      <c r="F29" s="51"/>
      <c r="G29" s="51"/>
      <c r="H29" s="80"/>
      <c r="I29" s="51"/>
      <c r="J29" s="51"/>
      <c r="K29" s="51"/>
      <c r="L29" s="51"/>
      <c r="M29" s="51"/>
      <c r="N29" s="81"/>
      <c r="O29" s="51"/>
      <c r="P29" s="51"/>
      <c r="Q29" s="51"/>
      <c r="R29" s="51"/>
      <c r="S29" s="81"/>
      <c r="T29" s="51"/>
      <c r="U29" s="51"/>
      <c r="V29" s="51">
        <f t="shared" si="3"/>
        <v>0</v>
      </c>
      <c r="W29" s="2"/>
      <c r="Y29" s="74"/>
      <c r="AB29" s="74"/>
      <c r="AD29" s="74"/>
    </row>
    <row r="30" spans="1:30" s="1" customFormat="1" hidden="1" outlineLevel="1" x14ac:dyDescent="0.45">
      <c r="A30" s="2"/>
      <c r="B30" s="51"/>
      <c r="C30" s="51"/>
      <c r="D30" s="51"/>
      <c r="E30" s="51"/>
      <c r="F30" s="51"/>
      <c r="G30" s="51"/>
      <c r="H30" s="80"/>
      <c r="I30" s="51"/>
      <c r="J30" s="51"/>
      <c r="K30" s="51"/>
      <c r="L30" s="51"/>
      <c r="M30" s="51"/>
      <c r="N30" s="81"/>
      <c r="O30" s="51"/>
      <c r="P30" s="51"/>
      <c r="Q30" s="51"/>
      <c r="R30" s="51"/>
      <c r="S30" s="81"/>
      <c r="T30" s="51"/>
      <c r="U30" s="51"/>
      <c r="V30" s="51">
        <f t="shared" si="3"/>
        <v>0</v>
      </c>
      <c r="W30" s="2"/>
      <c r="Y30" s="74"/>
      <c r="AB30" s="74"/>
      <c r="AD30" s="74"/>
    </row>
    <row r="31" spans="1:30" s="1" customFormat="1" hidden="1" outlineLevel="1" x14ac:dyDescent="0.45">
      <c r="A31" s="2"/>
      <c r="B31" s="51"/>
      <c r="C31" s="51"/>
      <c r="D31" s="51"/>
      <c r="E31" s="51"/>
      <c r="F31" s="51"/>
      <c r="G31" s="51"/>
      <c r="H31" s="80"/>
      <c r="I31" s="51"/>
      <c r="J31" s="51"/>
      <c r="K31" s="51"/>
      <c r="L31" s="51"/>
      <c r="M31" s="51"/>
      <c r="N31" s="81"/>
      <c r="O31" s="51"/>
      <c r="P31" s="51"/>
      <c r="Q31" s="51"/>
      <c r="R31" s="51"/>
      <c r="S31" s="81"/>
      <c r="T31" s="51"/>
      <c r="U31" s="51"/>
      <c r="V31" s="51">
        <f t="shared" si="3"/>
        <v>0</v>
      </c>
      <c r="W31" s="2"/>
      <c r="Y31" s="74"/>
      <c r="AB31" s="74"/>
      <c r="AD31" s="74"/>
    </row>
    <row r="32" spans="1:30" s="1" customFormat="1" hidden="1" outlineLevel="1" x14ac:dyDescent="0.45">
      <c r="A32" s="2"/>
      <c r="B32" s="51"/>
      <c r="C32" s="51"/>
      <c r="D32" s="51"/>
      <c r="E32" s="51"/>
      <c r="F32" s="51"/>
      <c r="G32" s="51"/>
      <c r="H32" s="80"/>
      <c r="I32" s="51"/>
      <c r="J32" s="51"/>
      <c r="K32" s="51"/>
      <c r="L32" s="51"/>
      <c r="M32" s="51"/>
      <c r="N32" s="81"/>
      <c r="O32" s="51"/>
      <c r="P32" s="51"/>
      <c r="Q32" s="51"/>
      <c r="R32" s="51"/>
      <c r="S32" s="81"/>
      <c r="T32" s="51"/>
      <c r="U32" s="51"/>
      <c r="V32" s="51">
        <f t="shared" si="3"/>
        <v>0</v>
      </c>
      <c r="W32" s="2"/>
      <c r="Y32" s="74"/>
      <c r="AB32" s="74"/>
      <c r="AD32" s="74"/>
    </row>
    <row r="33" spans="1:39" s="1" customFormat="1" hidden="1" outlineLevel="1" x14ac:dyDescent="0.45">
      <c r="A33" s="2"/>
      <c r="B33" s="51"/>
      <c r="C33" s="51"/>
      <c r="D33" s="51"/>
      <c r="E33" s="51"/>
      <c r="F33" s="51"/>
      <c r="G33" s="51"/>
      <c r="H33" s="80"/>
      <c r="I33" s="51"/>
      <c r="J33" s="51"/>
      <c r="K33" s="51"/>
      <c r="L33" s="51"/>
      <c r="M33" s="51"/>
      <c r="N33" s="81"/>
      <c r="O33" s="51"/>
      <c r="P33" s="51"/>
      <c r="Q33" s="51"/>
      <c r="R33" s="51"/>
      <c r="S33" s="81"/>
      <c r="T33" s="51"/>
      <c r="U33" s="51"/>
      <c r="V33" s="51">
        <f t="shared" si="3"/>
        <v>0</v>
      </c>
      <c r="W33" s="2"/>
      <c r="Y33" s="74"/>
      <c r="AB33" s="74"/>
      <c r="AD33" s="74"/>
    </row>
    <row r="34" spans="1:39" s="1" customFormat="1" hidden="1" outlineLevel="1" x14ac:dyDescent="0.45">
      <c r="A34" s="2"/>
      <c r="B34" s="51"/>
      <c r="C34" s="51"/>
      <c r="D34" s="51"/>
      <c r="E34" s="51"/>
      <c r="F34" s="51"/>
      <c r="G34" s="51"/>
      <c r="H34" s="80"/>
      <c r="I34" s="51"/>
      <c r="J34" s="51"/>
      <c r="K34" s="51"/>
      <c r="L34" s="51"/>
      <c r="M34" s="51"/>
      <c r="N34" s="81"/>
      <c r="O34" s="51"/>
      <c r="P34" s="51"/>
      <c r="Q34" s="51"/>
      <c r="R34" s="51"/>
      <c r="S34" s="81"/>
      <c r="T34" s="51"/>
      <c r="U34" s="51"/>
      <c r="V34" s="51">
        <f t="shared" si="3"/>
        <v>0</v>
      </c>
      <c r="W34" s="2"/>
      <c r="Y34" s="74"/>
      <c r="AB34" s="74"/>
      <c r="AD34" s="74"/>
    </row>
    <row r="35" spans="1:39" s="1" customFormat="1" hidden="1" outlineLevel="1" x14ac:dyDescent="0.45">
      <c r="A35" s="2"/>
      <c r="B35" s="51"/>
      <c r="C35" s="51"/>
      <c r="D35" s="51"/>
      <c r="E35" s="51"/>
      <c r="F35" s="51"/>
      <c r="G35" s="51"/>
      <c r="H35" s="80"/>
      <c r="I35" s="51"/>
      <c r="J35" s="51"/>
      <c r="K35" s="51"/>
      <c r="L35" s="51"/>
      <c r="M35" s="51"/>
      <c r="N35" s="81"/>
      <c r="O35" s="51"/>
      <c r="P35" s="51"/>
      <c r="Q35" s="51"/>
      <c r="R35" s="51"/>
      <c r="S35" s="81"/>
      <c r="T35" s="51"/>
      <c r="U35" s="51"/>
      <c r="V35" s="51">
        <f t="shared" si="3"/>
        <v>0</v>
      </c>
      <c r="W35" s="2"/>
      <c r="Y35" s="74"/>
      <c r="AB35" s="74"/>
      <c r="AD35" s="74"/>
    </row>
    <row r="36" spans="1:39" s="1" customFormat="1" hidden="1" outlineLevel="1" x14ac:dyDescent="0.45">
      <c r="A36" s="2"/>
      <c r="B36" s="51"/>
      <c r="C36" s="51"/>
      <c r="D36" s="51"/>
      <c r="E36" s="51"/>
      <c r="F36" s="51"/>
      <c r="G36" s="51"/>
      <c r="H36" s="80"/>
      <c r="I36" s="51"/>
      <c r="J36" s="51"/>
      <c r="K36" s="51"/>
      <c r="L36" s="51"/>
      <c r="M36" s="51"/>
      <c r="N36" s="81"/>
      <c r="O36" s="51"/>
      <c r="P36" s="51"/>
      <c r="Q36" s="51"/>
      <c r="R36" s="51"/>
      <c r="S36" s="81"/>
      <c r="T36" s="51"/>
      <c r="U36" s="51"/>
      <c r="V36" s="51">
        <f t="shared" si="3"/>
        <v>0</v>
      </c>
      <c r="W36" s="2"/>
      <c r="Y36" s="74"/>
      <c r="AB36" s="74"/>
      <c r="AD36" s="74"/>
    </row>
    <row r="37" spans="1:39" s="1" customFormat="1" hidden="1" outlineLevel="1" x14ac:dyDescent="0.45">
      <c r="A37" s="2"/>
      <c r="B37" s="51"/>
      <c r="C37" s="51"/>
      <c r="D37" s="51"/>
      <c r="E37" s="51"/>
      <c r="F37" s="51"/>
      <c r="G37" s="51"/>
      <c r="H37" s="80"/>
      <c r="I37" s="51"/>
      <c r="J37" s="51"/>
      <c r="K37" s="51"/>
      <c r="L37" s="51"/>
      <c r="M37" s="51"/>
      <c r="N37" s="81"/>
      <c r="O37" s="51"/>
      <c r="P37" s="51"/>
      <c r="Q37" s="51"/>
      <c r="R37" s="51"/>
      <c r="S37" s="81"/>
      <c r="T37" s="51"/>
      <c r="U37" s="51"/>
      <c r="V37" s="51">
        <f t="shared" si="3"/>
        <v>0</v>
      </c>
      <c r="W37" s="2"/>
      <c r="Y37" s="74"/>
      <c r="AB37" s="74"/>
      <c r="AD37" s="74"/>
    </row>
    <row r="38" spans="1:39" s="1" customFormat="1" hidden="1" outlineLevel="1" x14ac:dyDescent="0.45">
      <c r="A38" s="2"/>
      <c r="B38" s="51"/>
      <c r="C38" s="51"/>
      <c r="D38" s="51"/>
      <c r="E38" s="51"/>
      <c r="F38" s="51"/>
      <c r="G38" s="51"/>
      <c r="H38" s="80"/>
      <c r="I38" s="51"/>
      <c r="J38" s="51"/>
      <c r="K38" s="51"/>
      <c r="L38" s="51"/>
      <c r="M38" s="51"/>
      <c r="N38" s="81"/>
      <c r="O38" s="51"/>
      <c r="P38" s="51"/>
      <c r="Q38" s="51"/>
      <c r="R38" s="51"/>
      <c r="S38" s="81"/>
      <c r="T38" s="51"/>
      <c r="U38" s="51"/>
      <c r="V38" s="51">
        <f t="shared" si="3"/>
        <v>0</v>
      </c>
      <c r="W38" s="2"/>
      <c r="Y38" s="74"/>
      <c r="AB38" s="74"/>
      <c r="AD38" s="74"/>
    </row>
    <row r="39" spans="1:39" ht="15.75" hidden="1" customHeight="1" outlineLevel="1" thickBot="1" x14ac:dyDescent="0.5">
      <c r="A39" s="2"/>
      <c r="B39" s="75"/>
      <c r="C39" s="75"/>
      <c r="D39" s="76"/>
      <c r="E39" s="76"/>
      <c r="F39" s="76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2"/>
      <c r="R39" s="77"/>
      <c r="S39" s="77"/>
      <c r="T39" s="77"/>
      <c r="U39" s="2"/>
      <c r="V39" s="77"/>
      <c r="W39" s="78"/>
      <c r="Y39" s="74"/>
      <c r="Z39" s="6"/>
      <c r="AA39" s="13"/>
      <c r="AB39" s="74"/>
      <c r="AC39" s="6"/>
      <c r="AD39" s="74"/>
      <c r="AE39" s="6"/>
      <c r="AF39" s="6"/>
      <c r="AG39" s="6"/>
      <c r="AH39" s="6"/>
      <c r="AI39" s="6"/>
      <c r="AM39" s="14"/>
    </row>
    <row r="40" spans="1:39" s="1" customFormat="1" x14ac:dyDescent="0.4">
      <c r="A40" s="145">
        <v>2</v>
      </c>
      <c r="B40" s="128" t="s">
        <v>212</v>
      </c>
      <c r="C40" s="134" t="s">
        <v>32</v>
      </c>
      <c r="D40" s="137" t="s">
        <v>12</v>
      </c>
      <c r="E40" s="90" t="s">
        <v>15</v>
      </c>
      <c r="F40" s="92">
        <v>0</v>
      </c>
      <c r="G40" s="72">
        <f t="shared" ref="G40:U40" si="4">SUM(G42:G51)</f>
        <v>0</v>
      </c>
      <c r="H40" s="72">
        <f t="shared" si="4"/>
        <v>0</v>
      </c>
      <c r="I40" s="72">
        <f t="shared" si="4"/>
        <v>0</v>
      </c>
      <c r="J40" s="72">
        <f t="shared" si="4"/>
        <v>0</v>
      </c>
      <c r="K40" s="72">
        <f t="shared" si="4"/>
        <v>0</v>
      </c>
      <c r="L40" s="72">
        <f t="shared" si="4"/>
        <v>0</v>
      </c>
      <c r="M40" s="72">
        <f t="shared" si="4"/>
        <v>0</v>
      </c>
      <c r="N40" s="72">
        <f t="shared" si="4"/>
        <v>0</v>
      </c>
      <c r="O40" s="72">
        <f t="shared" si="4"/>
        <v>0</v>
      </c>
      <c r="P40" s="72">
        <f t="shared" si="4"/>
        <v>0</v>
      </c>
      <c r="Q40" s="72">
        <f t="shared" si="4"/>
        <v>0</v>
      </c>
      <c r="R40" s="72">
        <f t="shared" si="4"/>
        <v>0</v>
      </c>
      <c r="S40" s="72">
        <f t="shared" si="4"/>
        <v>0</v>
      </c>
      <c r="T40" s="72">
        <f t="shared" si="4"/>
        <v>0</v>
      </c>
      <c r="U40" s="72">
        <f t="shared" si="4"/>
        <v>0</v>
      </c>
      <c r="V40" s="72">
        <f>SUM(V42:V51)</f>
        <v>0</v>
      </c>
      <c r="W40" s="149">
        <f>V40+V41</f>
        <v>0</v>
      </c>
      <c r="Y40" s="74"/>
      <c r="AB40" s="74"/>
      <c r="AD40" s="74"/>
    </row>
    <row r="41" spans="1:39" s="1" customFormat="1" ht="12.9" collapsed="1" thickBot="1" x14ac:dyDescent="0.45">
      <c r="A41" s="146"/>
      <c r="B41" s="129"/>
      <c r="C41" s="135"/>
      <c r="D41" s="138"/>
      <c r="E41" s="91"/>
      <c r="F41" s="93"/>
      <c r="G41" s="73">
        <f>SUM(G53:G70)</f>
        <v>0</v>
      </c>
      <c r="H41" s="79">
        <f>SUM(H53:H70)</f>
        <v>0</v>
      </c>
      <c r="I41" s="79">
        <f>SUM(I53:I70)</f>
        <v>0</v>
      </c>
      <c r="J41" s="73">
        <f t="shared" ref="J41:Q41" si="5">SUM(J53:J70)</f>
        <v>0</v>
      </c>
      <c r="K41" s="73">
        <f t="shared" si="5"/>
        <v>0</v>
      </c>
      <c r="L41" s="73">
        <f t="shared" si="5"/>
        <v>0</v>
      </c>
      <c r="M41" s="73">
        <f t="shared" si="5"/>
        <v>0</v>
      </c>
      <c r="N41" s="73">
        <f t="shared" si="5"/>
        <v>0</v>
      </c>
      <c r="O41" s="73">
        <f t="shared" si="5"/>
        <v>0</v>
      </c>
      <c r="P41" s="73">
        <f t="shared" si="5"/>
        <v>0</v>
      </c>
      <c r="Q41" s="73">
        <f t="shared" si="5"/>
        <v>0</v>
      </c>
      <c r="R41" s="73">
        <f>SUM(R53:R70)</f>
        <v>0</v>
      </c>
      <c r="S41" s="73">
        <f>SUM(S53:S70)</f>
        <v>0</v>
      </c>
      <c r="T41" s="73">
        <f>SUM(T53:T70)</f>
        <v>0</v>
      </c>
      <c r="U41" s="73">
        <f>SUM(U53:U70)</f>
        <v>0</v>
      </c>
      <c r="V41" s="73">
        <f>SUM(V53:V70)</f>
        <v>0</v>
      </c>
      <c r="W41" s="150"/>
      <c r="Y41" s="74"/>
      <c r="Z41" s="74"/>
      <c r="AB41" s="74"/>
      <c r="AD41" s="74"/>
    </row>
    <row r="42" spans="1:39" s="1" customFormat="1" hidden="1" outlineLevel="1" x14ac:dyDescent="0.4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51">
        <f>SUM(G42:U42)</f>
        <v>0</v>
      </c>
      <c r="W42" s="2"/>
      <c r="Y42" s="74"/>
      <c r="AB42" s="74"/>
      <c r="AD42" s="74"/>
    </row>
    <row r="43" spans="1:39" s="1" customFormat="1" hidden="1" outlineLevel="1" x14ac:dyDescent="0.45">
      <c r="A43" s="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>
        <f>SUM(G43:U43)</f>
        <v>0</v>
      </c>
      <c r="W43" s="2"/>
      <c r="Y43" s="74"/>
      <c r="AB43" s="74"/>
      <c r="AD43" s="74"/>
    </row>
    <row r="44" spans="1:39" s="1" customFormat="1" hidden="1" outlineLevel="1" x14ac:dyDescent="0.45">
      <c r="A44" s="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>
        <f t="shared" ref="V44:V51" si="6">SUM(G44:U44)</f>
        <v>0</v>
      </c>
      <c r="W44" s="2"/>
      <c r="Y44" s="74"/>
      <c r="AB44" s="74"/>
      <c r="AD44" s="74"/>
    </row>
    <row r="45" spans="1:39" s="1" customFormat="1" hidden="1" outlineLevel="1" x14ac:dyDescent="0.45">
      <c r="A45" s="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>
        <f t="shared" si="6"/>
        <v>0</v>
      </c>
      <c r="W45" s="2"/>
      <c r="Y45" s="74"/>
      <c r="AB45" s="74"/>
      <c r="AD45" s="74"/>
    </row>
    <row r="46" spans="1:39" s="1" customFormat="1" hidden="1" outlineLevel="1" x14ac:dyDescent="0.45">
      <c r="A46" s="2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>
        <f t="shared" si="6"/>
        <v>0</v>
      </c>
      <c r="W46" s="2"/>
      <c r="Y46" s="74"/>
      <c r="AB46" s="74"/>
      <c r="AD46" s="74"/>
    </row>
    <row r="47" spans="1:39" s="1" customFormat="1" hidden="1" outlineLevel="1" x14ac:dyDescent="0.45">
      <c r="A47" s="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>
        <f t="shared" si="6"/>
        <v>0</v>
      </c>
      <c r="W47" s="2"/>
      <c r="Y47" s="74"/>
      <c r="AB47" s="74"/>
      <c r="AD47" s="74"/>
    </row>
    <row r="48" spans="1:39" s="1" customFormat="1" hidden="1" outlineLevel="1" x14ac:dyDescent="0.45">
      <c r="A48" s="2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>
        <f t="shared" si="6"/>
        <v>0</v>
      </c>
      <c r="W48" s="2"/>
      <c r="Y48" s="74"/>
      <c r="AB48" s="74"/>
      <c r="AD48" s="74"/>
    </row>
    <row r="49" spans="1:30" s="1" customFormat="1" hidden="1" outlineLevel="1" x14ac:dyDescent="0.45">
      <c r="A49" s="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>
        <f t="shared" si="6"/>
        <v>0</v>
      </c>
      <c r="W49" s="2"/>
      <c r="Y49" s="74"/>
      <c r="AB49" s="74"/>
      <c r="AD49" s="74"/>
    </row>
    <row r="50" spans="1:30" s="1" customFormat="1" hidden="1" outlineLevel="1" x14ac:dyDescent="0.45">
      <c r="A50" s="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>
        <f t="shared" si="6"/>
        <v>0</v>
      </c>
      <c r="W50" s="2"/>
      <c r="Y50" s="74"/>
      <c r="AB50" s="74"/>
      <c r="AD50" s="74"/>
    </row>
    <row r="51" spans="1:30" s="1" customFormat="1" hidden="1" outlineLevel="1" x14ac:dyDescent="0.45">
      <c r="A51" s="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>
        <f t="shared" si="6"/>
        <v>0</v>
      </c>
      <c r="W51" s="2"/>
      <c r="Y51" s="74"/>
      <c r="AB51" s="74"/>
      <c r="AD51" s="74"/>
    </row>
    <row r="52" spans="1:30" s="1" customFormat="1" hidden="1" outlineLevel="1" x14ac:dyDescent="0.45">
      <c r="A52" s="2"/>
      <c r="B52" s="166" t="s">
        <v>29</v>
      </c>
      <c r="C52" s="166"/>
      <c r="D52" s="166"/>
      <c r="E52" s="166"/>
      <c r="F52" s="166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87"/>
      <c r="W52" s="2"/>
      <c r="Y52" s="74"/>
      <c r="AB52" s="74"/>
      <c r="AD52" s="74"/>
    </row>
    <row r="53" spans="1:30" s="1" customFormat="1" hidden="1" outlineLevel="1" x14ac:dyDescent="0.45">
      <c r="A53" s="34"/>
      <c r="B53" s="42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51">
        <f t="shared" ref="V53:V69" si="7">SUM(G53:U53)</f>
        <v>0</v>
      </c>
      <c r="W53" s="2"/>
      <c r="Y53" s="74"/>
      <c r="AB53" s="74"/>
      <c r="AD53" s="74"/>
    </row>
    <row r="54" spans="1:30" s="1" customFormat="1" hidden="1" outlineLevel="1" x14ac:dyDescent="0.45">
      <c r="A54" s="2"/>
      <c r="B54" s="82"/>
      <c r="C54" s="51"/>
      <c r="D54" s="51"/>
      <c r="E54" s="51"/>
      <c r="F54" s="51"/>
      <c r="G54" s="20"/>
      <c r="H54" s="21"/>
      <c r="I54" s="21"/>
      <c r="J54" s="23"/>
      <c r="K54" s="51"/>
      <c r="L54" s="32"/>
      <c r="M54" s="22"/>
      <c r="N54" s="51"/>
      <c r="O54" s="81"/>
      <c r="P54" s="22"/>
      <c r="Q54" s="51"/>
      <c r="R54" s="51"/>
      <c r="S54" s="51"/>
      <c r="T54" s="51"/>
      <c r="U54" s="51"/>
      <c r="V54" s="51">
        <f t="shared" si="7"/>
        <v>0</v>
      </c>
      <c r="W54" s="2"/>
      <c r="Y54" s="74"/>
      <c r="AB54" s="74"/>
      <c r="AD54" s="74"/>
    </row>
    <row r="55" spans="1:30" s="1" customFormat="1" hidden="1" outlineLevel="1" x14ac:dyDescent="0.45">
      <c r="A55" s="2"/>
      <c r="B55" s="82"/>
      <c r="C55" s="51"/>
      <c r="D55" s="51"/>
      <c r="E55" s="51"/>
      <c r="F55" s="51"/>
      <c r="G55" s="20"/>
      <c r="H55" s="21"/>
      <c r="I55" s="21"/>
      <c r="J55" s="23"/>
      <c r="K55" s="51"/>
      <c r="L55" s="32"/>
      <c r="M55" s="22"/>
      <c r="N55" s="51"/>
      <c r="O55" s="81"/>
      <c r="P55" s="22"/>
      <c r="Q55" s="51"/>
      <c r="R55" s="51"/>
      <c r="S55" s="51"/>
      <c r="T55" s="51"/>
      <c r="U55" s="51"/>
      <c r="V55" s="51">
        <f t="shared" si="7"/>
        <v>0</v>
      </c>
      <c r="W55" s="2"/>
      <c r="Y55" s="74"/>
      <c r="AB55" s="74"/>
      <c r="AD55" s="74"/>
    </row>
    <row r="56" spans="1:30" s="1" customFormat="1" hidden="1" outlineLevel="1" x14ac:dyDescent="0.45">
      <c r="A56" s="2"/>
      <c r="B56" s="82"/>
      <c r="C56" s="51"/>
      <c r="D56" s="51"/>
      <c r="E56" s="51"/>
      <c r="F56" s="51"/>
      <c r="G56" s="20"/>
      <c r="H56" s="21"/>
      <c r="I56" s="21"/>
      <c r="J56" s="23"/>
      <c r="K56" s="51"/>
      <c r="L56" s="32"/>
      <c r="M56" s="22"/>
      <c r="N56" s="51"/>
      <c r="O56" s="81"/>
      <c r="P56" s="22"/>
      <c r="Q56" s="51"/>
      <c r="R56" s="51"/>
      <c r="S56" s="51"/>
      <c r="T56" s="51"/>
      <c r="U56" s="51"/>
      <c r="V56" s="51">
        <f t="shared" si="7"/>
        <v>0</v>
      </c>
      <c r="W56" s="2"/>
      <c r="Y56" s="74"/>
      <c r="AB56" s="74"/>
      <c r="AD56" s="74"/>
    </row>
    <row r="57" spans="1:30" s="1" customFormat="1" hidden="1" outlineLevel="1" x14ac:dyDescent="0.45">
      <c r="A57" s="2"/>
      <c r="B57" s="51"/>
      <c r="C57" s="51"/>
      <c r="D57" s="51"/>
      <c r="E57" s="51"/>
      <c r="F57" s="51"/>
      <c r="G57" s="51"/>
      <c r="H57" s="80"/>
      <c r="I57" s="51"/>
      <c r="J57" s="51"/>
      <c r="K57" s="51"/>
      <c r="L57" s="51"/>
      <c r="M57" s="51"/>
      <c r="N57" s="81"/>
      <c r="O57" s="51"/>
      <c r="P57" s="51"/>
      <c r="Q57" s="51"/>
      <c r="R57" s="51"/>
      <c r="S57" s="51"/>
      <c r="T57" s="51"/>
      <c r="U57" s="51"/>
      <c r="V57" s="51">
        <f t="shared" si="7"/>
        <v>0</v>
      </c>
      <c r="W57" s="2"/>
      <c r="Y57" s="74"/>
      <c r="AB57" s="74"/>
      <c r="AD57" s="74"/>
    </row>
    <row r="58" spans="1:30" s="1" customFormat="1" hidden="1" outlineLevel="1" x14ac:dyDescent="0.45">
      <c r="A58" s="2"/>
      <c r="B58" s="51"/>
      <c r="C58" s="51"/>
      <c r="D58" s="51"/>
      <c r="E58" s="51"/>
      <c r="F58" s="51"/>
      <c r="G58" s="51"/>
      <c r="H58" s="80"/>
      <c r="I58" s="51"/>
      <c r="J58" s="51"/>
      <c r="K58" s="51"/>
      <c r="L58" s="51"/>
      <c r="M58" s="51"/>
      <c r="N58" s="81"/>
      <c r="O58" s="51"/>
      <c r="P58" s="51"/>
      <c r="Q58" s="51"/>
      <c r="R58" s="51"/>
      <c r="S58" s="51"/>
      <c r="T58" s="51"/>
      <c r="U58" s="51"/>
      <c r="V58" s="51">
        <f t="shared" si="7"/>
        <v>0</v>
      </c>
      <c r="W58" s="2"/>
      <c r="Y58" s="74"/>
      <c r="AB58" s="74"/>
      <c r="AD58" s="74"/>
    </row>
    <row r="59" spans="1:30" s="1" customFormat="1" hidden="1" outlineLevel="1" x14ac:dyDescent="0.45">
      <c r="A59" s="2"/>
      <c r="B59" s="51"/>
      <c r="C59" s="51"/>
      <c r="D59" s="51"/>
      <c r="E59" s="51"/>
      <c r="F59" s="51"/>
      <c r="G59" s="51"/>
      <c r="H59" s="80"/>
      <c r="I59" s="51"/>
      <c r="J59" s="51"/>
      <c r="K59" s="51"/>
      <c r="L59" s="51"/>
      <c r="M59" s="51"/>
      <c r="N59" s="81"/>
      <c r="O59" s="51"/>
      <c r="P59" s="51"/>
      <c r="Q59" s="51"/>
      <c r="R59" s="51"/>
      <c r="S59" s="81"/>
      <c r="T59" s="51"/>
      <c r="U59" s="51"/>
      <c r="V59" s="51">
        <f t="shared" si="7"/>
        <v>0</v>
      </c>
      <c r="W59" s="2"/>
      <c r="Y59" s="74"/>
      <c r="AB59" s="74"/>
      <c r="AD59" s="74"/>
    </row>
    <row r="60" spans="1:30" s="1" customFormat="1" hidden="1" outlineLevel="1" x14ac:dyDescent="0.45">
      <c r="A60" s="2"/>
      <c r="B60" s="51"/>
      <c r="C60" s="51"/>
      <c r="D60" s="51"/>
      <c r="E60" s="51"/>
      <c r="F60" s="51"/>
      <c r="G60" s="51"/>
      <c r="H60" s="80"/>
      <c r="I60" s="51"/>
      <c r="J60" s="51"/>
      <c r="K60" s="51"/>
      <c r="L60" s="51"/>
      <c r="M60" s="51"/>
      <c r="N60" s="81"/>
      <c r="O60" s="51"/>
      <c r="P60" s="51"/>
      <c r="Q60" s="51"/>
      <c r="R60" s="51"/>
      <c r="S60" s="81"/>
      <c r="T60" s="51"/>
      <c r="U60" s="51"/>
      <c r="V60" s="51">
        <f t="shared" si="7"/>
        <v>0</v>
      </c>
      <c r="W60" s="2"/>
      <c r="Y60" s="74"/>
      <c r="AB60" s="74"/>
      <c r="AD60" s="74"/>
    </row>
    <row r="61" spans="1:30" s="1" customFormat="1" hidden="1" outlineLevel="1" x14ac:dyDescent="0.45">
      <c r="A61" s="2"/>
      <c r="B61" s="51"/>
      <c r="C61" s="51"/>
      <c r="D61" s="51"/>
      <c r="E61" s="51"/>
      <c r="F61" s="51"/>
      <c r="G61" s="51"/>
      <c r="H61" s="80"/>
      <c r="I61" s="51"/>
      <c r="J61" s="51"/>
      <c r="K61" s="51"/>
      <c r="L61" s="51"/>
      <c r="M61" s="51"/>
      <c r="N61" s="81"/>
      <c r="O61" s="51"/>
      <c r="P61" s="51"/>
      <c r="Q61" s="51"/>
      <c r="R61" s="51"/>
      <c r="S61" s="81"/>
      <c r="T61" s="51"/>
      <c r="U61" s="51"/>
      <c r="V61" s="51">
        <f t="shared" si="7"/>
        <v>0</v>
      </c>
      <c r="W61" s="2"/>
      <c r="Y61" s="74"/>
      <c r="AB61" s="74"/>
      <c r="AD61" s="74"/>
    </row>
    <row r="62" spans="1:30" s="1" customFormat="1" hidden="1" outlineLevel="1" x14ac:dyDescent="0.45">
      <c r="A62" s="2"/>
      <c r="B62" s="51"/>
      <c r="C62" s="51"/>
      <c r="D62" s="51"/>
      <c r="E62" s="51"/>
      <c r="F62" s="51"/>
      <c r="G62" s="51"/>
      <c r="H62" s="80"/>
      <c r="I62" s="51"/>
      <c r="J62" s="51"/>
      <c r="K62" s="51"/>
      <c r="L62" s="51"/>
      <c r="M62" s="51"/>
      <c r="N62" s="81"/>
      <c r="O62" s="51"/>
      <c r="P62" s="51"/>
      <c r="Q62" s="51"/>
      <c r="R62" s="51"/>
      <c r="S62" s="81"/>
      <c r="T62" s="51"/>
      <c r="U62" s="51"/>
      <c r="V62" s="51">
        <f t="shared" si="7"/>
        <v>0</v>
      </c>
      <c r="W62" s="2"/>
      <c r="Y62" s="74"/>
      <c r="AB62" s="74"/>
      <c r="AD62" s="74"/>
    </row>
    <row r="63" spans="1:30" s="1" customFormat="1" hidden="1" outlineLevel="1" x14ac:dyDescent="0.45">
      <c r="A63" s="2"/>
      <c r="B63" s="51"/>
      <c r="C63" s="51"/>
      <c r="D63" s="51"/>
      <c r="E63" s="51"/>
      <c r="F63" s="51"/>
      <c r="G63" s="51"/>
      <c r="H63" s="80"/>
      <c r="I63" s="51"/>
      <c r="J63" s="51"/>
      <c r="K63" s="51"/>
      <c r="L63" s="51"/>
      <c r="M63" s="51"/>
      <c r="N63" s="81"/>
      <c r="O63" s="51"/>
      <c r="P63" s="51"/>
      <c r="Q63" s="51"/>
      <c r="R63" s="51"/>
      <c r="S63" s="81"/>
      <c r="T63" s="51"/>
      <c r="U63" s="51"/>
      <c r="V63" s="51">
        <f t="shared" si="7"/>
        <v>0</v>
      </c>
      <c r="W63" s="2"/>
      <c r="Y63" s="74"/>
      <c r="AB63" s="74"/>
      <c r="AD63" s="74"/>
    </row>
    <row r="64" spans="1:30" s="1" customFormat="1" hidden="1" outlineLevel="1" x14ac:dyDescent="0.45">
      <c r="A64" s="2"/>
      <c r="B64" s="51"/>
      <c r="C64" s="51"/>
      <c r="D64" s="51"/>
      <c r="E64" s="51"/>
      <c r="F64" s="51"/>
      <c r="G64" s="51"/>
      <c r="H64" s="80"/>
      <c r="I64" s="51"/>
      <c r="J64" s="51"/>
      <c r="K64" s="51"/>
      <c r="L64" s="51"/>
      <c r="M64" s="51"/>
      <c r="N64" s="81"/>
      <c r="O64" s="51"/>
      <c r="P64" s="51"/>
      <c r="Q64" s="51"/>
      <c r="R64" s="51"/>
      <c r="S64" s="81"/>
      <c r="T64" s="51"/>
      <c r="U64" s="51"/>
      <c r="V64" s="51">
        <f t="shared" si="7"/>
        <v>0</v>
      </c>
      <c r="W64" s="2"/>
      <c r="Y64" s="74"/>
      <c r="AB64" s="74"/>
      <c r="AD64" s="74"/>
    </row>
    <row r="65" spans="1:39" s="1" customFormat="1" hidden="1" outlineLevel="1" x14ac:dyDescent="0.45">
      <c r="A65" s="2"/>
      <c r="B65" s="51"/>
      <c r="C65" s="51"/>
      <c r="D65" s="51"/>
      <c r="E65" s="51"/>
      <c r="F65" s="51"/>
      <c r="G65" s="51"/>
      <c r="H65" s="80"/>
      <c r="I65" s="51"/>
      <c r="J65" s="51"/>
      <c r="K65" s="51"/>
      <c r="L65" s="51"/>
      <c r="M65" s="51"/>
      <c r="N65" s="81"/>
      <c r="O65" s="51"/>
      <c r="P65" s="51"/>
      <c r="Q65" s="51"/>
      <c r="R65" s="51"/>
      <c r="S65" s="81"/>
      <c r="T65" s="51"/>
      <c r="U65" s="51"/>
      <c r="V65" s="51">
        <f t="shared" si="7"/>
        <v>0</v>
      </c>
      <c r="W65" s="2"/>
      <c r="Y65" s="74"/>
      <c r="AB65" s="74"/>
      <c r="AD65" s="74"/>
    </row>
    <row r="66" spans="1:39" s="1" customFormat="1" hidden="1" outlineLevel="1" x14ac:dyDescent="0.45">
      <c r="A66" s="2"/>
      <c r="B66" s="51"/>
      <c r="C66" s="51"/>
      <c r="D66" s="51"/>
      <c r="E66" s="51"/>
      <c r="F66" s="51"/>
      <c r="G66" s="51"/>
      <c r="H66" s="80"/>
      <c r="I66" s="51"/>
      <c r="J66" s="51"/>
      <c r="K66" s="51"/>
      <c r="L66" s="51"/>
      <c r="M66" s="51"/>
      <c r="N66" s="81"/>
      <c r="O66" s="51"/>
      <c r="P66" s="51"/>
      <c r="Q66" s="51"/>
      <c r="R66" s="51"/>
      <c r="S66" s="81"/>
      <c r="T66" s="51"/>
      <c r="U66" s="51"/>
      <c r="V66" s="51">
        <f t="shared" si="7"/>
        <v>0</v>
      </c>
      <c r="W66" s="2"/>
      <c r="Y66" s="74"/>
      <c r="AB66" s="74"/>
      <c r="AD66" s="74"/>
    </row>
    <row r="67" spans="1:39" s="1" customFormat="1" hidden="1" outlineLevel="1" x14ac:dyDescent="0.45">
      <c r="A67" s="2"/>
      <c r="B67" s="51"/>
      <c r="C67" s="51"/>
      <c r="D67" s="51"/>
      <c r="E67" s="51"/>
      <c r="F67" s="51"/>
      <c r="G67" s="51"/>
      <c r="H67" s="80"/>
      <c r="I67" s="51"/>
      <c r="J67" s="51"/>
      <c r="K67" s="51"/>
      <c r="L67" s="51"/>
      <c r="M67" s="51"/>
      <c r="N67" s="81"/>
      <c r="O67" s="51"/>
      <c r="P67" s="51"/>
      <c r="Q67" s="51"/>
      <c r="R67" s="51"/>
      <c r="S67" s="81"/>
      <c r="T67" s="51"/>
      <c r="U67" s="51"/>
      <c r="V67" s="51">
        <f t="shared" si="7"/>
        <v>0</v>
      </c>
      <c r="W67" s="2"/>
      <c r="Y67" s="74"/>
      <c r="AB67" s="74"/>
      <c r="AD67" s="74"/>
    </row>
    <row r="68" spans="1:39" s="1" customFormat="1" hidden="1" outlineLevel="1" x14ac:dyDescent="0.45">
      <c r="A68" s="2"/>
      <c r="B68" s="51"/>
      <c r="C68" s="51"/>
      <c r="D68" s="51"/>
      <c r="E68" s="51"/>
      <c r="F68" s="51"/>
      <c r="G68" s="51"/>
      <c r="H68" s="80"/>
      <c r="I68" s="51"/>
      <c r="J68" s="51"/>
      <c r="K68" s="51"/>
      <c r="L68" s="51"/>
      <c r="M68" s="51"/>
      <c r="N68" s="81"/>
      <c r="O68" s="51"/>
      <c r="P68" s="51"/>
      <c r="Q68" s="51"/>
      <c r="R68" s="51"/>
      <c r="S68" s="81"/>
      <c r="T68" s="51"/>
      <c r="U68" s="51"/>
      <c r="V68" s="51">
        <f t="shared" si="7"/>
        <v>0</v>
      </c>
      <c r="W68" s="2"/>
      <c r="Y68" s="74"/>
      <c r="AB68" s="74"/>
      <c r="AD68" s="74"/>
    </row>
    <row r="69" spans="1:39" s="1" customFormat="1" hidden="1" outlineLevel="1" x14ac:dyDescent="0.45">
      <c r="A69" s="2"/>
      <c r="B69" s="51"/>
      <c r="C69" s="51"/>
      <c r="D69" s="51"/>
      <c r="E69" s="51"/>
      <c r="F69" s="51"/>
      <c r="G69" s="51"/>
      <c r="H69" s="80"/>
      <c r="I69" s="51"/>
      <c r="J69" s="51"/>
      <c r="K69" s="51"/>
      <c r="L69" s="51"/>
      <c r="M69" s="51"/>
      <c r="N69" s="81"/>
      <c r="O69" s="51"/>
      <c r="P69" s="51"/>
      <c r="Q69" s="51"/>
      <c r="R69" s="51"/>
      <c r="S69" s="81"/>
      <c r="T69" s="51"/>
      <c r="U69" s="51"/>
      <c r="V69" s="51">
        <f t="shared" si="7"/>
        <v>0</v>
      </c>
      <c r="W69" s="2"/>
      <c r="Y69" s="74"/>
      <c r="AB69" s="74"/>
      <c r="AD69" s="74"/>
    </row>
    <row r="70" spans="1:39" ht="15.75" hidden="1" customHeight="1" outlineLevel="1" thickBot="1" x14ac:dyDescent="0.5">
      <c r="A70" s="2"/>
      <c r="B70" s="75"/>
      <c r="C70" s="75"/>
      <c r="D70" s="76"/>
      <c r="E70" s="76"/>
      <c r="F70" s="76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2"/>
      <c r="R70" s="77"/>
      <c r="S70" s="77"/>
      <c r="T70" s="77"/>
      <c r="U70" s="2"/>
      <c r="V70" s="77"/>
      <c r="W70" s="78"/>
      <c r="Y70" s="74"/>
      <c r="Z70" s="6"/>
      <c r="AA70" s="13"/>
      <c r="AB70" s="74"/>
      <c r="AC70" s="6"/>
      <c r="AD70" s="74"/>
      <c r="AE70" s="6"/>
      <c r="AF70" s="6"/>
      <c r="AG70" s="6"/>
      <c r="AH70" s="6"/>
      <c r="AI70" s="6"/>
      <c r="AM70" s="14"/>
    </row>
    <row r="71" spans="1:39" s="1" customFormat="1" x14ac:dyDescent="0.4">
      <c r="A71" s="145">
        <v>3</v>
      </c>
      <c r="B71" s="128" t="s">
        <v>198</v>
      </c>
      <c r="C71" s="134" t="s">
        <v>9</v>
      </c>
      <c r="D71" s="137" t="s">
        <v>12</v>
      </c>
      <c r="E71" s="90" t="s">
        <v>15</v>
      </c>
      <c r="F71" s="92">
        <v>0.25</v>
      </c>
      <c r="G71" s="72">
        <f t="shared" ref="G71:U71" si="8">SUM(G73:G82)</f>
        <v>66</v>
      </c>
      <c r="H71" s="72">
        <f t="shared" si="8"/>
        <v>80</v>
      </c>
      <c r="I71" s="72">
        <f t="shared" si="8"/>
        <v>0</v>
      </c>
      <c r="J71" s="72">
        <f t="shared" si="8"/>
        <v>9</v>
      </c>
      <c r="K71" s="72">
        <f t="shared" si="8"/>
        <v>0</v>
      </c>
      <c r="L71" s="72">
        <f t="shared" si="8"/>
        <v>12</v>
      </c>
      <c r="M71" s="72">
        <f t="shared" si="8"/>
        <v>2</v>
      </c>
      <c r="N71" s="72">
        <f t="shared" si="8"/>
        <v>0</v>
      </c>
      <c r="O71" s="72">
        <f t="shared" si="8"/>
        <v>22.049999999999997</v>
      </c>
      <c r="P71" s="72">
        <f t="shared" si="8"/>
        <v>13.5</v>
      </c>
      <c r="Q71" s="72">
        <f t="shared" si="8"/>
        <v>0</v>
      </c>
      <c r="R71" s="72">
        <f t="shared" si="8"/>
        <v>0</v>
      </c>
      <c r="S71" s="72">
        <f t="shared" si="8"/>
        <v>0</v>
      </c>
      <c r="T71" s="72">
        <f t="shared" si="8"/>
        <v>0</v>
      </c>
      <c r="U71" s="72">
        <f t="shared" si="8"/>
        <v>0</v>
      </c>
      <c r="V71" s="72">
        <f>SUM(V73:V82)</f>
        <v>204.55</v>
      </c>
      <c r="W71" s="149">
        <f>V71+V72</f>
        <v>204.55</v>
      </c>
      <c r="Y71" s="74"/>
      <c r="AB71" s="74"/>
      <c r="AD71" s="74"/>
    </row>
    <row r="72" spans="1:39" s="1" customFormat="1" ht="12.9" collapsed="1" thickBot="1" x14ac:dyDescent="0.45">
      <c r="A72" s="146"/>
      <c r="B72" s="129"/>
      <c r="C72" s="135"/>
      <c r="D72" s="138"/>
      <c r="E72" s="91"/>
      <c r="F72" s="93"/>
      <c r="G72" s="73">
        <f>SUM(G84:G101)</f>
        <v>0</v>
      </c>
      <c r="H72" s="79">
        <f>SUM(H84:H101)</f>
        <v>0</v>
      </c>
      <c r="I72" s="79">
        <f>SUM(I84:I101)</f>
        <v>0</v>
      </c>
      <c r="J72" s="73">
        <f t="shared" ref="J72:Q72" si="9">SUM(J84:J101)</f>
        <v>0</v>
      </c>
      <c r="K72" s="73">
        <f t="shared" si="9"/>
        <v>0</v>
      </c>
      <c r="L72" s="73">
        <f t="shared" si="9"/>
        <v>0</v>
      </c>
      <c r="M72" s="73">
        <f t="shared" si="9"/>
        <v>0</v>
      </c>
      <c r="N72" s="73">
        <f t="shared" si="9"/>
        <v>0</v>
      </c>
      <c r="O72" s="73">
        <f t="shared" si="9"/>
        <v>0</v>
      </c>
      <c r="P72" s="73">
        <f t="shared" si="9"/>
        <v>0</v>
      </c>
      <c r="Q72" s="73">
        <f t="shared" si="9"/>
        <v>0</v>
      </c>
      <c r="R72" s="73">
        <f>SUM(R84:R101)</f>
        <v>0</v>
      </c>
      <c r="S72" s="73">
        <f>SUM(S84:S101)</f>
        <v>0</v>
      </c>
      <c r="T72" s="73">
        <f>SUM(T84:T101)</f>
        <v>0</v>
      </c>
      <c r="U72" s="73">
        <f>SUM(U84:U101)</f>
        <v>0</v>
      </c>
      <c r="V72" s="73">
        <f>SUM(V84:V101)</f>
        <v>0</v>
      </c>
      <c r="W72" s="150"/>
      <c r="Y72" s="74"/>
      <c r="Z72" s="74"/>
      <c r="AB72" s="74"/>
      <c r="AD72" s="74"/>
    </row>
    <row r="73" spans="1:39" s="1" customFormat="1" ht="25.2" hidden="1" outlineLevel="1" x14ac:dyDescent="0.45">
      <c r="A73" s="34" t="s">
        <v>223</v>
      </c>
      <c r="B73" s="42" t="s">
        <v>174</v>
      </c>
      <c r="C73" s="34">
        <v>1</v>
      </c>
      <c r="D73" s="34"/>
      <c r="E73" s="34"/>
      <c r="F73" s="34"/>
      <c r="G73" s="34">
        <v>16</v>
      </c>
      <c r="H73" s="34">
        <v>48</v>
      </c>
      <c r="I73" s="34"/>
      <c r="J73" s="34">
        <v>3.6</v>
      </c>
      <c r="K73" s="34"/>
      <c r="L73" s="34"/>
      <c r="M73" s="34"/>
      <c r="N73" s="34"/>
      <c r="O73" s="34">
        <v>12.6</v>
      </c>
      <c r="P73" s="34"/>
      <c r="Q73" s="34"/>
      <c r="R73" s="34"/>
      <c r="S73" s="34"/>
      <c r="T73" s="34"/>
      <c r="U73" s="34"/>
      <c r="V73" s="51">
        <f>SUM(G73:U73)</f>
        <v>80.199999999999989</v>
      </c>
      <c r="W73" s="2"/>
      <c r="Y73" s="74"/>
      <c r="AB73" s="74"/>
      <c r="AD73" s="74"/>
    </row>
    <row r="74" spans="1:39" s="1" customFormat="1" ht="25.2" hidden="1" outlineLevel="1" x14ac:dyDescent="0.45">
      <c r="A74" s="34" t="s">
        <v>223</v>
      </c>
      <c r="B74" s="42" t="s">
        <v>180</v>
      </c>
      <c r="C74" s="34">
        <v>1</v>
      </c>
      <c r="D74" s="34"/>
      <c r="E74" s="34"/>
      <c r="F74" s="34"/>
      <c r="G74" s="34">
        <v>16</v>
      </c>
      <c r="H74" s="34">
        <v>32</v>
      </c>
      <c r="I74" s="34"/>
      <c r="J74" s="34">
        <v>2.7</v>
      </c>
      <c r="K74" s="34"/>
      <c r="L74" s="34"/>
      <c r="M74" s="34"/>
      <c r="N74" s="34"/>
      <c r="O74" s="34">
        <v>9.4499999999999993</v>
      </c>
      <c r="P74" s="34"/>
      <c r="Q74" s="34"/>
      <c r="R74" s="34"/>
      <c r="S74" s="34"/>
      <c r="T74" s="34"/>
      <c r="U74" s="34"/>
      <c r="V74" s="51">
        <f>SUM(G74:U74)</f>
        <v>60.150000000000006</v>
      </c>
      <c r="W74" s="2"/>
      <c r="Y74" s="74"/>
      <c r="AB74" s="74"/>
      <c r="AD74" s="74"/>
    </row>
    <row r="75" spans="1:39" s="1" customFormat="1" hidden="1" outlineLevel="1" x14ac:dyDescent="0.45">
      <c r="A75" s="2" t="s">
        <v>223</v>
      </c>
      <c r="B75" s="51" t="s">
        <v>177</v>
      </c>
      <c r="C75" s="51">
        <v>3</v>
      </c>
      <c r="D75" s="51"/>
      <c r="E75" s="51"/>
      <c r="F75" s="51"/>
      <c r="G75" s="51">
        <v>34</v>
      </c>
      <c r="H75" s="51"/>
      <c r="I75" s="51"/>
      <c r="J75" s="51">
        <v>2.7</v>
      </c>
      <c r="K75" s="51"/>
      <c r="L75" s="51">
        <v>12</v>
      </c>
      <c r="M75" s="51">
        <v>2</v>
      </c>
      <c r="N75" s="51"/>
      <c r="O75" s="51"/>
      <c r="P75" s="51">
        <v>13.5</v>
      </c>
      <c r="Q75" s="51"/>
      <c r="R75" s="51"/>
      <c r="S75" s="51"/>
      <c r="T75" s="51"/>
      <c r="U75" s="51"/>
      <c r="V75" s="51">
        <f t="shared" ref="V75:V82" si="10">SUM(G75:U75)</f>
        <v>64.2</v>
      </c>
      <c r="W75" s="2"/>
      <c r="Y75" s="74"/>
      <c r="AB75" s="74"/>
      <c r="AD75" s="74"/>
    </row>
    <row r="76" spans="1:39" s="1" customFormat="1" hidden="1" outlineLevel="1" x14ac:dyDescent="0.45">
      <c r="A76" s="2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>
        <f t="shared" si="10"/>
        <v>0</v>
      </c>
      <c r="W76" s="2"/>
      <c r="Y76" s="74"/>
      <c r="AB76" s="74"/>
      <c r="AD76" s="74"/>
    </row>
    <row r="77" spans="1:39" s="1" customFormat="1" hidden="1" outlineLevel="1" x14ac:dyDescent="0.45">
      <c r="A77" s="2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>
        <f t="shared" si="10"/>
        <v>0</v>
      </c>
      <c r="W77" s="2"/>
      <c r="Y77" s="74"/>
      <c r="AB77" s="74"/>
      <c r="AD77" s="74"/>
    </row>
    <row r="78" spans="1:39" s="1" customFormat="1" hidden="1" outlineLevel="1" x14ac:dyDescent="0.45">
      <c r="A78" s="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>
        <f t="shared" si="10"/>
        <v>0</v>
      </c>
      <c r="W78" s="2"/>
      <c r="Y78" s="74"/>
      <c r="AB78" s="74"/>
      <c r="AD78" s="74"/>
    </row>
    <row r="79" spans="1:39" s="1" customFormat="1" hidden="1" outlineLevel="1" x14ac:dyDescent="0.45">
      <c r="A79" s="2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>
        <f t="shared" si="10"/>
        <v>0</v>
      </c>
      <c r="W79" s="2"/>
      <c r="Y79" s="74"/>
      <c r="AB79" s="74"/>
      <c r="AD79" s="74"/>
    </row>
    <row r="80" spans="1:39" s="1" customFormat="1" hidden="1" outlineLevel="1" x14ac:dyDescent="0.45">
      <c r="A80" s="2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>
        <f t="shared" si="10"/>
        <v>0</v>
      </c>
      <c r="W80" s="2"/>
      <c r="Y80" s="74"/>
      <c r="AB80" s="74"/>
      <c r="AD80" s="74"/>
    </row>
    <row r="81" spans="1:30" s="1" customFormat="1" hidden="1" outlineLevel="1" x14ac:dyDescent="0.45">
      <c r="A81" s="2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>
        <f t="shared" si="10"/>
        <v>0</v>
      </c>
      <c r="W81" s="2"/>
      <c r="Y81" s="74"/>
      <c r="AB81" s="74"/>
      <c r="AD81" s="74"/>
    </row>
    <row r="82" spans="1:30" s="1" customFormat="1" hidden="1" outlineLevel="1" x14ac:dyDescent="0.45">
      <c r="A82" s="2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>
        <f t="shared" si="10"/>
        <v>0</v>
      </c>
      <c r="W82" s="2"/>
      <c r="Y82" s="74"/>
      <c r="AB82" s="74"/>
      <c r="AD82" s="74"/>
    </row>
    <row r="83" spans="1:30" s="1" customFormat="1" hidden="1" outlineLevel="1" x14ac:dyDescent="0.45">
      <c r="A83" s="2"/>
      <c r="B83" s="166" t="s">
        <v>29</v>
      </c>
      <c r="C83" s="166"/>
      <c r="D83" s="166"/>
      <c r="E83" s="166"/>
      <c r="F83" s="166"/>
      <c r="G83" s="166"/>
      <c r="H83" s="166"/>
      <c r="I83" s="166"/>
      <c r="J83" s="166"/>
      <c r="K83" s="166"/>
      <c r="L83" s="166"/>
      <c r="M83" s="166"/>
      <c r="N83" s="166"/>
      <c r="O83" s="166"/>
      <c r="P83" s="166"/>
      <c r="Q83" s="166"/>
      <c r="R83" s="166"/>
      <c r="S83" s="166"/>
      <c r="T83" s="166"/>
      <c r="U83" s="166"/>
      <c r="V83" s="87"/>
      <c r="W83" s="2"/>
      <c r="Y83" s="74"/>
      <c r="AB83" s="74"/>
      <c r="AD83" s="74"/>
    </row>
    <row r="84" spans="1:30" s="1" customFormat="1" hidden="1" outlineLevel="1" x14ac:dyDescent="0.45">
      <c r="A84" s="34"/>
      <c r="B84" s="42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51">
        <f t="shared" ref="V84:V100" si="11">SUM(G84:U84)</f>
        <v>0</v>
      </c>
      <c r="W84" s="2"/>
      <c r="Y84" s="74"/>
      <c r="AB84" s="74"/>
      <c r="AD84" s="74"/>
    </row>
    <row r="85" spans="1:30" s="1" customFormat="1" hidden="1" outlineLevel="1" x14ac:dyDescent="0.45">
      <c r="A85" s="34"/>
      <c r="B85" s="42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51">
        <f t="shared" si="11"/>
        <v>0</v>
      </c>
      <c r="W85" s="2"/>
      <c r="Y85" s="74"/>
      <c r="AB85" s="74"/>
      <c r="AD85" s="74"/>
    </row>
    <row r="86" spans="1:30" s="1" customFormat="1" hidden="1" outlineLevel="1" x14ac:dyDescent="0.45">
      <c r="A86" s="2"/>
      <c r="B86" s="82"/>
      <c r="C86" s="51"/>
      <c r="D86" s="51"/>
      <c r="E86" s="51"/>
      <c r="F86" s="51"/>
      <c r="G86" s="20"/>
      <c r="H86" s="21"/>
      <c r="I86" s="21"/>
      <c r="J86" s="23"/>
      <c r="K86" s="51"/>
      <c r="L86" s="32"/>
      <c r="M86" s="22"/>
      <c r="N86" s="51"/>
      <c r="O86" s="81"/>
      <c r="P86" s="22"/>
      <c r="Q86" s="51"/>
      <c r="R86" s="51"/>
      <c r="S86" s="51"/>
      <c r="T86" s="51"/>
      <c r="U86" s="51"/>
      <c r="V86" s="51">
        <f t="shared" si="11"/>
        <v>0</v>
      </c>
      <c r="W86" s="2"/>
      <c r="Y86" s="74"/>
      <c r="AB86" s="74"/>
      <c r="AD86" s="74"/>
    </row>
    <row r="87" spans="1:30" s="1" customFormat="1" hidden="1" outlineLevel="1" x14ac:dyDescent="0.45">
      <c r="A87" s="2"/>
      <c r="B87" s="82"/>
      <c r="C87" s="51"/>
      <c r="D87" s="51"/>
      <c r="E87" s="51"/>
      <c r="F87" s="51"/>
      <c r="G87" s="20"/>
      <c r="H87" s="21"/>
      <c r="I87" s="21"/>
      <c r="J87" s="23"/>
      <c r="K87" s="51"/>
      <c r="L87" s="32"/>
      <c r="M87" s="22"/>
      <c r="N87" s="51"/>
      <c r="O87" s="81"/>
      <c r="P87" s="22"/>
      <c r="Q87" s="51"/>
      <c r="R87" s="51"/>
      <c r="S87" s="51"/>
      <c r="T87" s="51"/>
      <c r="U87" s="51"/>
      <c r="V87" s="51">
        <f t="shared" si="11"/>
        <v>0</v>
      </c>
      <c r="W87" s="2"/>
      <c r="Y87" s="74"/>
      <c r="AB87" s="74"/>
      <c r="AD87" s="74"/>
    </row>
    <row r="88" spans="1:30" s="1" customFormat="1" hidden="1" outlineLevel="1" x14ac:dyDescent="0.45">
      <c r="A88" s="2"/>
      <c r="B88" s="51"/>
      <c r="C88" s="51"/>
      <c r="D88" s="51"/>
      <c r="E88" s="51"/>
      <c r="F88" s="51"/>
      <c r="G88" s="51"/>
      <c r="H88" s="80"/>
      <c r="I88" s="51"/>
      <c r="J88" s="51"/>
      <c r="K88" s="51"/>
      <c r="L88" s="51"/>
      <c r="M88" s="51"/>
      <c r="N88" s="81"/>
      <c r="O88" s="51"/>
      <c r="P88" s="51"/>
      <c r="Q88" s="51"/>
      <c r="R88" s="51"/>
      <c r="S88" s="51"/>
      <c r="T88" s="51"/>
      <c r="U88" s="51"/>
      <c r="V88" s="51">
        <f t="shared" si="11"/>
        <v>0</v>
      </c>
      <c r="W88" s="2"/>
      <c r="Y88" s="74"/>
      <c r="AB88" s="74"/>
      <c r="AD88" s="74"/>
    </row>
    <row r="89" spans="1:30" s="1" customFormat="1" hidden="1" outlineLevel="1" x14ac:dyDescent="0.45">
      <c r="A89" s="2"/>
      <c r="B89" s="51"/>
      <c r="C89" s="51"/>
      <c r="D89" s="51"/>
      <c r="E89" s="51"/>
      <c r="F89" s="51"/>
      <c r="G89" s="51"/>
      <c r="H89" s="80"/>
      <c r="I89" s="51"/>
      <c r="J89" s="51"/>
      <c r="K89" s="51"/>
      <c r="L89" s="51"/>
      <c r="M89" s="51"/>
      <c r="N89" s="81"/>
      <c r="O89" s="51"/>
      <c r="P89" s="51"/>
      <c r="Q89" s="51"/>
      <c r="R89" s="51"/>
      <c r="S89" s="51"/>
      <c r="T89" s="51"/>
      <c r="U89" s="51"/>
      <c r="V89" s="51">
        <f t="shared" si="11"/>
        <v>0</v>
      </c>
      <c r="W89" s="2"/>
      <c r="Y89" s="74"/>
      <c r="AB89" s="74"/>
      <c r="AD89" s="74"/>
    </row>
    <row r="90" spans="1:30" s="1" customFormat="1" hidden="1" outlineLevel="1" x14ac:dyDescent="0.45">
      <c r="A90" s="2"/>
      <c r="B90" s="51"/>
      <c r="C90" s="51"/>
      <c r="D90" s="51"/>
      <c r="E90" s="51"/>
      <c r="F90" s="51"/>
      <c r="G90" s="51"/>
      <c r="H90" s="80"/>
      <c r="I90" s="51"/>
      <c r="J90" s="51"/>
      <c r="K90" s="51"/>
      <c r="L90" s="51"/>
      <c r="M90" s="51"/>
      <c r="N90" s="81"/>
      <c r="O90" s="51"/>
      <c r="P90" s="51"/>
      <c r="Q90" s="51"/>
      <c r="R90" s="51"/>
      <c r="S90" s="81"/>
      <c r="T90" s="51"/>
      <c r="U90" s="51"/>
      <c r="V90" s="51">
        <f t="shared" si="11"/>
        <v>0</v>
      </c>
      <c r="W90" s="2"/>
      <c r="Y90" s="74"/>
      <c r="AB90" s="74"/>
      <c r="AD90" s="74"/>
    </row>
    <row r="91" spans="1:30" s="1" customFormat="1" hidden="1" outlineLevel="1" x14ac:dyDescent="0.45">
      <c r="A91" s="2"/>
      <c r="B91" s="51"/>
      <c r="C91" s="51"/>
      <c r="D91" s="51"/>
      <c r="E91" s="51"/>
      <c r="F91" s="51"/>
      <c r="G91" s="51"/>
      <c r="H91" s="80"/>
      <c r="I91" s="51"/>
      <c r="J91" s="51"/>
      <c r="K91" s="51"/>
      <c r="L91" s="51"/>
      <c r="M91" s="51"/>
      <c r="N91" s="81"/>
      <c r="O91" s="51"/>
      <c r="P91" s="51"/>
      <c r="Q91" s="51"/>
      <c r="R91" s="51"/>
      <c r="S91" s="81"/>
      <c r="T91" s="51"/>
      <c r="U91" s="51"/>
      <c r="V91" s="51">
        <f t="shared" si="11"/>
        <v>0</v>
      </c>
      <c r="W91" s="2"/>
      <c r="Y91" s="74"/>
      <c r="AB91" s="74"/>
      <c r="AD91" s="74"/>
    </row>
    <row r="92" spans="1:30" s="1" customFormat="1" hidden="1" outlineLevel="1" x14ac:dyDescent="0.45">
      <c r="A92" s="2"/>
      <c r="B92" s="51"/>
      <c r="C92" s="51"/>
      <c r="D92" s="51"/>
      <c r="E92" s="51"/>
      <c r="F92" s="51"/>
      <c r="G92" s="51"/>
      <c r="H92" s="80"/>
      <c r="I92" s="51"/>
      <c r="J92" s="51"/>
      <c r="K92" s="51"/>
      <c r="L92" s="51"/>
      <c r="M92" s="51"/>
      <c r="N92" s="81"/>
      <c r="O92" s="51"/>
      <c r="P92" s="51"/>
      <c r="Q92" s="51"/>
      <c r="R92" s="51"/>
      <c r="S92" s="81"/>
      <c r="T92" s="51"/>
      <c r="U92" s="51"/>
      <c r="V92" s="51">
        <f t="shared" si="11"/>
        <v>0</v>
      </c>
      <c r="W92" s="2"/>
      <c r="Y92" s="74"/>
      <c r="AB92" s="74"/>
      <c r="AD92" s="74"/>
    </row>
    <row r="93" spans="1:30" s="1" customFormat="1" hidden="1" outlineLevel="1" x14ac:dyDescent="0.45">
      <c r="A93" s="2"/>
      <c r="B93" s="51"/>
      <c r="C93" s="51"/>
      <c r="D93" s="51"/>
      <c r="E93" s="51"/>
      <c r="F93" s="51"/>
      <c r="G93" s="51"/>
      <c r="H93" s="80"/>
      <c r="I93" s="51"/>
      <c r="J93" s="51"/>
      <c r="K93" s="51"/>
      <c r="L93" s="51"/>
      <c r="M93" s="51"/>
      <c r="N93" s="81"/>
      <c r="O93" s="51"/>
      <c r="P93" s="51"/>
      <c r="Q93" s="51"/>
      <c r="R93" s="51"/>
      <c r="S93" s="81"/>
      <c r="T93" s="51"/>
      <c r="U93" s="51"/>
      <c r="V93" s="51">
        <f t="shared" si="11"/>
        <v>0</v>
      </c>
      <c r="W93" s="2"/>
      <c r="Y93" s="74"/>
      <c r="AB93" s="74"/>
      <c r="AD93" s="74"/>
    </row>
    <row r="94" spans="1:30" s="1" customFormat="1" hidden="1" outlineLevel="1" x14ac:dyDescent="0.45">
      <c r="A94" s="2"/>
      <c r="B94" s="51"/>
      <c r="C94" s="51"/>
      <c r="D94" s="51"/>
      <c r="E94" s="51"/>
      <c r="F94" s="51"/>
      <c r="G94" s="51"/>
      <c r="H94" s="80"/>
      <c r="I94" s="51"/>
      <c r="J94" s="51"/>
      <c r="K94" s="51"/>
      <c r="L94" s="51"/>
      <c r="M94" s="51"/>
      <c r="N94" s="81"/>
      <c r="O94" s="51"/>
      <c r="P94" s="51"/>
      <c r="Q94" s="51"/>
      <c r="R94" s="51"/>
      <c r="S94" s="81"/>
      <c r="T94" s="51"/>
      <c r="U94" s="51"/>
      <c r="V94" s="51">
        <f t="shared" si="11"/>
        <v>0</v>
      </c>
      <c r="W94" s="2"/>
      <c r="Y94" s="74"/>
      <c r="AB94" s="74"/>
      <c r="AD94" s="74"/>
    </row>
    <row r="95" spans="1:30" s="1" customFormat="1" hidden="1" outlineLevel="1" x14ac:dyDescent="0.45">
      <c r="A95" s="2"/>
      <c r="B95" s="51"/>
      <c r="C95" s="51"/>
      <c r="D95" s="51"/>
      <c r="E95" s="51"/>
      <c r="F95" s="51"/>
      <c r="G95" s="51"/>
      <c r="H95" s="80"/>
      <c r="I95" s="51"/>
      <c r="J95" s="51"/>
      <c r="K95" s="51"/>
      <c r="L95" s="51"/>
      <c r="M95" s="51"/>
      <c r="N95" s="81"/>
      <c r="O95" s="51"/>
      <c r="P95" s="51"/>
      <c r="Q95" s="51"/>
      <c r="R95" s="51"/>
      <c r="S95" s="81"/>
      <c r="T95" s="51"/>
      <c r="U95" s="51"/>
      <c r="V95" s="51">
        <f t="shared" si="11"/>
        <v>0</v>
      </c>
      <c r="W95" s="2"/>
      <c r="Y95" s="74"/>
      <c r="AB95" s="74"/>
      <c r="AD95" s="74"/>
    </row>
    <row r="96" spans="1:30" s="1" customFormat="1" hidden="1" outlineLevel="1" x14ac:dyDescent="0.45">
      <c r="A96" s="2"/>
      <c r="B96" s="51"/>
      <c r="C96" s="51"/>
      <c r="D96" s="51"/>
      <c r="E96" s="51"/>
      <c r="F96" s="51"/>
      <c r="G96" s="51"/>
      <c r="H96" s="80"/>
      <c r="I96" s="51"/>
      <c r="J96" s="51"/>
      <c r="K96" s="51"/>
      <c r="L96" s="51"/>
      <c r="M96" s="51"/>
      <c r="N96" s="81"/>
      <c r="O96" s="51"/>
      <c r="P96" s="51"/>
      <c r="Q96" s="51"/>
      <c r="R96" s="51"/>
      <c r="S96" s="81"/>
      <c r="T96" s="51"/>
      <c r="U96" s="51"/>
      <c r="V96" s="51">
        <f t="shared" si="11"/>
        <v>0</v>
      </c>
      <c r="W96" s="2"/>
      <c r="Y96" s="74"/>
      <c r="AB96" s="74"/>
      <c r="AD96" s="74"/>
    </row>
    <row r="97" spans="1:39" s="1" customFormat="1" hidden="1" outlineLevel="1" x14ac:dyDescent="0.45">
      <c r="A97" s="2"/>
      <c r="B97" s="51"/>
      <c r="C97" s="51"/>
      <c r="D97" s="51"/>
      <c r="E97" s="51"/>
      <c r="F97" s="51"/>
      <c r="G97" s="51"/>
      <c r="H97" s="80"/>
      <c r="I97" s="51"/>
      <c r="J97" s="51"/>
      <c r="K97" s="51"/>
      <c r="L97" s="51"/>
      <c r="M97" s="51"/>
      <c r="N97" s="81"/>
      <c r="O97" s="51"/>
      <c r="P97" s="51"/>
      <c r="Q97" s="51"/>
      <c r="R97" s="51"/>
      <c r="S97" s="81"/>
      <c r="T97" s="51"/>
      <c r="U97" s="51"/>
      <c r="V97" s="51">
        <f t="shared" si="11"/>
        <v>0</v>
      </c>
      <c r="W97" s="2"/>
      <c r="Y97" s="74"/>
      <c r="AB97" s="74"/>
      <c r="AD97" s="74"/>
    </row>
    <row r="98" spans="1:39" s="1" customFormat="1" hidden="1" outlineLevel="1" x14ac:dyDescent="0.45">
      <c r="A98" s="2"/>
      <c r="B98" s="51"/>
      <c r="C98" s="51"/>
      <c r="D98" s="51"/>
      <c r="E98" s="51"/>
      <c r="F98" s="51"/>
      <c r="G98" s="51"/>
      <c r="H98" s="80"/>
      <c r="I98" s="51"/>
      <c r="J98" s="51"/>
      <c r="K98" s="51"/>
      <c r="L98" s="51"/>
      <c r="M98" s="51"/>
      <c r="N98" s="81"/>
      <c r="O98" s="51"/>
      <c r="P98" s="51"/>
      <c r="Q98" s="51"/>
      <c r="R98" s="51"/>
      <c r="S98" s="81"/>
      <c r="T98" s="51"/>
      <c r="U98" s="51"/>
      <c r="V98" s="51">
        <f t="shared" si="11"/>
        <v>0</v>
      </c>
      <c r="W98" s="2"/>
      <c r="Y98" s="74"/>
      <c r="AB98" s="74"/>
      <c r="AD98" s="74"/>
    </row>
    <row r="99" spans="1:39" s="1" customFormat="1" hidden="1" outlineLevel="1" x14ac:dyDescent="0.45">
      <c r="A99" s="2"/>
      <c r="B99" s="51"/>
      <c r="C99" s="51"/>
      <c r="D99" s="51"/>
      <c r="E99" s="51"/>
      <c r="F99" s="51"/>
      <c r="G99" s="51"/>
      <c r="H99" s="80"/>
      <c r="I99" s="51"/>
      <c r="J99" s="51"/>
      <c r="K99" s="51"/>
      <c r="L99" s="51"/>
      <c r="M99" s="51"/>
      <c r="N99" s="81"/>
      <c r="O99" s="51"/>
      <c r="P99" s="51"/>
      <c r="Q99" s="51"/>
      <c r="R99" s="51"/>
      <c r="S99" s="81"/>
      <c r="T99" s="51"/>
      <c r="U99" s="51"/>
      <c r="V99" s="51">
        <f t="shared" si="11"/>
        <v>0</v>
      </c>
      <c r="W99" s="2"/>
      <c r="Y99" s="74"/>
      <c r="AB99" s="74"/>
      <c r="AD99" s="74"/>
    </row>
    <row r="100" spans="1:39" s="1" customFormat="1" hidden="1" outlineLevel="1" x14ac:dyDescent="0.45">
      <c r="A100" s="2"/>
      <c r="B100" s="51"/>
      <c r="C100" s="51"/>
      <c r="D100" s="51"/>
      <c r="E100" s="51"/>
      <c r="F100" s="51"/>
      <c r="G100" s="51"/>
      <c r="H100" s="80"/>
      <c r="I100" s="51"/>
      <c r="J100" s="51"/>
      <c r="K100" s="51"/>
      <c r="L100" s="51"/>
      <c r="M100" s="51"/>
      <c r="N100" s="81"/>
      <c r="O100" s="51"/>
      <c r="P100" s="51"/>
      <c r="Q100" s="51"/>
      <c r="R100" s="51"/>
      <c r="S100" s="81"/>
      <c r="T100" s="51"/>
      <c r="U100" s="51"/>
      <c r="V100" s="51">
        <f t="shared" si="11"/>
        <v>0</v>
      </c>
      <c r="W100" s="2"/>
      <c r="Y100" s="74"/>
      <c r="AB100" s="74"/>
      <c r="AD100" s="74"/>
    </row>
    <row r="101" spans="1:39" ht="15.75" hidden="1" customHeight="1" outlineLevel="1" thickBot="1" x14ac:dyDescent="0.5">
      <c r="A101" s="2"/>
      <c r="B101" s="75"/>
      <c r="C101" s="75"/>
      <c r="D101" s="76"/>
      <c r="E101" s="76"/>
      <c r="F101" s="76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2"/>
      <c r="R101" s="77"/>
      <c r="S101" s="77"/>
      <c r="T101" s="77"/>
      <c r="U101" s="2"/>
      <c r="V101" s="77"/>
      <c r="W101" s="78"/>
      <c r="Y101" s="74"/>
      <c r="Z101" s="6"/>
      <c r="AA101" s="13"/>
      <c r="AB101" s="74"/>
      <c r="AC101" s="6"/>
      <c r="AD101" s="74"/>
      <c r="AE101" s="6"/>
      <c r="AF101" s="6"/>
      <c r="AG101" s="6"/>
      <c r="AH101" s="6"/>
      <c r="AI101" s="6"/>
      <c r="AM101" s="14"/>
    </row>
    <row r="102" spans="1:39" s="1" customFormat="1" ht="12.75" customHeight="1" x14ac:dyDescent="0.4">
      <c r="A102" s="126">
        <v>10</v>
      </c>
      <c r="B102" s="128" t="s">
        <v>210</v>
      </c>
      <c r="C102" s="134" t="s">
        <v>9</v>
      </c>
      <c r="D102" s="137" t="s">
        <v>34</v>
      </c>
      <c r="E102" s="90" t="s">
        <v>15</v>
      </c>
      <c r="F102" s="92">
        <v>0.5</v>
      </c>
      <c r="G102" s="72">
        <f t="shared" ref="G102:U102" si="12">SUM(G104:G113)</f>
        <v>30</v>
      </c>
      <c r="H102" s="72">
        <f t="shared" si="12"/>
        <v>120</v>
      </c>
      <c r="I102" s="72">
        <f t="shared" si="12"/>
        <v>0</v>
      </c>
      <c r="J102" s="72">
        <f t="shared" si="12"/>
        <v>3.3</v>
      </c>
      <c r="K102" s="72">
        <f t="shared" si="12"/>
        <v>0</v>
      </c>
      <c r="L102" s="72">
        <f t="shared" si="12"/>
        <v>99</v>
      </c>
      <c r="M102" s="72">
        <f t="shared" si="12"/>
        <v>4</v>
      </c>
      <c r="N102" s="72">
        <f t="shared" si="12"/>
        <v>0</v>
      </c>
      <c r="O102" s="72">
        <f t="shared" si="12"/>
        <v>0</v>
      </c>
      <c r="P102" s="72">
        <f t="shared" si="12"/>
        <v>16.5</v>
      </c>
      <c r="Q102" s="72">
        <f t="shared" si="12"/>
        <v>0</v>
      </c>
      <c r="R102" s="72">
        <f t="shared" si="12"/>
        <v>0</v>
      </c>
      <c r="S102" s="72">
        <f t="shared" si="12"/>
        <v>0</v>
      </c>
      <c r="T102" s="72">
        <f t="shared" si="12"/>
        <v>0</v>
      </c>
      <c r="U102" s="72">
        <f t="shared" si="12"/>
        <v>0</v>
      </c>
      <c r="V102" s="72">
        <f>SUM(V104:V113)</f>
        <v>272.8</v>
      </c>
      <c r="W102" s="149">
        <f>V102+V103</f>
        <v>520.6</v>
      </c>
      <c r="Y102" s="74"/>
      <c r="AB102" s="74"/>
      <c r="AD102" s="74"/>
    </row>
    <row r="103" spans="1:39" s="1" customFormat="1" ht="12.9" collapsed="1" thickBot="1" x14ac:dyDescent="0.45">
      <c r="A103" s="127"/>
      <c r="B103" s="129"/>
      <c r="C103" s="135"/>
      <c r="D103" s="138"/>
      <c r="E103" s="91"/>
      <c r="F103" s="93"/>
      <c r="G103" s="73">
        <f>SUM(G115:G132)</f>
        <v>34</v>
      </c>
      <c r="H103" s="79">
        <f>SUM(H115:H132)</f>
        <v>170</v>
      </c>
      <c r="I103" s="79">
        <f>SUM(I115:I132)</f>
        <v>0</v>
      </c>
      <c r="J103" s="73">
        <f t="shared" ref="J103:Q103" si="13">SUM(J115:J132)</f>
        <v>6.3000000000000007</v>
      </c>
      <c r="K103" s="73">
        <f t="shared" si="13"/>
        <v>0</v>
      </c>
      <c r="L103" s="73">
        <f t="shared" si="13"/>
        <v>0</v>
      </c>
      <c r="M103" s="73">
        <f t="shared" si="13"/>
        <v>6</v>
      </c>
      <c r="N103" s="73">
        <f t="shared" si="13"/>
        <v>0</v>
      </c>
      <c r="O103" s="73">
        <f t="shared" si="13"/>
        <v>0</v>
      </c>
      <c r="P103" s="73">
        <f t="shared" si="13"/>
        <v>31.5</v>
      </c>
      <c r="Q103" s="73">
        <f t="shared" si="13"/>
        <v>0</v>
      </c>
      <c r="R103" s="73">
        <f>SUM(R115:R132)</f>
        <v>0</v>
      </c>
      <c r="S103" s="73">
        <f>SUM(S115:S132)</f>
        <v>0</v>
      </c>
      <c r="T103" s="73">
        <f>SUM(T115:T132)</f>
        <v>0</v>
      </c>
      <c r="U103" s="73">
        <f>SUM(U115:U132)</f>
        <v>0</v>
      </c>
      <c r="V103" s="73">
        <f>SUM(V115:V132)</f>
        <v>247.8</v>
      </c>
      <c r="W103" s="150"/>
      <c r="Y103" s="74"/>
      <c r="Z103" s="74"/>
      <c r="AB103" s="74"/>
      <c r="AD103" s="74"/>
    </row>
    <row r="104" spans="1:39" s="1" customFormat="1" ht="37.799999999999997" hidden="1" outlineLevel="1" x14ac:dyDescent="0.45">
      <c r="A104" s="34" t="s">
        <v>223</v>
      </c>
      <c r="B104" s="42" t="s">
        <v>179</v>
      </c>
      <c r="C104" s="34">
        <v>4</v>
      </c>
      <c r="D104" s="34"/>
      <c r="E104" s="34"/>
      <c r="F104" s="34"/>
      <c r="G104" s="34">
        <v>30</v>
      </c>
      <c r="H104" s="34">
        <v>60</v>
      </c>
      <c r="I104" s="34"/>
      <c r="J104" s="34">
        <v>1.6</v>
      </c>
      <c r="K104" s="34"/>
      <c r="L104" s="34">
        <v>48</v>
      </c>
      <c r="M104" s="34">
        <v>2</v>
      </c>
      <c r="N104" s="34"/>
      <c r="O104" s="34"/>
      <c r="P104" s="34">
        <v>8</v>
      </c>
      <c r="Q104" s="34"/>
      <c r="R104" s="34"/>
      <c r="S104" s="34"/>
      <c r="T104" s="34"/>
      <c r="U104" s="34"/>
      <c r="V104" s="51">
        <f>SUM(G104:U104)</f>
        <v>149.6</v>
      </c>
      <c r="W104" s="2"/>
      <c r="Y104" s="74"/>
      <c r="AB104" s="74"/>
      <c r="AD104" s="74"/>
    </row>
    <row r="105" spans="1:39" s="1" customFormat="1" hidden="1" outlineLevel="1" x14ac:dyDescent="0.45">
      <c r="A105" s="2" t="s">
        <v>223</v>
      </c>
      <c r="B105" s="51" t="s">
        <v>184</v>
      </c>
      <c r="C105" s="51">
        <v>4</v>
      </c>
      <c r="D105" s="51"/>
      <c r="E105" s="51"/>
      <c r="F105" s="51"/>
      <c r="G105" s="51"/>
      <c r="H105" s="51">
        <v>60</v>
      </c>
      <c r="I105" s="51"/>
      <c r="J105" s="51">
        <v>1.7</v>
      </c>
      <c r="K105" s="51"/>
      <c r="L105" s="51">
        <v>51</v>
      </c>
      <c r="M105" s="51">
        <v>2</v>
      </c>
      <c r="N105" s="51"/>
      <c r="O105" s="51"/>
      <c r="P105" s="51">
        <v>8.5</v>
      </c>
      <c r="Q105" s="51"/>
      <c r="R105" s="51"/>
      <c r="S105" s="51"/>
      <c r="T105" s="51"/>
      <c r="U105" s="51"/>
      <c r="V105" s="51">
        <f>SUM(G105:U105)</f>
        <v>123.2</v>
      </c>
      <c r="W105" s="2"/>
      <c r="Y105" s="74"/>
      <c r="AB105" s="74"/>
      <c r="AD105" s="74"/>
    </row>
    <row r="106" spans="1:39" s="1" customFormat="1" hidden="1" outlineLevel="1" x14ac:dyDescent="0.45">
      <c r="A106" s="2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>
        <f t="shared" ref="V106:V113" si="14">SUM(G106:U106)</f>
        <v>0</v>
      </c>
      <c r="W106" s="2"/>
      <c r="Y106" s="74"/>
      <c r="AB106" s="74"/>
      <c r="AD106" s="74"/>
    </row>
    <row r="107" spans="1:39" s="1" customFormat="1" hidden="1" outlineLevel="1" x14ac:dyDescent="0.45">
      <c r="A107" s="2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>
        <f t="shared" si="14"/>
        <v>0</v>
      </c>
      <c r="W107" s="2"/>
      <c r="Y107" s="74"/>
      <c r="AB107" s="74"/>
      <c r="AD107" s="74"/>
    </row>
    <row r="108" spans="1:39" s="1" customFormat="1" hidden="1" outlineLevel="1" x14ac:dyDescent="0.45">
      <c r="A108" s="2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>
        <f t="shared" si="14"/>
        <v>0</v>
      </c>
      <c r="W108" s="2"/>
      <c r="Y108" s="74"/>
      <c r="AB108" s="74"/>
      <c r="AD108" s="74"/>
    </row>
    <row r="109" spans="1:39" s="1" customFormat="1" hidden="1" outlineLevel="1" x14ac:dyDescent="0.45">
      <c r="A109" s="2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>
        <f t="shared" si="14"/>
        <v>0</v>
      </c>
      <c r="W109" s="2"/>
      <c r="Y109" s="74"/>
      <c r="AB109" s="74"/>
      <c r="AD109" s="74"/>
    </row>
    <row r="110" spans="1:39" s="1" customFormat="1" hidden="1" outlineLevel="1" x14ac:dyDescent="0.45">
      <c r="A110" s="2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>
        <f t="shared" si="14"/>
        <v>0</v>
      </c>
      <c r="W110" s="2"/>
      <c r="Y110" s="74"/>
      <c r="AB110" s="74"/>
      <c r="AD110" s="74"/>
    </row>
    <row r="111" spans="1:39" s="1" customFormat="1" hidden="1" outlineLevel="1" x14ac:dyDescent="0.45">
      <c r="A111" s="2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>
        <f t="shared" si="14"/>
        <v>0</v>
      </c>
      <c r="W111" s="2"/>
      <c r="Y111" s="74"/>
      <c r="AB111" s="74"/>
      <c r="AD111" s="74"/>
    </row>
    <row r="112" spans="1:39" s="1" customFormat="1" hidden="1" outlineLevel="1" x14ac:dyDescent="0.45">
      <c r="A112" s="2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>
        <f t="shared" si="14"/>
        <v>0</v>
      </c>
      <c r="W112" s="2"/>
      <c r="Y112" s="74"/>
      <c r="AB112" s="74"/>
      <c r="AD112" s="74"/>
    </row>
    <row r="113" spans="1:30" s="1" customFormat="1" hidden="1" outlineLevel="1" x14ac:dyDescent="0.45">
      <c r="A113" s="2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>
        <f t="shared" si="14"/>
        <v>0</v>
      </c>
      <c r="W113" s="2"/>
      <c r="Y113" s="74"/>
      <c r="AB113" s="74"/>
      <c r="AD113" s="74"/>
    </row>
    <row r="114" spans="1:30" s="1" customFormat="1" hidden="1" outlineLevel="1" x14ac:dyDescent="0.45">
      <c r="A114" s="2"/>
      <c r="B114" s="166" t="s">
        <v>29</v>
      </c>
      <c r="C114" s="166"/>
      <c r="D114" s="166"/>
      <c r="E114" s="166"/>
      <c r="F114" s="166"/>
      <c r="G114" s="166"/>
      <c r="H114" s="166"/>
      <c r="I114" s="166"/>
      <c r="J114" s="166"/>
      <c r="K114" s="166"/>
      <c r="L114" s="166"/>
      <c r="M114" s="166"/>
      <c r="N114" s="166"/>
      <c r="O114" s="166"/>
      <c r="P114" s="166"/>
      <c r="Q114" s="166"/>
      <c r="R114" s="166"/>
      <c r="S114" s="166"/>
      <c r="T114" s="166"/>
      <c r="U114" s="166"/>
      <c r="V114" s="104"/>
      <c r="W114" s="2"/>
      <c r="Y114" s="74"/>
      <c r="AB114" s="74"/>
      <c r="AD114" s="74"/>
    </row>
    <row r="115" spans="1:30" s="1" customFormat="1" hidden="1" outlineLevel="1" x14ac:dyDescent="0.45">
      <c r="A115" s="2" t="s">
        <v>223</v>
      </c>
      <c r="B115" s="82" t="s">
        <v>191</v>
      </c>
      <c r="C115" s="51">
        <v>1</v>
      </c>
      <c r="D115" s="51"/>
      <c r="E115" s="51"/>
      <c r="F115" s="51"/>
      <c r="G115" s="20"/>
      <c r="H115" s="21">
        <v>68</v>
      </c>
      <c r="I115" s="21"/>
      <c r="J115" s="102">
        <v>2.7</v>
      </c>
      <c r="K115" s="51"/>
      <c r="L115" s="32"/>
      <c r="M115" s="22">
        <v>2</v>
      </c>
      <c r="N115" s="51"/>
      <c r="O115" s="81"/>
      <c r="P115" s="22">
        <v>13.5</v>
      </c>
      <c r="Q115" s="51"/>
      <c r="R115" s="51"/>
      <c r="S115" s="51"/>
      <c r="T115" s="51"/>
      <c r="U115" s="51"/>
      <c r="V115" s="51">
        <f t="shared" ref="V115:V131" si="15">SUM(G115:U115)</f>
        <v>86.2</v>
      </c>
      <c r="W115" s="2"/>
      <c r="Y115" s="74"/>
      <c r="AB115" s="74"/>
      <c r="AD115" s="74"/>
    </row>
    <row r="116" spans="1:30" s="1" customFormat="1" hidden="1" outlineLevel="1" x14ac:dyDescent="0.45">
      <c r="A116" s="2" t="s">
        <v>223</v>
      </c>
      <c r="B116" s="82" t="s">
        <v>185</v>
      </c>
      <c r="C116" s="51">
        <v>1</v>
      </c>
      <c r="D116" s="51"/>
      <c r="E116" s="51"/>
      <c r="F116" s="51"/>
      <c r="G116" s="20">
        <v>34</v>
      </c>
      <c r="H116" s="21">
        <v>102</v>
      </c>
      <c r="I116" s="21"/>
      <c r="J116" s="102">
        <v>3.6</v>
      </c>
      <c r="K116" s="51"/>
      <c r="L116" s="32"/>
      <c r="M116" s="22">
        <v>4</v>
      </c>
      <c r="N116" s="51"/>
      <c r="O116" s="81"/>
      <c r="P116" s="22">
        <v>18</v>
      </c>
      <c r="Q116" s="51"/>
      <c r="R116" s="51"/>
      <c r="S116" s="51"/>
      <c r="T116" s="51"/>
      <c r="U116" s="51"/>
      <c r="V116" s="51">
        <f t="shared" si="15"/>
        <v>161.6</v>
      </c>
      <c r="W116" s="2"/>
      <c r="Y116" s="74"/>
      <c r="AB116" s="74"/>
      <c r="AD116" s="74"/>
    </row>
    <row r="117" spans="1:30" s="1" customFormat="1" hidden="1" outlineLevel="1" x14ac:dyDescent="0.45">
      <c r="A117" s="2"/>
      <c r="B117" s="82"/>
      <c r="C117" s="51"/>
      <c r="D117" s="51"/>
      <c r="E117" s="51"/>
      <c r="F117" s="51"/>
      <c r="G117" s="20"/>
      <c r="H117" s="21"/>
      <c r="I117" s="21"/>
      <c r="J117" s="102"/>
      <c r="K117" s="51"/>
      <c r="L117" s="32"/>
      <c r="M117" s="22"/>
      <c r="N117" s="51"/>
      <c r="O117" s="81"/>
      <c r="P117" s="22"/>
      <c r="Q117" s="51"/>
      <c r="R117" s="51"/>
      <c r="S117" s="51"/>
      <c r="T117" s="51"/>
      <c r="U117" s="51"/>
      <c r="V117" s="51">
        <f t="shared" si="15"/>
        <v>0</v>
      </c>
      <c r="W117" s="2"/>
      <c r="Y117" s="74"/>
      <c r="AB117" s="74"/>
      <c r="AD117" s="74"/>
    </row>
    <row r="118" spans="1:30" s="1" customFormat="1" hidden="1" outlineLevel="1" x14ac:dyDescent="0.45">
      <c r="A118" s="2"/>
      <c r="B118" s="82"/>
      <c r="C118" s="51"/>
      <c r="D118" s="51"/>
      <c r="E118" s="51"/>
      <c r="F118" s="51"/>
      <c r="G118" s="20"/>
      <c r="H118" s="21"/>
      <c r="I118" s="21"/>
      <c r="J118" s="102"/>
      <c r="K118" s="51"/>
      <c r="L118" s="32"/>
      <c r="M118" s="22"/>
      <c r="N118" s="51"/>
      <c r="O118" s="81"/>
      <c r="P118" s="22"/>
      <c r="Q118" s="51"/>
      <c r="R118" s="51"/>
      <c r="S118" s="51"/>
      <c r="T118" s="51"/>
      <c r="U118" s="51"/>
      <c r="V118" s="51">
        <f t="shared" si="15"/>
        <v>0</v>
      </c>
      <c r="W118" s="2"/>
      <c r="Y118" s="74"/>
      <c r="AB118" s="74"/>
      <c r="AD118" s="74"/>
    </row>
    <row r="119" spans="1:30" s="1" customFormat="1" hidden="1" outlineLevel="1" x14ac:dyDescent="0.45">
      <c r="A119" s="2"/>
      <c r="B119" s="51"/>
      <c r="C119" s="51"/>
      <c r="D119" s="51"/>
      <c r="E119" s="51"/>
      <c r="F119" s="51"/>
      <c r="G119" s="51"/>
      <c r="H119" s="80"/>
      <c r="I119" s="51"/>
      <c r="J119" s="51"/>
      <c r="K119" s="51"/>
      <c r="L119" s="51"/>
      <c r="M119" s="51"/>
      <c r="N119" s="81"/>
      <c r="O119" s="51"/>
      <c r="P119" s="51"/>
      <c r="Q119" s="51"/>
      <c r="R119" s="51"/>
      <c r="S119" s="51"/>
      <c r="T119" s="51"/>
      <c r="U119" s="51"/>
      <c r="V119" s="51">
        <f t="shared" si="15"/>
        <v>0</v>
      </c>
      <c r="W119" s="2"/>
      <c r="Y119" s="74"/>
      <c r="AB119" s="74"/>
      <c r="AD119" s="74"/>
    </row>
    <row r="120" spans="1:30" s="1" customFormat="1" hidden="1" outlineLevel="1" x14ac:dyDescent="0.45">
      <c r="A120" s="2"/>
      <c r="B120" s="51"/>
      <c r="C120" s="51"/>
      <c r="D120" s="51"/>
      <c r="E120" s="51"/>
      <c r="F120" s="51"/>
      <c r="G120" s="51"/>
      <c r="H120" s="80"/>
      <c r="I120" s="51"/>
      <c r="J120" s="51"/>
      <c r="K120" s="51"/>
      <c r="L120" s="51"/>
      <c r="M120" s="51"/>
      <c r="N120" s="81"/>
      <c r="O120" s="51"/>
      <c r="P120" s="51"/>
      <c r="Q120" s="51"/>
      <c r="R120" s="51"/>
      <c r="S120" s="51"/>
      <c r="T120" s="51"/>
      <c r="U120" s="51"/>
      <c r="V120" s="51">
        <f t="shared" si="15"/>
        <v>0</v>
      </c>
      <c r="W120" s="2"/>
      <c r="Y120" s="74"/>
      <c r="AB120" s="74"/>
      <c r="AD120" s="74"/>
    </row>
    <row r="121" spans="1:30" s="1" customFormat="1" hidden="1" outlineLevel="1" x14ac:dyDescent="0.45">
      <c r="A121" s="2"/>
      <c r="B121" s="51"/>
      <c r="C121" s="51"/>
      <c r="D121" s="51"/>
      <c r="E121" s="51"/>
      <c r="F121" s="51"/>
      <c r="G121" s="51"/>
      <c r="H121" s="80"/>
      <c r="I121" s="51"/>
      <c r="J121" s="51"/>
      <c r="K121" s="51"/>
      <c r="L121" s="51"/>
      <c r="M121" s="51"/>
      <c r="N121" s="81"/>
      <c r="O121" s="51"/>
      <c r="P121" s="51"/>
      <c r="Q121" s="51"/>
      <c r="R121" s="51"/>
      <c r="S121" s="81"/>
      <c r="T121" s="51"/>
      <c r="U121" s="51"/>
      <c r="V121" s="51">
        <f t="shared" si="15"/>
        <v>0</v>
      </c>
      <c r="W121" s="2"/>
      <c r="Y121" s="74"/>
      <c r="AB121" s="74"/>
      <c r="AD121" s="74"/>
    </row>
    <row r="122" spans="1:30" s="1" customFormat="1" hidden="1" outlineLevel="1" x14ac:dyDescent="0.45">
      <c r="A122" s="2"/>
      <c r="B122" s="51"/>
      <c r="C122" s="51"/>
      <c r="D122" s="51"/>
      <c r="E122" s="51"/>
      <c r="F122" s="51"/>
      <c r="G122" s="51"/>
      <c r="H122" s="80"/>
      <c r="I122" s="51"/>
      <c r="J122" s="51"/>
      <c r="K122" s="51"/>
      <c r="L122" s="51"/>
      <c r="M122" s="51"/>
      <c r="N122" s="81"/>
      <c r="O122" s="51"/>
      <c r="P122" s="51"/>
      <c r="Q122" s="51"/>
      <c r="R122" s="51"/>
      <c r="S122" s="81"/>
      <c r="T122" s="51"/>
      <c r="U122" s="51"/>
      <c r="V122" s="51">
        <f t="shared" si="15"/>
        <v>0</v>
      </c>
      <c r="W122" s="2"/>
      <c r="Y122" s="74"/>
      <c r="AB122" s="74"/>
      <c r="AD122" s="74"/>
    </row>
    <row r="123" spans="1:30" s="1" customFormat="1" hidden="1" outlineLevel="1" x14ac:dyDescent="0.45">
      <c r="A123" s="2"/>
      <c r="B123" s="51"/>
      <c r="C123" s="51"/>
      <c r="D123" s="51"/>
      <c r="E123" s="51"/>
      <c r="F123" s="51"/>
      <c r="G123" s="51"/>
      <c r="H123" s="80"/>
      <c r="I123" s="51"/>
      <c r="J123" s="51"/>
      <c r="K123" s="51"/>
      <c r="L123" s="51"/>
      <c r="M123" s="51"/>
      <c r="N123" s="81"/>
      <c r="O123" s="51"/>
      <c r="P123" s="51"/>
      <c r="Q123" s="51"/>
      <c r="R123" s="51"/>
      <c r="S123" s="81"/>
      <c r="T123" s="51"/>
      <c r="U123" s="51"/>
      <c r="V123" s="51">
        <f t="shared" si="15"/>
        <v>0</v>
      </c>
      <c r="W123" s="2"/>
      <c r="Y123" s="74"/>
      <c r="AB123" s="74"/>
      <c r="AD123" s="74"/>
    </row>
    <row r="124" spans="1:30" s="1" customFormat="1" hidden="1" outlineLevel="1" x14ac:dyDescent="0.45">
      <c r="A124" s="2"/>
      <c r="B124" s="51"/>
      <c r="C124" s="51"/>
      <c r="D124" s="51"/>
      <c r="E124" s="51"/>
      <c r="F124" s="51"/>
      <c r="G124" s="51"/>
      <c r="H124" s="80"/>
      <c r="I124" s="51"/>
      <c r="J124" s="51"/>
      <c r="K124" s="51"/>
      <c r="L124" s="51"/>
      <c r="M124" s="51"/>
      <c r="N124" s="81"/>
      <c r="O124" s="51"/>
      <c r="P124" s="51"/>
      <c r="Q124" s="51"/>
      <c r="R124" s="51"/>
      <c r="S124" s="81"/>
      <c r="T124" s="51"/>
      <c r="U124" s="51"/>
      <c r="V124" s="51">
        <f t="shared" si="15"/>
        <v>0</v>
      </c>
      <c r="W124" s="2"/>
      <c r="Y124" s="74"/>
      <c r="AB124" s="74"/>
      <c r="AD124" s="74"/>
    </row>
    <row r="125" spans="1:30" s="1" customFormat="1" hidden="1" outlineLevel="1" x14ac:dyDescent="0.45">
      <c r="A125" s="2"/>
      <c r="B125" s="51"/>
      <c r="C125" s="51"/>
      <c r="D125" s="51"/>
      <c r="E125" s="51"/>
      <c r="F125" s="51"/>
      <c r="G125" s="51"/>
      <c r="H125" s="80"/>
      <c r="I125" s="51"/>
      <c r="J125" s="51"/>
      <c r="K125" s="51"/>
      <c r="L125" s="51"/>
      <c r="M125" s="51"/>
      <c r="N125" s="81"/>
      <c r="O125" s="51"/>
      <c r="P125" s="51"/>
      <c r="Q125" s="51"/>
      <c r="R125" s="51"/>
      <c r="S125" s="81"/>
      <c r="T125" s="51"/>
      <c r="U125" s="51"/>
      <c r="V125" s="51">
        <f t="shared" si="15"/>
        <v>0</v>
      </c>
      <c r="W125" s="2"/>
      <c r="Y125" s="74"/>
      <c r="AB125" s="74"/>
      <c r="AD125" s="74"/>
    </row>
    <row r="126" spans="1:30" s="1" customFormat="1" hidden="1" outlineLevel="1" x14ac:dyDescent="0.45">
      <c r="A126" s="2"/>
      <c r="B126" s="51"/>
      <c r="C126" s="51"/>
      <c r="D126" s="51"/>
      <c r="E126" s="51"/>
      <c r="F126" s="51"/>
      <c r="G126" s="51"/>
      <c r="H126" s="80"/>
      <c r="I126" s="51"/>
      <c r="J126" s="51"/>
      <c r="K126" s="51"/>
      <c r="L126" s="51"/>
      <c r="M126" s="51"/>
      <c r="N126" s="81"/>
      <c r="O126" s="51"/>
      <c r="P126" s="51"/>
      <c r="Q126" s="51"/>
      <c r="R126" s="51"/>
      <c r="S126" s="81"/>
      <c r="T126" s="51"/>
      <c r="U126" s="51"/>
      <c r="V126" s="51">
        <f t="shared" si="15"/>
        <v>0</v>
      </c>
      <c r="W126" s="2"/>
      <c r="Y126" s="74"/>
      <c r="AB126" s="74"/>
      <c r="AD126" s="74"/>
    </row>
    <row r="127" spans="1:30" s="1" customFormat="1" hidden="1" outlineLevel="1" x14ac:dyDescent="0.45">
      <c r="A127" s="2"/>
      <c r="B127" s="51"/>
      <c r="C127" s="51"/>
      <c r="D127" s="51"/>
      <c r="E127" s="51"/>
      <c r="F127" s="51"/>
      <c r="G127" s="51"/>
      <c r="H127" s="80"/>
      <c r="I127" s="51"/>
      <c r="J127" s="51"/>
      <c r="K127" s="51"/>
      <c r="L127" s="51"/>
      <c r="M127" s="51"/>
      <c r="N127" s="81"/>
      <c r="O127" s="51"/>
      <c r="P127" s="51"/>
      <c r="Q127" s="51"/>
      <c r="R127" s="51"/>
      <c r="S127" s="81"/>
      <c r="T127" s="51"/>
      <c r="U127" s="51"/>
      <c r="V127" s="51">
        <f t="shared" si="15"/>
        <v>0</v>
      </c>
      <c r="W127" s="2"/>
      <c r="Y127" s="74"/>
      <c r="AB127" s="74"/>
      <c r="AD127" s="74"/>
    </row>
    <row r="128" spans="1:30" s="1" customFormat="1" hidden="1" outlineLevel="1" x14ac:dyDescent="0.45">
      <c r="A128" s="2"/>
      <c r="B128" s="51"/>
      <c r="C128" s="51"/>
      <c r="D128" s="51"/>
      <c r="E128" s="51"/>
      <c r="F128" s="51"/>
      <c r="G128" s="51"/>
      <c r="H128" s="80"/>
      <c r="I128" s="51"/>
      <c r="J128" s="51"/>
      <c r="K128" s="51"/>
      <c r="L128" s="51"/>
      <c r="M128" s="51"/>
      <c r="N128" s="81"/>
      <c r="O128" s="51"/>
      <c r="P128" s="51"/>
      <c r="Q128" s="51"/>
      <c r="R128" s="51"/>
      <c r="S128" s="81"/>
      <c r="T128" s="51"/>
      <c r="U128" s="51"/>
      <c r="V128" s="51">
        <f t="shared" si="15"/>
        <v>0</v>
      </c>
      <c r="W128" s="2"/>
      <c r="Y128" s="74"/>
      <c r="AB128" s="74"/>
      <c r="AD128" s="74"/>
    </row>
    <row r="129" spans="1:39" s="1" customFormat="1" hidden="1" outlineLevel="1" x14ac:dyDescent="0.45">
      <c r="A129" s="2"/>
      <c r="B129" s="51"/>
      <c r="C129" s="51"/>
      <c r="D129" s="51"/>
      <c r="E129" s="51"/>
      <c r="F129" s="51"/>
      <c r="G129" s="51"/>
      <c r="H129" s="80"/>
      <c r="I129" s="51"/>
      <c r="J129" s="51"/>
      <c r="K129" s="51"/>
      <c r="L129" s="51"/>
      <c r="M129" s="51"/>
      <c r="N129" s="81"/>
      <c r="O129" s="51"/>
      <c r="P129" s="51"/>
      <c r="Q129" s="51"/>
      <c r="R129" s="51"/>
      <c r="S129" s="81"/>
      <c r="T129" s="51"/>
      <c r="U129" s="51"/>
      <c r="V129" s="51">
        <f t="shared" si="15"/>
        <v>0</v>
      </c>
      <c r="W129" s="2"/>
      <c r="Y129" s="74"/>
      <c r="AB129" s="74"/>
      <c r="AD129" s="74"/>
    </row>
    <row r="130" spans="1:39" s="1" customFormat="1" hidden="1" outlineLevel="1" x14ac:dyDescent="0.45">
      <c r="A130" s="2"/>
      <c r="B130" s="51"/>
      <c r="C130" s="51"/>
      <c r="D130" s="51"/>
      <c r="E130" s="51"/>
      <c r="F130" s="51"/>
      <c r="G130" s="51"/>
      <c r="H130" s="80"/>
      <c r="I130" s="51"/>
      <c r="J130" s="51"/>
      <c r="K130" s="51"/>
      <c r="L130" s="51"/>
      <c r="M130" s="51"/>
      <c r="N130" s="81"/>
      <c r="O130" s="51"/>
      <c r="P130" s="51"/>
      <c r="Q130" s="51"/>
      <c r="R130" s="51"/>
      <c r="S130" s="81"/>
      <c r="T130" s="51"/>
      <c r="U130" s="51"/>
      <c r="V130" s="51">
        <f t="shared" si="15"/>
        <v>0</v>
      </c>
      <c r="W130" s="2"/>
      <c r="Y130" s="74"/>
      <c r="AB130" s="74"/>
      <c r="AD130" s="74"/>
    </row>
    <row r="131" spans="1:39" s="1" customFormat="1" hidden="1" outlineLevel="1" x14ac:dyDescent="0.45">
      <c r="A131" s="2"/>
      <c r="B131" s="51"/>
      <c r="C131" s="51"/>
      <c r="D131" s="51"/>
      <c r="E131" s="51"/>
      <c r="F131" s="51"/>
      <c r="G131" s="51"/>
      <c r="H131" s="80"/>
      <c r="I131" s="51"/>
      <c r="J131" s="51"/>
      <c r="K131" s="51"/>
      <c r="L131" s="51"/>
      <c r="M131" s="51"/>
      <c r="N131" s="81"/>
      <c r="O131" s="51"/>
      <c r="P131" s="51"/>
      <c r="Q131" s="51"/>
      <c r="R131" s="51"/>
      <c r="S131" s="81"/>
      <c r="T131" s="51"/>
      <c r="U131" s="51"/>
      <c r="V131" s="51">
        <f t="shared" si="15"/>
        <v>0</v>
      </c>
      <c r="W131" s="2"/>
      <c r="Y131" s="74"/>
      <c r="AB131" s="74"/>
      <c r="AD131" s="74"/>
    </row>
    <row r="132" spans="1:39" ht="15.75" hidden="1" customHeight="1" outlineLevel="1" thickBot="1" x14ac:dyDescent="0.5">
      <c r="A132" s="2"/>
      <c r="B132" s="75"/>
      <c r="C132" s="75"/>
      <c r="D132" s="76"/>
      <c r="E132" s="76"/>
      <c r="F132" s="76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2"/>
      <c r="R132" s="77"/>
      <c r="S132" s="77"/>
      <c r="T132" s="77"/>
      <c r="U132" s="2"/>
      <c r="V132" s="77"/>
      <c r="W132" s="78"/>
      <c r="Y132" s="74"/>
      <c r="Z132" s="6"/>
      <c r="AA132" s="13"/>
      <c r="AB132" s="74"/>
      <c r="AC132" s="6"/>
      <c r="AD132" s="74"/>
      <c r="AE132" s="6"/>
      <c r="AF132" s="6"/>
      <c r="AG132" s="6"/>
      <c r="AH132" s="6"/>
      <c r="AI132" s="6"/>
      <c r="AM132" s="14"/>
    </row>
    <row r="133" spans="1:39" s="1" customFormat="1" ht="12.75" customHeight="1" x14ac:dyDescent="0.4">
      <c r="A133" s="126">
        <v>11</v>
      </c>
      <c r="B133" s="128" t="s">
        <v>200</v>
      </c>
      <c r="C133" s="130" t="s">
        <v>9</v>
      </c>
      <c r="D133" s="124" t="s">
        <v>12</v>
      </c>
      <c r="E133" s="90" t="s">
        <v>15</v>
      </c>
      <c r="F133" s="92">
        <v>0.5</v>
      </c>
      <c r="G133" s="72">
        <f t="shared" ref="G133:U133" si="16">SUM(G135:G144)</f>
        <v>0</v>
      </c>
      <c r="H133" s="72">
        <f t="shared" si="16"/>
        <v>0</v>
      </c>
      <c r="I133" s="72">
        <f t="shared" si="16"/>
        <v>0</v>
      </c>
      <c r="J133" s="72">
        <f t="shared" si="16"/>
        <v>7.1999999999999993</v>
      </c>
      <c r="K133" s="72">
        <f t="shared" si="16"/>
        <v>0</v>
      </c>
      <c r="L133" s="72">
        <f t="shared" si="16"/>
        <v>216</v>
      </c>
      <c r="M133" s="72">
        <f t="shared" si="16"/>
        <v>2</v>
      </c>
      <c r="N133" s="72">
        <f t="shared" si="16"/>
        <v>0</v>
      </c>
      <c r="O133" s="72">
        <f t="shared" si="16"/>
        <v>0</v>
      </c>
      <c r="P133" s="72">
        <f t="shared" si="16"/>
        <v>12.5</v>
      </c>
      <c r="Q133" s="72">
        <f t="shared" si="16"/>
        <v>0</v>
      </c>
      <c r="R133" s="72">
        <f t="shared" si="16"/>
        <v>0</v>
      </c>
      <c r="S133" s="72">
        <f t="shared" si="16"/>
        <v>0</v>
      </c>
      <c r="T133" s="72">
        <f t="shared" si="16"/>
        <v>0</v>
      </c>
      <c r="U133" s="72">
        <f t="shared" si="16"/>
        <v>0</v>
      </c>
      <c r="V133" s="72">
        <f>SUM(V135:V144)</f>
        <v>237.7</v>
      </c>
      <c r="W133" s="149">
        <f>V133+V134</f>
        <v>470.04999999999995</v>
      </c>
      <c r="Y133" s="74"/>
      <c r="AB133" s="74"/>
      <c r="AD133" s="74"/>
    </row>
    <row r="134" spans="1:39" s="1" customFormat="1" ht="12.9" collapsed="1" thickBot="1" x14ac:dyDescent="0.45">
      <c r="A134" s="127"/>
      <c r="B134" s="129"/>
      <c r="C134" s="131"/>
      <c r="D134" s="91"/>
      <c r="E134" s="91"/>
      <c r="F134" s="93"/>
      <c r="G134" s="73">
        <f>SUM(G146:G163)</f>
        <v>34</v>
      </c>
      <c r="H134" s="79">
        <f>SUM(H146:H163)</f>
        <v>170</v>
      </c>
      <c r="I134" s="79">
        <f>SUM(I146:I163)</f>
        <v>0</v>
      </c>
      <c r="J134" s="73">
        <f t="shared" ref="J134:Q134" si="17">SUM(J146:J163)</f>
        <v>6.3000000000000007</v>
      </c>
      <c r="K134" s="73">
        <f t="shared" si="17"/>
        <v>0</v>
      </c>
      <c r="L134" s="73">
        <f t="shared" si="17"/>
        <v>0</v>
      </c>
      <c r="M134" s="73">
        <f t="shared" si="17"/>
        <v>0</v>
      </c>
      <c r="N134" s="73">
        <f t="shared" si="17"/>
        <v>0</v>
      </c>
      <c r="O134" s="73">
        <f t="shared" si="17"/>
        <v>22.049999999999997</v>
      </c>
      <c r="P134" s="73">
        <f t="shared" si="17"/>
        <v>0</v>
      </c>
      <c r="Q134" s="73">
        <f t="shared" si="17"/>
        <v>0</v>
      </c>
      <c r="R134" s="73">
        <f>SUM(R146:R163)</f>
        <v>0</v>
      </c>
      <c r="S134" s="73">
        <f>SUM(S146:S163)</f>
        <v>0</v>
      </c>
      <c r="T134" s="73">
        <f>SUM(T146:T163)</f>
        <v>0</v>
      </c>
      <c r="U134" s="73">
        <f>SUM(U146:U163)</f>
        <v>0</v>
      </c>
      <c r="V134" s="73">
        <f>SUM(V146:V163)</f>
        <v>232.35</v>
      </c>
      <c r="W134" s="150"/>
      <c r="Y134" s="74"/>
      <c r="Z134" s="74"/>
      <c r="AB134" s="74"/>
      <c r="AD134" s="74"/>
    </row>
    <row r="135" spans="1:39" s="1" customFormat="1" hidden="1" outlineLevel="1" x14ac:dyDescent="0.45">
      <c r="A135" s="2" t="s">
        <v>223</v>
      </c>
      <c r="B135" s="51" t="s">
        <v>181</v>
      </c>
      <c r="C135" s="51">
        <v>2</v>
      </c>
      <c r="D135" s="51"/>
      <c r="E135" s="51"/>
      <c r="F135" s="51"/>
      <c r="G135" s="51"/>
      <c r="H135" s="51"/>
      <c r="I135" s="51"/>
      <c r="J135" s="51">
        <v>2.4</v>
      </c>
      <c r="K135" s="51"/>
      <c r="L135" s="51">
        <v>72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>
        <f>SUM(G135:U135)</f>
        <v>74.400000000000006</v>
      </c>
      <c r="W135" s="2"/>
      <c r="Y135" s="74"/>
      <c r="AB135" s="74"/>
      <c r="AD135" s="74"/>
    </row>
    <row r="136" spans="1:39" s="1" customFormat="1" hidden="1" outlineLevel="1" x14ac:dyDescent="0.45">
      <c r="A136" t="s">
        <v>223</v>
      </c>
      <c r="B136" t="s">
        <v>175</v>
      </c>
      <c r="C136">
        <v>2</v>
      </c>
      <c r="D136"/>
      <c r="E136"/>
      <c r="F136"/>
      <c r="G136"/>
      <c r="H136"/>
      <c r="I136"/>
      <c r="J136">
        <v>2.2999999999999998</v>
      </c>
      <c r="K136"/>
      <c r="L136">
        <v>69</v>
      </c>
      <c r="M136"/>
      <c r="N136"/>
      <c r="O136"/>
      <c r="P136"/>
      <c r="Q136"/>
      <c r="R136"/>
      <c r="S136"/>
      <c r="T136"/>
      <c r="U136"/>
      <c r="V136" s="51">
        <f>SUM(G136:U136)</f>
        <v>71.3</v>
      </c>
      <c r="W136" s="2"/>
      <c r="Y136" s="74"/>
      <c r="AB136" s="74"/>
      <c r="AD136" s="74"/>
    </row>
    <row r="137" spans="1:39" s="1" customFormat="1" hidden="1" outlineLevel="1" x14ac:dyDescent="0.45">
      <c r="A137" s="2" t="s">
        <v>223</v>
      </c>
      <c r="B137" s="51" t="s">
        <v>183</v>
      </c>
      <c r="C137" s="51">
        <v>3</v>
      </c>
      <c r="D137" s="51"/>
      <c r="E137" s="51"/>
      <c r="F137" s="51"/>
      <c r="G137" s="51"/>
      <c r="H137" s="51"/>
      <c r="I137" s="51"/>
      <c r="J137" s="51">
        <v>2.5</v>
      </c>
      <c r="K137" s="51"/>
      <c r="L137" s="51">
        <v>75</v>
      </c>
      <c r="M137" s="51">
        <v>2</v>
      </c>
      <c r="N137" s="51"/>
      <c r="O137" s="51"/>
      <c r="P137" s="51">
        <v>12.5</v>
      </c>
      <c r="Q137" s="51"/>
      <c r="R137" s="51"/>
      <c r="S137" s="51"/>
      <c r="T137" s="51"/>
      <c r="U137" s="51"/>
      <c r="V137" s="51">
        <f t="shared" ref="V137:V144" si="18">SUM(G137:U137)</f>
        <v>92</v>
      </c>
      <c r="W137" s="2"/>
      <c r="Y137" s="74"/>
      <c r="AB137" s="74"/>
      <c r="AD137" s="74"/>
    </row>
    <row r="138" spans="1:39" s="1" customFormat="1" hidden="1" outlineLevel="1" x14ac:dyDescent="0.45">
      <c r="A138" s="2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>
        <f t="shared" si="18"/>
        <v>0</v>
      </c>
      <c r="W138" s="2"/>
      <c r="Y138" s="74"/>
      <c r="AB138" s="74"/>
      <c r="AD138" s="74"/>
    </row>
    <row r="139" spans="1:39" s="1" customFormat="1" hidden="1" outlineLevel="1" x14ac:dyDescent="0.45">
      <c r="A139" s="2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>
        <f t="shared" si="18"/>
        <v>0</v>
      </c>
      <c r="W139" s="2"/>
      <c r="Y139" s="74"/>
      <c r="AB139" s="74"/>
      <c r="AD139" s="74"/>
    </row>
    <row r="140" spans="1:39" s="1" customFormat="1" hidden="1" outlineLevel="1" x14ac:dyDescent="0.45">
      <c r="A140" s="2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>
        <f t="shared" si="18"/>
        <v>0</v>
      </c>
      <c r="W140" s="2"/>
      <c r="Y140" s="74"/>
      <c r="AB140" s="74"/>
      <c r="AD140" s="74"/>
    </row>
    <row r="141" spans="1:39" s="1" customFormat="1" hidden="1" outlineLevel="1" x14ac:dyDescent="0.45">
      <c r="A141" s="2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>
        <f t="shared" si="18"/>
        <v>0</v>
      </c>
      <c r="W141" s="2"/>
      <c r="Y141" s="74"/>
      <c r="AB141" s="74"/>
      <c r="AD141" s="74"/>
    </row>
    <row r="142" spans="1:39" s="1" customFormat="1" hidden="1" outlineLevel="1" x14ac:dyDescent="0.45">
      <c r="A142" s="2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>
        <f t="shared" si="18"/>
        <v>0</v>
      </c>
      <c r="W142" s="2"/>
      <c r="Y142" s="74"/>
      <c r="AB142" s="74"/>
      <c r="AD142" s="74"/>
    </row>
    <row r="143" spans="1:39" s="1" customFormat="1" hidden="1" outlineLevel="1" x14ac:dyDescent="0.45">
      <c r="A143" s="2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>
        <f t="shared" si="18"/>
        <v>0</v>
      </c>
      <c r="W143" s="2"/>
      <c r="Y143" s="74"/>
      <c r="AB143" s="74"/>
      <c r="AD143" s="74"/>
    </row>
    <row r="144" spans="1:39" s="1" customFormat="1" hidden="1" outlineLevel="1" x14ac:dyDescent="0.45">
      <c r="A144" s="2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>
        <f t="shared" si="18"/>
        <v>0</v>
      </c>
      <c r="W144" s="2"/>
      <c r="Y144" s="74"/>
      <c r="AB144" s="74"/>
      <c r="AD144" s="74"/>
    </row>
    <row r="145" spans="1:30" s="1" customFormat="1" hidden="1" outlineLevel="1" x14ac:dyDescent="0.45">
      <c r="A145" s="2"/>
      <c r="B145" s="166" t="s">
        <v>29</v>
      </c>
      <c r="C145" s="166"/>
      <c r="D145" s="166"/>
      <c r="E145" s="166"/>
      <c r="F145" s="166"/>
      <c r="G145" s="166"/>
      <c r="H145" s="166"/>
      <c r="I145" s="166"/>
      <c r="J145" s="166"/>
      <c r="K145" s="166"/>
      <c r="L145" s="166"/>
      <c r="M145" s="166"/>
      <c r="N145" s="166"/>
      <c r="O145" s="166"/>
      <c r="P145" s="166"/>
      <c r="Q145" s="166"/>
      <c r="R145" s="166"/>
      <c r="S145" s="166"/>
      <c r="T145" s="166"/>
      <c r="U145" s="166"/>
      <c r="V145" s="104"/>
      <c r="W145" s="2"/>
      <c r="Y145" s="74"/>
      <c r="AB145" s="74"/>
      <c r="AD145" s="74"/>
    </row>
    <row r="146" spans="1:30" s="1" customFormat="1" hidden="1" outlineLevel="1" x14ac:dyDescent="0.45">
      <c r="A146" s="2" t="s">
        <v>223</v>
      </c>
      <c r="B146" s="82" t="s">
        <v>175</v>
      </c>
      <c r="C146" s="51">
        <v>1</v>
      </c>
      <c r="D146" s="51"/>
      <c r="E146" s="51"/>
      <c r="F146" s="51"/>
      <c r="G146" s="20">
        <v>34</v>
      </c>
      <c r="H146" s="21">
        <v>102</v>
      </c>
      <c r="I146" s="21"/>
      <c r="J146" s="102">
        <v>3.6</v>
      </c>
      <c r="K146" s="51"/>
      <c r="L146" s="32"/>
      <c r="M146" s="22"/>
      <c r="N146" s="51"/>
      <c r="O146" s="81">
        <v>12.6</v>
      </c>
      <c r="P146" s="22"/>
      <c r="Q146" s="51"/>
      <c r="R146" s="51"/>
      <c r="S146" s="51"/>
      <c r="T146" s="51"/>
      <c r="U146" s="51"/>
      <c r="V146" s="51">
        <f t="shared" ref="V146:V162" si="19">SUM(G146:U146)</f>
        <v>152.19999999999999</v>
      </c>
      <c r="W146" s="2"/>
      <c r="Y146" s="74"/>
      <c r="AB146" s="74"/>
      <c r="AD146" s="74"/>
    </row>
    <row r="147" spans="1:30" s="1" customFormat="1" hidden="1" outlineLevel="1" x14ac:dyDescent="0.45">
      <c r="A147" s="2" t="s">
        <v>223</v>
      </c>
      <c r="B147" s="82" t="s">
        <v>181</v>
      </c>
      <c r="C147" s="51">
        <v>1</v>
      </c>
      <c r="D147" s="51"/>
      <c r="E147" s="51"/>
      <c r="F147" s="51"/>
      <c r="G147" s="20"/>
      <c r="H147" s="21">
        <v>68</v>
      </c>
      <c r="I147" s="21"/>
      <c r="J147" s="102">
        <v>2.7</v>
      </c>
      <c r="K147" s="51"/>
      <c r="L147" s="32"/>
      <c r="M147" s="22"/>
      <c r="N147" s="51"/>
      <c r="O147" s="81">
        <v>9.4499999999999993</v>
      </c>
      <c r="P147" s="22"/>
      <c r="Q147" s="51"/>
      <c r="R147" s="51"/>
      <c r="S147" s="51"/>
      <c r="T147" s="51"/>
      <c r="U147" s="51"/>
      <c r="V147" s="51">
        <f t="shared" si="19"/>
        <v>80.150000000000006</v>
      </c>
      <c r="W147" s="2"/>
      <c r="Y147" s="74"/>
      <c r="AB147" s="74"/>
      <c r="AD147" s="74"/>
    </row>
    <row r="148" spans="1:30" s="1" customFormat="1" hidden="1" outlineLevel="1" x14ac:dyDescent="0.4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51">
        <f t="shared" si="19"/>
        <v>0</v>
      </c>
      <c r="W148" s="2"/>
      <c r="Y148" s="74"/>
      <c r="AB148" s="74"/>
      <c r="AD148" s="74"/>
    </row>
    <row r="149" spans="1:30" s="1" customFormat="1" hidden="1" outlineLevel="1" x14ac:dyDescent="0.45">
      <c r="A149" s="2"/>
      <c r="B149" s="82"/>
      <c r="C149" s="51"/>
      <c r="D149" s="51"/>
      <c r="E149" s="51"/>
      <c r="F149" s="51"/>
      <c r="G149" s="20"/>
      <c r="H149" s="21"/>
      <c r="I149" s="21"/>
      <c r="J149" s="102"/>
      <c r="K149" s="51"/>
      <c r="L149" s="32"/>
      <c r="M149" s="22"/>
      <c r="N149" s="51"/>
      <c r="O149" s="81"/>
      <c r="P149" s="22"/>
      <c r="Q149" s="51"/>
      <c r="R149" s="51"/>
      <c r="S149" s="51"/>
      <c r="T149" s="51"/>
      <c r="U149" s="51"/>
      <c r="V149" s="51">
        <f t="shared" si="19"/>
        <v>0</v>
      </c>
      <c r="W149" s="2"/>
      <c r="Y149" s="74"/>
      <c r="AB149" s="74"/>
      <c r="AD149" s="74"/>
    </row>
    <row r="150" spans="1:30" s="1" customFormat="1" hidden="1" outlineLevel="1" x14ac:dyDescent="0.45">
      <c r="A150" s="2"/>
      <c r="B150" s="51"/>
      <c r="C150" s="51"/>
      <c r="D150" s="51"/>
      <c r="E150" s="51"/>
      <c r="F150" s="51"/>
      <c r="G150" s="51"/>
      <c r="H150" s="80"/>
      <c r="I150" s="51"/>
      <c r="J150" s="51"/>
      <c r="K150" s="51"/>
      <c r="L150" s="51"/>
      <c r="M150" s="51"/>
      <c r="N150" s="81"/>
      <c r="O150" s="51"/>
      <c r="P150" s="51"/>
      <c r="Q150" s="51"/>
      <c r="R150" s="51"/>
      <c r="S150" s="51"/>
      <c r="T150" s="51"/>
      <c r="U150" s="51"/>
      <c r="V150" s="51">
        <f t="shared" si="19"/>
        <v>0</v>
      </c>
      <c r="W150" s="2"/>
      <c r="Y150" s="74"/>
      <c r="AB150" s="74"/>
      <c r="AD150" s="74"/>
    </row>
    <row r="151" spans="1:30" s="1" customFormat="1" hidden="1" outlineLevel="1" x14ac:dyDescent="0.45">
      <c r="A151" s="2"/>
      <c r="B151" s="51"/>
      <c r="C151" s="51"/>
      <c r="D151" s="51"/>
      <c r="E151" s="51"/>
      <c r="F151" s="51"/>
      <c r="G151" s="51"/>
      <c r="H151" s="80"/>
      <c r="I151" s="51"/>
      <c r="J151" s="51"/>
      <c r="K151" s="51"/>
      <c r="L151" s="51"/>
      <c r="M151" s="51"/>
      <c r="N151" s="81"/>
      <c r="O151" s="51"/>
      <c r="P151" s="51"/>
      <c r="Q151" s="51"/>
      <c r="R151" s="51"/>
      <c r="S151" s="51"/>
      <c r="T151" s="51"/>
      <c r="U151" s="51"/>
      <c r="V151" s="51">
        <f t="shared" si="19"/>
        <v>0</v>
      </c>
      <c r="W151" s="2"/>
      <c r="Y151" s="74"/>
      <c r="AB151" s="74"/>
      <c r="AD151" s="74"/>
    </row>
    <row r="152" spans="1:30" s="1" customFormat="1" hidden="1" outlineLevel="1" x14ac:dyDescent="0.45">
      <c r="A152" s="2"/>
      <c r="B152" s="51"/>
      <c r="C152" s="51"/>
      <c r="D152" s="51"/>
      <c r="E152" s="51"/>
      <c r="F152" s="51"/>
      <c r="G152" s="51"/>
      <c r="H152" s="80"/>
      <c r="I152" s="51"/>
      <c r="J152" s="51"/>
      <c r="K152" s="51"/>
      <c r="L152" s="51"/>
      <c r="M152" s="51"/>
      <c r="N152" s="81"/>
      <c r="O152" s="51"/>
      <c r="P152" s="51"/>
      <c r="Q152" s="51"/>
      <c r="R152" s="51"/>
      <c r="S152" s="81"/>
      <c r="T152" s="51"/>
      <c r="U152" s="51"/>
      <c r="V152" s="51">
        <f t="shared" si="19"/>
        <v>0</v>
      </c>
      <c r="W152" s="2"/>
      <c r="Y152" s="74"/>
      <c r="AB152" s="74"/>
      <c r="AD152" s="74"/>
    </row>
    <row r="153" spans="1:30" s="1" customFormat="1" hidden="1" outlineLevel="1" x14ac:dyDescent="0.45">
      <c r="A153" s="2"/>
      <c r="B153" s="51"/>
      <c r="C153" s="51"/>
      <c r="D153" s="51"/>
      <c r="E153" s="51"/>
      <c r="F153" s="51"/>
      <c r="G153" s="51"/>
      <c r="H153" s="80"/>
      <c r="I153" s="51"/>
      <c r="J153" s="51"/>
      <c r="K153" s="51"/>
      <c r="L153" s="51"/>
      <c r="M153" s="51"/>
      <c r="N153" s="81"/>
      <c r="O153" s="51"/>
      <c r="P153" s="51"/>
      <c r="Q153" s="51"/>
      <c r="R153" s="51"/>
      <c r="S153" s="81"/>
      <c r="T153" s="51"/>
      <c r="U153" s="51"/>
      <c r="V153" s="51">
        <f t="shared" si="19"/>
        <v>0</v>
      </c>
      <c r="W153" s="2"/>
      <c r="Y153" s="74"/>
      <c r="AB153" s="74"/>
      <c r="AD153" s="74"/>
    </row>
    <row r="154" spans="1:30" s="1" customFormat="1" hidden="1" outlineLevel="1" x14ac:dyDescent="0.45">
      <c r="A154" s="2"/>
      <c r="B154" s="51"/>
      <c r="C154" s="51"/>
      <c r="D154" s="51"/>
      <c r="E154" s="51"/>
      <c r="F154" s="51"/>
      <c r="G154" s="51"/>
      <c r="H154" s="80"/>
      <c r="I154" s="51"/>
      <c r="J154" s="51"/>
      <c r="K154" s="51"/>
      <c r="L154" s="51"/>
      <c r="M154" s="51"/>
      <c r="N154" s="81"/>
      <c r="O154" s="51"/>
      <c r="P154" s="51"/>
      <c r="Q154" s="51"/>
      <c r="R154" s="51"/>
      <c r="S154" s="81"/>
      <c r="T154" s="51"/>
      <c r="U154" s="51"/>
      <c r="V154" s="51">
        <f t="shared" si="19"/>
        <v>0</v>
      </c>
      <c r="W154" s="2"/>
      <c r="Y154" s="74"/>
      <c r="AB154" s="74"/>
      <c r="AD154" s="74"/>
    </row>
    <row r="155" spans="1:30" s="1" customFormat="1" hidden="1" outlineLevel="1" x14ac:dyDescent="0.45">
      <c r="A155" s="2"/>
      <c r="B155" s="51"/>
      <c r="C155" s="51"/>
      <c r="D155" s="51"/>
      <c r="E155" s="51"/>
      <c r="F155" s="51"/>
      <c r="G155" s="51"/>
      <c r="H155" s="80"/>
      <c r="I155" s="51"/>
      <c r="J155" s="51"/>
      <c r="K155" s="51"/>
      <c r="L155" s="51"/>
      <c r="M155" s="51"/>
      <c r="N155" s="81"/>
      <c r="O155" s="51"/>
      <c r="P155" s="51"/>
      <c r="Q155" s="51"/>
      <c r="R155" s="51"/>
      <c r="S155" s="81"/>
      <c r="T155" s="51"/>
      <c r="U155" s="51"/>
      <c r="V155" s="51">
        <f t="shared" si="19"/>
        <v>0</v>
      </c>
      <c r="W155" s="2"/>
      <c r="Y155" s="74"/>
      <c r="AB155" s="74"/>
      <c r="AD155" s="74"/>
    </row>
    <row r="156" spans="1:30" s="1" customFormat="1" hidden="1" outlineLevel="1" x14ac:dyDescent="0.45">
      <c r="A156" s="2"/>
      <c r="B156" s="51"/>
      <c r="C156" s="51"/>
      <c r="D156" s="51"/>
      <c r="E156" s="51"/>
      <c r="F156" s="51"/>
      <c r="G156" s="51"/>
      <c r="H156" s="80"/>
      <c r="I156" s="51"/>
      <c r="J156" s="51"/>
      <c r="K156" s="51"/>
      <c r="L156" s="51"/>
      <c r="M156" s="51"/>
      <c r="N156" s="81"/>
      <c r="O156" s="51"/>
      <c r="P156" s="51"/>
      <c r="Q156" s="51"/>
      <c r="R156" s="51"/>
      <c r="S156" s="81"/>
      <c r="T156" s="51"/>
      <c r="U156" s="51"/>
      <c r="V156" s="51">
        <f t="shared" si="19"/>
        <v>0</v>
      </c>
      <c r="W156" s="2"/>
      <c r="Y156" s="74"/>
      <c r="AB156" s="74"/>
      <c r="AD156" s="74"/>
    </row>
    <row r="157" spans="1:30" s="1" customFormat="1" hidden="1" outlineLevel="1" x14ac:dyDescent="0.45">
      <c r="A157" s="2"/>
      <c r="B157" s="51"/>
      <c r="C157" s="51"/>
      <c r="D157" s="51"/>
      <c r="E157" s="51"/>
      <c r="F157" s="51"/>
      <c r="G157" s="51"/>
      <c r="H157" s="80"/>
      <c r="I157" s="51"/>
      <c r="J157" s="51"/>
      <c r="K157" s="51"/>
      <c r="L157" s="51"/>
      <c r="M157" s="51"/>
      <c r="N157" s="81"/>
      <c r="O157" s="51"/>
      <c r="P157" s="51"/>
      <c r="Q157" s="51"/>
      <c r="R157" s="51"/>
      <c r="S157" s="81"/>
      <c r="T157" s="51"/>
      <c r="U157" s="51"/>
      <c r="V157" s="51">
        <f t="shared" si="19"/>
        <v>0</v>
      </c>
      <c r="W157" s="2"/>
      <c r="Y157" s="74"/>
      <c r="AB157" s="74"/>
      <c r="AD157" s="74"/>
    </row>
    <row r="158" spans="1:30" s="1" customFormat="1" hidden="1" outlineLevel="1" x14ac:dyDescent="0.45">
      <c r="A158" s="2"/>
      <c r="B158" s="51"/>
      <c r="C158" s="51"/>
      <c r="D158" s="51"/>
      <c r="E158" s="51"/>
      <c r="F158" s="51"/>
      <c r="G158" s="51"/>
      <c r="H158" s="80"/>
      <c r="I158" s="51"/>
      <c r="J158" s="51"/>
      <c r="K158" s="51"/>
      <c r="L158" s="51"/>
      <c r="M158" s="51"/>
      <c r="N158" s="81"/>
      <c r="O158" s="51"/>
      <c r="P158" s="51"/>
      <c r="Q158" s="51"/>
      <c r="R158" s="51"/>
      <c r="S158" s="81"/>
      <c r="T158" s="51"/>
      <c r="U158" s="51"/>
      <c r="V158" s="51">
        <f t="shared" si="19"/>
        <v>0</v>
      </c>
      <c r="W158" s="2"/>
      <c r="Y158" s="74"/>
      <c r="AB158" s="74"/>
      <c r="AD158" s="74"/>
    </row>
    <row r="159" spans="1:30" s="1" customFormat="1" hidden="1" outlineLevel="1" x14ac:dyDescent="0.45">
      <c r="A159" s="2"/>
      <c r="B159" s="51"/>
      <c r="C159" s="51"/>
      <c r="D159" s="51"/>
      <c r="E159" s="51"/>
      <c r="F159" s="51"/>
      <c r="G159" s="51"/>
      <c r="H159" s="80"/>
      <c r="I159" s="51"/>
      <c r="J159" s="51"/>
      <c r="K159" s="51"/>
      <c r="L159" s="51"/>
      <c r="M159" s="51"/>
      <c r="N159" s="81"/>
      <c r="O159" s="51"/>
      <c r="P159" s="51"/>
      <c r="Q159" s="51"/>
      <c r="R159" s="51"/>
      <c r="S159" s="81"/>
      <c r="T159" s="51"/>
      <c r="U159" s="51"/>
      <c r="V159" s="51">
        <f t="shared" si="19"/>
        <v>0</v>
      </c>
      <c r="W159" s="2"/>
      <c r="Y159" s="74"/>
      <c r="AB159" s="74"/>
      <c r="AD159" s="74"/>
    </row>
    <row r="160" spans="1:30" s="1" customFormat="1" hidden="1" outlineLevel="1" x14ac:dyDescent="0.45">
      <c r="A160" s="2"/>
      <c r="B160" s="51"/>
      <c r="C160" s="51"/>
      <c r="D160" s="51"/>
      <c r="E160" s="51"/>
      <c r="F160" s="51"/>
      <c r="G160" s="51"/>
      <c r="H160" s="80"/>
      <c r="I160" s="51"/>
      <c r="J160" s="51"/>
      <c r="K160" s="51"/>
      <c r="L160" s="51"/>
      <c r="M160" s="51"/>
      <c r="N160" s="81"/>
      <c r="O160" s="51"/>
      <c r="P160" s="51"/>
      <c r="Q160" s="51"/>
      <c r="R160" s="51"/>
      <c r="S160" s="81"/>
      <c r="T160" s="51"/>
      <c r="U160" s="51"/>
      <c r="V160" s="51">
        <f t="shared" si="19"/>
        <v>0</v>
      </c>
      <c r="W160" s="2"/>
      <c r="Y160" s="74"/>
      <c r="AB160" s="74"/>
      <c r="AD160" s="74"/>
    </row>
    <row r="161" spans="1:39" s="1" customFormat="1" hidden="1" outlineLevel="1" x14ac:dyDescent="0.45">
      <c r="A161" s="2"/>
      <c r="B161" s="51"/>
      <c r="C161" s="51"/>
      <c r="D161" s="51"/>
      <c r="E161" s="51"/>
      <c r="F161" s="51"/>
      <c r="G161" s="51"/>
      <c r="H161" s="80"/>
      <c r="I161" s="51"/>
      <c r="J161" s="51"/>
      <c r="K161" s="51"/>
      <c r="L161" s="51"/>
      <c r="M161" s="51"/>
      <c r="N161" s="81"/>
      <c r="O161" s="51"/>
      <c r="P161" s="51"/>
      <c r="Q161" s="51"/>
      <c r="R161" s="51"/>
      <c r="S161" s="81"/>
      <c r="T161" s="51"/>
      <c r="U161" s="51"/>
      <c r="V161" s="51">
        <f t="shared" si="19"/>
        <v>0</v>
      </c>
      <c r="W161" s="2"/>
      <c r="Y161" s="74"/>
      <c r="AB161" s="74"/>
      <c r="AD161" s="74"/>
    </row>
    <row r="162" spans="1:39" s="1" customFormat="1" hidden="1" outlineLevel="1" x14ac:dyDescent="0.45">
      <c r="A162" s="2"/>
      <c r="B162" s="51"/>
      <c r="C162" s="51"/>
      <c r="D162" s="51"/>
      <c r="E162" s="51"/>
      <c r="F162" s="51"/>
      <c r="G162" s="51"/>
      <c r="H162" s="80"/>
      <c r="I162" s="51"/>
      <c r="J162" s="51"/>
      <c r="K162" s="51"/>
      <c r="L162" s="51"/>
      <c r="M162" s="51"/>
      <c r="N162" s="81"/>
      <c r="O162" s="51"/>
      <c r="P162" s="51"/>
      <c r="Q162" s="51"/>
      <c r="R162" s="51"/>
      <c r="S162" s="81"/>
      <c r="T162" s="51"/>
      <c r="U162" s="51"/>
      <c r="V162" s="51">
        <f t="shared" si="19"/>
        <v>0</v>
      </c>
      <c r="W162" s="2"/>
      <c r="Y162" s="74"/>
      <c r="AB162" s="74"/>
      <c r="AD162" s="74"/>
    </row>
    <row r="163" spans="1:39" ht="15.75" hidden="1" customHeight="1" outlineLevel="1" thickBot="1" x14ac:dyDescent="0.5">
      <c r="A163" s="2"/>
      <c r="B163" s="75"/>
      <c r="C163" s="75"/>
      <c r="D163" s="76"/>
      <c r="E163" s="76"/>
      <c r="F163" s="76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2"/>
      <c r="R163" s="77"/>
      <c r="S163" s="77"/>
      <c r="T163" s="77"/>
      <c r="U163" s="2"/>
      <c r="V163" s="77"/>
      <c r="W163" s="78"/>
      <c r="Y163" s="74"/>
      <c r="Z163" s="6"/>
      <c r="AA163" s="13"/>
      <c r="AB163" s="74"/>
      <c r="AC163" s="6"/>
      <c r="AD163" s="74"/>
      <c r="AE163" s="6"/>
      <c r="AF163" s="6"/>
      <c r="AG163" s="6"/>
      <c r="AH163" s="6"/>
      <c r="AI163" s="6"/>
      <c r="AM163" s="14"/>
    </row>
    <row r="164" spans="1:39" s="1" customFormat="1" ht="12.75" customHeight="1" x14ac:dyDescent="0.4">
      <c r="A164" s="126">
        <v>12</v>
      </c>
      <c r="B164" s="128" t="s">
        <v>201</v>
      </c>
      <c r="C164" s="130" t="s">
        <v>9</v>
      </c>
      <c r="D164" s="137" t="s">
        <v>12</v>
      </c>
      <c r="E164" s="90" t="s">
        <v>15</v>
      </c>
      <c r="F164" s="92">
        <v>0.25</v>
      </c>
      <c r="G164" s="72">
        <f t="shared" ref="G164:U164" si="20">SUM(G166:G175)</f>
        <v>0</v>
      </c>
      <c r="H164" s="72">
        <f t="shared" si="20"/>
        <v>0</v>
      </c>
      <c r="I164" s="72">
        <f t="shared" si="20"/>
        <v>0</v>
      </c>
      <c r="J164" s="72">
        <f t="shared" si="20"/>
        <v>0</v>
      </c>
      <c r="K164" s="72">
        <f t="shared" si="20"/>
        <v>0</v>
      </c>
      <c r="L164" s="72">
        <f t="shared" si="20"/>
        <v>0</v>
      </c>
      <c r="M164" s="72">
        <f t="shared" si="20"/>
        <v>0</v>
      </c>
      <c r="N164" s="72">
        <f t="shared" si="20"/>
        <v>0</v>
      </c>
      <c r="O164" s="72">
        <f t="shared" si="20"/>
        <v>0</v>
      </c>
      <c r="P164" s="72">
        <f t="shared" si="20"/>
        <v>0</v>
      </c>
      <c r="Q164" s="72">
        <f t="shared" si="20"/>
        <v>0</v>
      </c>
      <c r="R164" s="72">
        <f t="shared" si="20"/>
        <v>0</v>
      </c>
      <c r="S164" s="72">
        <f t="shared" si="20"/>
        <v>0</v>
      </c>
      <c r="T164" s="72">
        <f t="shared" si="20"/>
        <v>0</v>
      </c>
      <c r="U164" s="72">
        <f t="shared" si="20"/>
        <v>0</v>
      </c>
      <c r="V164" s="72">
        <f>SUM(V166:V175)</f>
        <v>0</v>
      </c>
      <c r="W164" s="149">
        <f>V164+V165</f>
        <v>175.6</v>
      </c>
      <c r="Y164" s="74"/>
      <c r="AB164" s="74"/>
      <c r="AD164" s="74"/>
    </row>
    <row r="165" spans="1:39" s="1" customFormat="1" ht="12.9" collapsed="1" thickBot="1" x14ac:dyDescent="0.45">
      <c r="A165" s="127"/>
      <c r="B165" s="129"/>
      <c r="C165" s="131"/>
      <c r="D165" s="138"/>
      <c r="E165" s="91"/>
      <c r="F165" s="93"/>
      <c r="G165" s="73">
        <f>SUM(G177:G194)</f>
        <v>32</v>
      </c>
      <c r="H165" s="79">
        <f>SUM(H177:H194)</f>
        <v>132</v>
      </c>
      <c r="I165" s="79">
        <f>SUM(I177:I194)</f>
        <v>0</v>
      </c>
      <c r="J165" s="73">
        <f t="shared" ref="J165:Q165" si="21">SUM(J177:J194)</f>
        <v>1.6</v>
      </c>
      <c r="K165" s="73">
        <f t="shared" si="21"/>
        <v>0</v>
      </c>
      <c r="L165" s="73">
        <f t="shared" si="21"/>
        <v>0</v>
      </c>
      <c r="M165" s="73">
        <f t="shared" si="21"/>
        <v>2</v>
      </c>
      <c r="N165" s="73">
        <f t="shared" si="21"/>
        <v>0</v>
      </c>
      <c r="O165" s="73">
        <f t="shared" si="21"/>
        <v>0</v>
      </c>
      <c r="P165" s="73">
        <f t="shared" si="21"/>
        <v>8</v>
      </c>
      <c r="Q165" s="73">
        <f t="shared" si="21"/>
        <v>0</v>
      </c>
      <c r="R165" s="73">
        <f>SUM(R177:R194)</f>
        <v>0</v>
      </c>
      <c r="S165" s="73">
        <f>SUM(S177:S194)</f>
        <v>0</v>
      </c>
      <c r="T165" s="73">
        <f>SUM(T177:T194)</f>
        <v>0</v>
      </c>
      <c r="U165" s="73">
        <f>SUM(U177:U194)</f>
        <v>0</v>
      </c>
      <c r="V165" s="73">
        <f>SUM(V177:V194)</f>
        <v>175.6</v>
      </c>
      <c r="W165" s="150"/>
      <c r="Y165" s="74"/>
      <c r="Z165" s="74"/>
      <c r="AB165" s="74"/>
      <c r="AD165" s="74"/>
    </row>
    <row r="166" spans="1:39" s="1" customFormat="1" hidden="1" outlineLevel="1" x14ac:dyDescent="0.4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 s="51">
        <f>SUM(G166:U166)</f>
        <v>0</v>
      </c>
      <c r="W166" s="2"/>
      <c r="Y166" s="74"/>
      <c r="AB166" s="74"/>
      <c r="AD166" s="74"/>
    </row>
    <row r="167" spans="1:39" s="1" customFormat="1" hidden="1" outlineLevel="1" x14ac:dyDescent="0.45">
      <c r="A167" s="2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>
        <f>SUM(G167:U167)</f>
        <v>0</v>
      </c>
      <c r="W167" s="2"/>
      <c r="Y167" s="74"/>
      <c r="AB167" s="74"/>
      <c r="AD167" s="74"/>
    </row>
    <row r="168" spans="1:39" s="1" customFormat="1" hidden="1" outlineLevel="1" x14ac:dyDescent="0.45">
      <c r="A168" s="2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>
        <f t="shared" ref="V168:V175" si="22">SUM(G168:U168)</f>
        <v>0</v>
      </c>
      <c r="W168" s="2"/>
      <c r="Y168" s="74"/>
      <c r="AB168" s="74"/>
      <c r="AD168" s="74"/>
    </row>
    <row r="169" spans="1:39" s="1" customFormat="1" hidden="1" outlineLevel="1" x14ac:dyDescent="0.45">
      <c r="A169" s="2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>
        <f t="shared" si="22"/>
        <v>0</v>
      </c>
      <c r="W169" s="2"/>
      <c r="Y169" s="74"/>
      <c r="AB169" s="74"/>
      <c r="AD169" s="74"/>
    </row>
    <row r="170" spans="1:39" s="1" customFormat="1" hidden="1" outlineLevel="1" x14ac:dyDescent="0.45">
      <c r="A170" s="2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>
        <f t="shared" si="22"/>
        <v>0</v>
      </c>
      <c r="W170" s="2"/>
      <c r="Y170" s="74"/>
      <c r="AB170" s="74"/>
      <c r="AD170" s="74"/>
    </row>
    <row r="171" spans="1:39" s="1" customFormat="1" hidden="1" outlineLevel="1" x14ac:dyDescent="0.45">
      <c r="A171" s="2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>
        <f t="shared" si="22"/>
        <v>0</v>
      </c>
      <c r="W171" s="2"/>
      <c r="Y171" s="74"/>
      <c r="AB171" s="74"/>
      <c r="AD171" s="74"/>
    </row>
    <row r="172" spans="1:39" s="1" customFormat="1" hidden="1" outlineLevel="1" x14ac:dyDescent="0.45">
      <c r="A172" s="2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>
        <f t="shared" si="22"/>
        <v>0</v>
      </c>
      <c r="W172" s="2"/>
      <c r="Y172" s="74"/>
      <c r="AB172" s="74"/>
      <c r="AD172" s="74"/>
    </row>
    <row r="173" spans="1:39" s="1" customFormat="1" hidden="1" outlineLevel="1" x14ac:dyDescent="0.45">
      <c r="A173" s="2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>
        <f t="shared" si="22"/>
        <v>0</v>
      </c>
      <c r="W173" s="2"/>
      <c r="Y173" s="74"/>
      <c r="AB173" s="74"/>
      <c r="AD173" s="74"/>
    </row>
    <row r="174" spans="1:39" s="1" customFormat="1" hidden="1" outlineLevel="1" x14ac:dyDescent="0.45">
      <c r="A174" s="2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>
        <f t="shared" si="22"/>
        <v>0</v>
      </c>
      <c r="W174" s="2"/>
      <c r="Y174" s="74"/>
      <c r="AB174" s="74"/>
      <c r="AD174" s="74"/>
    </row>
    <row r="175" spans="1:39" s="1" customFormat="1" hidden="1" outlineLevel="1" x14ac:dyDescent="0.45">
      <c r="A175" s="2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>
        <f t="shared" si="22"/>
        <v>0</v>
      </c>
      <c r="W175" s="2"/>
      <c r="Y175" s="74"/>
      <c r="AB175" s="74"/>
      <c r="AD175" s="74"/>
    </row>
    <row r="176" spans="1:39" s="1" customFormat="1" hidden="1" outlineLevel="1" x14ac:dyDescent="0.45">
      <c r="A176" s="2"/>
      <c r="B176" s="166" t="s">
        <v>29</v>
      </c>
      <c r="C176" s="166"/>
      <c r="D176" s="166"/>
      <c r="E176" s="166"/>
      <c r="F176" s="166"/>
      <c r="G176" s="166"/>
      <c r="H176" s="166"/>
      <c r="I176" s="166"/>
      <c r="J176" s="166"/>
      <c r="K176" s="166"/>
      <c r="L176" s="166"/>
      <c r="M176" s="166"/>
      <c r="N176" s="166"/>
      <c r="O176" s="166"/>
      <c r="P176" s="166"/>
      <c r="Q176" s="166"/>
      <c r="R176" s="166"/>
      <c r="S176" s="166"/>
      <c r="T176" s="166"/>
      <c r="U176" s="166"/>
      <c r="V176" s="104"/>
      <c r="W176" s="2"/>
      <c r="Y176" s="74"/>
      <c r="AB176" s="74"/>
      <c r="AD176" s="74"/>
    </row>
    <row r="177" spans="1:32" s="1" customFormat="1" hidden="1" outlineLevel="1" x14ac:dyDescent="0.45">
      <c r="A177" s="34" t="s">
        <v>223</v>
      </c>
      <c r="B177" s="42" t="s">
        <v>188</v>
      </c>
      <c r="C177" s="34">
        <v>4</v>
      </c>
      <c r="D177" s="34"/>
      <c r="E177" s="34"/>
      <c r="F177" s="34"/>
      <c r="G177" s="34">
        <v>32</v>
      </c>
      <c r="H177" s="34">
        <v>132</v>
      </c>
      <c r="I177" s="34"/>
      <c r="J177" s="34">
        <v>1.6</v>
      </c>
      <c r="K177" s="34"/>
      <c r="L177" s="34"/>
      <c r="M177" s="34">
        <v>2</v>
      </c>
      <c r="N177" s="34"/>
      <c r="O177" s="34"/>
      <c r="P177" s="34">
        <v>8</v>
      </c>
      <c r="Q177" s="34"/>
      <c r="R177" s="34"/>
      <c r="S177" s="34"/>
      <c r="T177" s="34"/>
      <c r="U177" s="34"/>
      <c r="V177" s="51">
        <f t="shared" ref="V177:V193" si="23">SUM(G177:U177)</f>
        <v>175.6</v>
      </c>
      <c r="W177" s="2"/>
      <c r="Y177" s="74"/>
      <c r="AB177" s="74"/>
      <c r="AD177" s="74"/>
    </row>
    <row r="178" spans="1:32" s="1" customFormat="1" hidden="1" outlineLevel="1" x14ac:dyDescent="0.4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 s="51">
        <f t="shared" si="23"/>
        <v>0</v>
      </c>
      <c r="W178" s="2"/>
      <c r="Y178" s="74"/>
      <c r="AB178" s="74"/>
      <c r="AD178" s="74"/>
    </row>
    <row r="179" spans="1:32" s="1" customFormat="1" hidden="1" outlineLevel="1" x14ac:dyDescent="0.45">
      <c r="A179" s="2"/>
      <c r="B179" s="82"/>
      <c r="C179" s="51"/>
      <c r="D179" s="51"/>
      <c r="E179" s="51"/>
      <c r="F179" s="51"/>
      <c r="G179" s="20"/>
      <c r="H179" s="21"/>
      <c r="I179" s="21"/>
      <c r="J179" s="102"/>
      <c r="K179" s="51"/>
      <c r="L179" s="32"/>
      <c r="M179" s="22"/>
      <c r="N179" s="51"/>
      <c r="O179" s="81"/>
      <c r="P179" s="22"/>
      <c r="Q179" s="51"/>
      <c r="R179" s="51"/>
      <c r="S179" s="51"/>
      <c r="T179" s="51"/>
      <c r="U179" s="51"/>
      <c r="V179" s="51">
        <f t="shared" si="23"/>
        <v>0</v>
      </c>
      <c r="W179" s="2"/>
      <c r="Y179" s="74"/>
      <c r="AB179" s="74"/>
      <c r="AD179" s="74"/>
    </row>
    <row r="180" spans="1:32" s="1" customFormat="1" hidden="1" outlineLevel="1" x14ac:dyDescent="0.45">
      <c r="A180" s="2"/>
      <c r="B180" s="82"/>
      <c r="C180" s="51"/>
      <c r="D180" s="51"/>
      <c r="E180" s="51"/>
      <c r="F180" s="51"/>
      <c r="G180" s="20"/>
      <c r="H180" s="21"/>
      <c r="I180" s="21"/>
      <c r="J180" s="102"/>
      <c r="K180" s="51"/>
      <c r="L180" s="32"/>
      <c r="M180" s="22"/>
      <c r="N180" s="51"/>
      <c r="O180" s="81"/>
      <c r="P180" s="22"/>
      <c r="Q180" s="51"/>
      <c r="R180" s="51"/>
      <c r="S180" s="51"/>
      <c r="T180" s="51"/>
      <c r="U180" s="51"/>
      <c r="V180" s="51">
        <f t="shared" si="23"/>
        <v>0</v>
      </c>
      <c r="W180" s="2"/>
      <c r="Y180" s="74"/>
      <c r="AB180" s="74"/>
      <c r="AD180" s="74"/>
    </row>
    <row r="181" spans="1:32" s="1" customFormat="1" hidden="1" outlineLevel="1" x14ac:dyDescent="0.45">
      <c r="A181" s="2"/>
      <c r="B181" s="51"/>
      <c r="C181" s="51"/>
      <c r="D181" s="51"/>
      <c r="E181" s="51"/>
      <c r="F181" s="51"/>
      <c r="G181" s="51"/>
      <c r="H181" s="80"/>
      <c r="I181" s="51"/>
      <c r="J181" s="51"/>
      <c r="K181" s="51"/>
      <c r="L181" s="51"/>
      <c r="M181" s="51"/>
      <c r="N181" s="81"/>
      <c r="O181" s="51"/>
      <c r="P181" s="51"/>
      <c r="Q181" s="51"/>
      <c r="R181" s="51"/>
      <c r="S181" s="51"/>
      <c r="T181" s="51"/>
      <c r="U181" s="51"/>
      <c r="V181" s="51">
        <f t="shared" si="23"/>
        <v>0</v>
      </c>
      <c r="W181" s="2"/>
      <c r="Y181" s="74"/>
      <c r="AB181" s="74"/>
      <c r="AD181" s="74"/>
    </row>
    <row r="182" spans="1:32" s="1" customFormat="1" hidden="1" outlineLevel="1" x14ac:dyDescent="0.45">
      <c r="A182" s="2"/>
      <c r="B182" s="51"/>
      <c r="C182" s="51"/>
      <c r="D182" s="51"/>
      <c r="E182" s="51"/>
      <c r="F182" s="51"/>
      <c r="G182" s="51"/>
      <c r="H182" s="80"/>
      <c r="I182" s="51"/>
      <c r="J182" s="51"/>
      <c r="K182" s="51"/>
      <c r="L182" s="51"/>
      <c r="M182" s="51"/>
      <c r="N182" s="81"/>
      <c r="O182" s="51"/>
      <c r="P182" s="51"/>
      <c r="Q182" s="51"/>
      <c r="R182" s="51"/>
      <c r="S182" s="51"/>
      <c r="T182" s="51"/>
      <c r="U182" s="51"/>
      <c r="V182" s="51">
        <f t="shared" si="23"/>
        <v>0</v>
      </c>
      <c r="W182" s="2"/>
      <c r="Y182" s="74"/>
      <c r="AB182" s="74"/>
      <c r="AD182" s="74"/>
    </row>
    <row r="183" spans="1:32" s="1" customFormat="1" hidden="1" outlineLevel="1" x14ac:dyDescent="0.45">
      <c r="A183" s="2"/>
      <c r="B183" s="51"/>
      <c r="C183" s="51"/>
      <c r="D183" s="51"/>
      <c r="E183" s="51"/>
      <c r="F183" s="51"/>
      <c r="G183" s="51"/>
      <c r="H183" s="80"/>
      <c r="I183" s="51"/>
      <c r="J183" s="51"/>
      <c r="K183" s="51"/>
      <c r="L183" s="51"/>
      <c r="M183" s="51"/>
      <c r="N183" s="81"/>
      <c r="O183" s="51"/>
      <c r="P183" s="51"/>
      <c r="Q183" s="51"/>
      <c r="R183" s="51"/>
      <c r="S183" s="81"/>
      <c r="T183" s="51"/>
      <c r="U183" s="51"/>
      <c r="V183" s="51">
        <f t="shared" si="23"/>
        <v>0</v>
      </c>
      <c r="W183" s="2"/>
      <c r="Y183" s="74"/>
      <c r="AB183" s="74"/>
      <c r="AD183" s="74"/>
    </row>
    <row r="184" spans="1:32" s="1" customFormat="1" hidden="1" outlineLevel="1" x14ac:dyDescent="0.45">
      <c r="A184" s="2"/>
      <c r="B184" s="51"/>
      <c r="C184" s="51"/>
      <c r="D184" s="51"/>
      <c r="E184" s="51"/>
      <c r="F184" s="51"/>
      <c r="G184" s="51"/>
      <c r="H184" s="80"/>
      <c r="I184" s="51"/>
      <c r="J184" s="51"/>
      <c r="K184" s="51"/>
      <c r="L184" s="51"/>
      <c r="M184" s="51"/>
      <c r="N184" s="81"/>
      <c r="O184" s="51"/>
      <c r="P184" s="51"/>
      <c r="Q184" s="51"/>
      <c r="R184" s="51"/>
      <c r="S184" s="81"/>
      <c r="T184" s="51"/>
      <c r="U184" s="51"/>
      <c r="V184" s="51">
        <f t="shared" si="23"/>
        <v>0</v>
      </c>
      <c r="W184" s="2"/>
      <c r="Y184" s="74"/>
      <c r="AB184" s="74"/>
      <c r="AD184" s="74"/>
    </row>
    <row r="185" spans="1:32" s="1" customFormat="1" hidden="1" outlineLevel="1" x14ac:dyDescent="0.45">
      <c r="A185" s="2"/>
      <c r="B185" s="51"/>
      <c r="C185" s="51"/>
      <c r="D185" s="51"/>
      <c r="E185" s="51"/>
      <c r="F185" s="51"/>
      <c r="G185" s="51"/>
      <c r="H185" s="80"/>
      <c r="I185" s="51"/>
      <c r="J185" s="51"/>
      <c r="K185" s="51"/>
      <c r="L185" s="51"/>
      <c r="M185" s="51"/>
      <c r="N185" s="81"/>
      <c r="O185" s="51"/>
      <c r="P185" s="51"/>
      <c r="Q185" s="51"/>
      <c r="R185" s="51"/>
      <c r="S185" s="81"/>
      <c r="T185" s="51"/>
      <c r="U185" s="51"/>
      <c r="V185" s="51">
        <f t="shared" si="23"/>
        <v>0</v>
      </c>
      <c r="W185" s="2"/>
      <c r="Y185" s="74"/>
      <c r="AB185" s="74"/>
      <c r="AD185" s="74"/>
    </row>
    <row r="186" spans="1:32" s="1" customFormat="1" hidden="1" outlineLevel="1" x14ac:dyDescent="0.45">
      <c r="A186" s="2"/>
      <c r="B186" s="51"/>
      <c r="C186" s="51"/>
      <c r="D186" s="51"/>
      <c r="E186" s="51"/>
      <c r="F186" s="51"/>
      <c r="G186" s="51"/>
      <c r="H186" s="80"/>
      <c r="I186" s="51"/>
      <c r="J186" s="51"/>
      <c r="K186" s="51"/>
      <c r="L186" s="51"/>
      <c r="M186" s="51"/>
      <c r="N186" s="81"/>
      <c r="O186" s="51"/>
      <c r="P186" s="51"/>
      <c r="Q186" s="51"/>
      <c r="R186" s="51"/>
      <c r="S186" s="81"/>
      <c r="T186" s="51"/>
      <c r="U186" s="51"/>
      <c r="V186" s="51">
        <f t="shared" si="23"/>
        <v>0</v>
      </c>
      <c r="W186" s="2"/>
      <c r="Y186" s="74"/>
      <c r="AB186" s="74"/>
      <c r="AD186" s="74"/>
    </row>
    <row r="187" spans="1:32" s="1" customFormat="1" hidden="1" outlineLevel="1" x14ac:dyDescent="0.45">
      <c r="A187" s="2"/>
      <c r="B187" s="51"/>
      <c r="C187" s="51"/>
      <c r="D187" s="51"/>
      <c r="E187" s="51"/>
      <c r="F187" s="51"/>
      <c r="G187" s="51"/>
      <c r="H187" s="80"/>
      <c r="I187" s="51"/>
      <c r="J187" s="51"/>
      <c r="K187" s="51"/>
      <c r="L187" s="51"/>
      <c r="M187" s="51"/>
      <c r="N187" s="81"/>
      <c r="O187" s="51"/>
      <c r="P187" s="51"/>
      <c r="Q187" s="51"/>
      <c r="R187" s="51"/>
      <c r="S187" s="81"/>
      <c r="T187" s="51"/>
      <c r="U187" s="51"/>
      <c r="V187" s="51">
        <f t="shared" si="23"/>
        <v>0</v>
      </c>
      <c r="W187" s="2"/>
      <c r="Y187" s="74"/>
      <c r="AB187" s="74"/>
      <c r="AD187" s="74"/>
    </row>
    <row r="188" spans="1:32" s="1" customFormat="1" hidden="1" outlineLevel="1" x14ac:dyDescent="0.45">
      <c r="A188" s="2"/>
      <c r="B188" s="51"/>
      <c r="C188" s="51"/>
      <c r="D188" s="51"/>
      <c r="E188" s="51"/>
      <c r="F188" s="51"/>
      <c r="G188" s="51"/>
      <c r="H188" s="80"/>
      <c r="I188" s="51"/>
      <c r="J188" s="51"/>
      <c r="K188" s="51"/>
      <c r="L188" s="51"/>
      <c r="M188" s="51"/>
      <c r="N188" s="81"/>
      <c r="O188" s="51"/>
      <c r="P188" s="51"/>
      <c r="Q188" s="51"/>
      <c r="R188" s="51"/>
      <c r="S188" s="81"/>
      <c r="T188" s="51"/>
      <c r="U188" s="51"/>
      <c r="V188" s="51">
        <f t="shared" si="23"/>
        <v>0</v>
      </c>
      <c r="W188" s="2"/>
      <c r="Y188" s="74"/>
      <c r="AB188" s="74"/>
      <c r="AD188" s="74"/>
    </row>
    <row r="189" spans="1:32" s="1" customFormat="1" hidden="1" outlineLevel="1" x14ac:dyDescent="0.45">
      <c r="A189" s="2"/>
      <c r="B189" s="51"/>
      <c r="C189" s="51"/>
      <c r="D189" s="51"/>
      <c r="E189" s="51"/>
      <c r="F189" s="51"/>
      <c r="G189" s="51"/>
      <c r="H189" s="80"/>
      <c r="I189" s="51"/>
      <c r="J189" s="51"/>
      <c r="K189" s="51"/>
      <c r="L189" s="51"/>
      <c r="M189" s="51"/>
      <c r="N189" s="81"/>
      <c r="O189" s="51"/>
      <c r="P189" s="51"/>
      <c r="Q189" s="51"/>
      <c r="R189" s="51"/>
      <c r="S189" s="81"/>
      <c r="T189" s="51"/>
      <c r="U189" s="51"/>
      <c r="V189" s="51">
        <f t="shared" si="23"/>
        <v>0</v>
      </c>
      <c r="W189" s="2"/>
      <c r="Y189" s="74"/>
      <c r="AB189" s="74"/>
      <c r="AD189" s="74"/>
      <c r="AF189" s="74"/>
    </row>
    <row r="190" spans="1:32" s="1" customFormat="1" hidden="1" outlineLevel="1" x14ac:dyDescent="0.45">
      <c r="A190" s="2"/>
      <c r="B190" s="51"/>
      <c r="C190" s="51"/>
      <c r="D190" s="51"/>
      <c r="E190" s="51"/>
      <c r="F190" s="51"/>
      <c r="G190" s="51"/>
      <c r="H190" s="80"/>
      <c r="I190" s="51"/>
      <c r="J190" s="51"/>
      <c r="K190" s="51"/>
      <c r="L190" s="51"/>
      <c r="M190" s="51"/>
      <c r="N190" s="81"/>
      <c r="O190" s="51"/>
      <c r="P190" s="51"/>
      <c r="Q190" s="51"/>
      <c r="R190" s="51"/>
      <c r="S190" s="81"/>
      <c r="T190" s="51"/>
      <c r="U190" s="51"/>
      <c r="V190" s="51">
        <f t="shared" si="23"/>
        <v>0</v>
      </c>
      <c r="W190" s="2"/>
      <c r="Y190" s="74"/>
      <c r="AB190" s="74"/>
      <c r="AD190" s="74"/>
    </row>
    <row r="191" spans="1:32" s="1" customFormat="1" hidden="1" outlineLevel="1" x14ac:dyDescent="0.45">
      <c r="A191" s="2"/>
      <c r="B191" s="51"/>
      <c r="C191" s="51"/>
      <c r="D191" s="51"/>
      <c r="E191" s="51"/>
      <c r="F191" s="51"/>
      <c r="G191" s="51"/>
      <c r="H191" s="80"/>
      <c r="I191" s="51"/>
      <c r="J191" s="51"/>
      <c r="K191" s="51"/>
      <c r="L191" s="51"/>
      <c r="M191" s="51"/>
      <c r="N191" s="81"/>
      <c r="O191" s="51"/>
      <c r="P191" s="51"/>
      <c r="Q191" s="51"/>
      <c r="R191" s="51"/>
      <c r="S191" s="81"/>
      <c r="T191" s="51"/>
      <c r="U191" s="51"/>
      <c r="V191" s="51">
        <f t="shared" si="23"/>
        <v>0</v>
      </c>
      <c r="W191" s="2"/>
      <c r="Y191" s="74"/>
      <c r="AB191" s="74"/>
      <c r="AD191" s="74"/>
    </row>
    <row r="192" spans="1:32" s="1" customFormat="1" hidden="1" outlineLevel="1" x14ac:dyDescent="0.45">
      <c r="A192" s="2"/>
      <c r="B192" s="51"/>
      <c r="C192" s="51"/>
      <c r="D192" s="51"/>
      <c r="E192" s="51"/>
      <c r="F192" s="51"/>
      <c r="G192" s="51"/>
      <c r="H192" s="80"/>
      <c r="I192" s="51"/>
      <c r="J192" s="51"/>
      <c r="K192" s="51"/>
      <c r="L192" s="51"/>
      <c r="M192" s="51"/>
      <c r="N192" s="81"/>
      <c r="O192" s="51"/>
      <c r="P192" s="51"/>
      <c r="Q192" s="51"/>
      <c r="R192" s="51"/>
      <c r="S192" s="81"/>
      <c r="T192" s="51"/>
      <c r="U192" s="51"/>
      <c r="V192" s="51">
        <f t="shared" si="23"/>
        <v>0</v>
      </c>
      <c r="W192" s="2"/>
      <c r="Y192" s="74"/>
      <c r="AB192" s="74"/>
      <c r="AD192" s="74"/>
    </row>
    <row r="193" spans="1:39" s="1" customFormat="1" hidden="1" outlineLevel="1" x14ac:dyDescent="0.45">
      <c r="A193" s="2"/>
      <c r="B193" s="51"/>
      <c r="C193" s="51"/>
      <c r="D193" s="51"/>
      <c r="E193" s="51"/>
      <c r="F193" s="51"/>
      <c r="G193" s="51"/>
      <c r="H193" s="80"/>
      <c r="I193" s="51"/>
      <c r="J193" s="51"/>
      <c r="K193" s="51"/>
      <c r="L193" s="51"/>
      <c r="M193" s="51"/>
      <c r="N193" s="81"/>
      <c r="O193" s="51"/>
      <c r="P193" s="51"/>
      <c r="Q193" s="51"/>
      <c r="R193" s="51"/>
      <c r="S193" s="81"/>
      <c r="T193" s="51"/>
      <c r="U193" s="51"/>
      <c r="V193" s="51">
        <f t="shared" si="23"/>
        <v>0</v>
      </c>
      <c r="W193" s="2"/>
      <c r="Y193" s="74"/>
      <c r="AB193" s="74"/>
      <c r="AD193" s="74"/>
    </row>
    <row r="194" spans="1:39" ht="15.75" hidden="1" customHeight="1" outlineLevel="1" thickBot="1" x14ac:dyDescent="0.5">
      <c r="A194" s="2"/>
      <c r="B194" s="75"/>
      <c r="C194" s="75"/>
      <c r="D194" s="76"/>
      <c r="E194" s="76"/>
      <c r="F194" s="76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2"/>
      <c r="R194" s="77"/>
      <c r="S194" s="77"/>
      <c r="T194" s="77"/>
      <c r="U194" s="2"/>
      <c r="V194" s="77"/>
      <c r="W194" s="78"/>
      <c r="Y194" s="74"/>
      <c r="Z194" s="6"/>
      <c r="AA194" s="13"/>
      <c r="AB194" s="74"/>
      <c r="AC194" s="6"/>
      <c r="AD194" s="74"/>
      <c r="AE194" s="6"/>
      <c r="AF194" s="6"/>
      <c r="AG194" s="6"/>
      <c r="AH194" s="6"/>
      <c r="AI194" s="6"/>
      <c r="AM194" s="14"/>
    </row>
    <row r="195" spans="1:39" s="1" customFormat="1" ht="12.75" customHeight="1" x14ac:dyDescent="0.4">
      <c r="A195" s="126">
        <v>15</v>
      </c>
      <c r="B195" s="128" t="s">
        <v>214</v>
      </c>
      <c r="C195" s="128" t="s">
        <v>32</v>
      </c>
      <c r="D195" s="137"/>
      <c r="E195" s="90"/>
      <c r="F195" s="92"/>
      <c r="G195" s="72">
        <f t="shared" ref="G195:U195" si="24">SUM(G197:G206)</f>
        <v>0</v>
      </c>
      <c r="H195" s="72">
        <f t="shared" si="24"/>
        <v>0</v>
      </c>
      <c r="I195" s="72">
        <f t="shared" si="24"/>
        <v>0</v>
      </c>
      <c r="J195" s="72">
        <f t="shared" si="24"/>
        <v>0</v>
      </c>
      <c r="K195" s="72">
        <f t="shared" si="24"/>
        <v>0</v>
      </c>
      <c r="L195" s="72">
        <f t="shared" si="24"/>
        <v>0</v>
      </c>
      <c r="M195" s="72">
        <f t="shared" si="24"/>
        <v>0</v>
      </c>
      <c r="N195" s="72">
        <f t="shared" si="24"/>
        <v>0</v>
      </c>
      <c r="O195" s="72">
        <f t="shared" si="24"/>
        <v>0</v>
      </c>
      <c r="P195" s="72">
        <f t="shared" si="24"/>
        <v>0</v>
      </c>
      <c r="Q195" s="72">
        <f t="shared" si="24"/>
        <v>0</v>
      </c>
      <c r="R195" s="72">
        <f t="shared" si="24"/>
        <v>0</v>
      </c>
      <c r="S195" s="72">
        <f t="shared" si="24"/>
        <v>0</v>
      </c>
      <c r="T195" s="72">
        <f t="shared" si="24"/>
        <v>0</v>
      </c>
      <c r="U195" s="72">
        <f t="shared" si="24"/>
        <v>0</v>
      </c>
      <c r="V195" s="72">
        <f>SUM(V197:V206)</f>
        <v>0</v>
      </c>
      <c r="W195" s="149">
        <f>V195+V196</f>
        <v>0</v>
      </c>
      <c r="Y195" s="74"/>
      <c r="AB195" s="74"/>
      <c r="AD195" s="74"/>
    </row>
    <row r="196" spans="1:39" s="1" customFormat="1" ht="12.9" collapsed="1" thickBot="1" x14ac:dyDescent="0.45">
      <c r="A196" s="127"/>
      <c r="B196" s="129"/>
      <c r="C196" s="129"/>
      <c r="D196" s="138"/>
      <c r="E196" s="91"/>
      <c r="F196" s="93"/>
      <c r="G196" s="73">
        <f>SUM(G208:G225)</f>
        <v>0</v>
      </c>
      <c r="H196" s="79">
        <f>SUM(H208:H225)</f>
        <v>0</v>
      </c>
      <c r="I196" s="79">
        <f>SUM(I208:I225)</f>
        <v>0</v>
      </c>
      <c r="J196" s="73">
        <f t="shared" ref="J196:Q196" si="25">SUM(J208:J225)</f>
        <v>0</v>
      </c>
      <c r="K196" s="73">
        <f t="shared" si="25"/>
        <v>0</v>
      </c>
      <c r="L196" s="73">
        <f t="shared" si="25"/>
        <v>0</v>
      </c>
      <c r="M196" s="73">
        <f t="shared" si="25"/>
        <v>0</v>
      </c>
      <c r="N196" s="73">
        <f t="shared" si="25"/>
        <v>0</v>
      </c>
      <c r="O196" s="73">
        <f t="shared" si="25"/>
        <v>0</v>
      </c>
      <c r="P196" s="73">
        <f t="shared" si="25"/>
        <v>0</v>
      </c>
      <c r="Q196" s="73">
        <f t="shared" si="25"/>
        <v>0</v>
      </c>
      <c r="R196" s="73">
        <f>SUM(R208:R225)</f>
        <v>0</v>
      </c>
      <c r="S196" s="73">
        <f>SUM(S208:S225)</f>
        <v>0</v>
      </c>
      <c r="T196" s="73">
        <f>SUM(T208:T225)</f>
        <v>0</v>
      </c>
      <c r="U196" s="73">
        <f>SUM(U208:U225)</f>
        <v>0</v>
      </c>
      <c r="V196" s="73">
        <f>SUM(V208:V225)</f>
        <v>0</v>
      </c>
      <c r="W196" s="150"/>
      <c r="Y196" s="74"/>
      <c r="Z196" s="74"/>
      <c r="AB196" s="74"/>
      <c r="AD196" s="74"/>
    </row>
    <row r="197" spans="1:39" s="1" customFormat="1" hidden="1" outlineLevel="1" x14ac:dyDescent="0.45">
      <c r="A197" s="2"/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>
        <f>SUM(G197:U197)</f>
        <v>0</v>
      </c>
      <c r="W197" s="2"/>
      <c r="Y197" s="74"/>
      <c r="AB197" s="74"/>
      <c r="AD197" s="74"/>
    </row>
    <row r="198" spans="1:39" s="1" customFormat="1" hidden="1" outlineLevel="1" x14ac:dyDescent="0.45">
      <c r="A198" s="2"/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>
        <f>SUM(G198:U198)</f>
        <v>0</v>
      </c>
      <c r="W198" s="2"/>
      <c r="Y198" s="74"/>
      <c r="AB198" s="74"/>
      <c r="AD198" s="74"/>
    </row>
    <row r="199" spans="1:39" s="1" customFormat="1" hidden="1" outlineLevel="1" x14ac:dyDescent="0.45">
      <c r="A199" s="2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>
        <f t="shared" ref="V199:V206" si="26">SUM(G199:U199)</f>
        <v>0</v>
      </c>
      <c r="W199" s="2"/>
      <c r="Y199" s="74"/>
      <c r="AB199" s="74"/>
      <c r="AD199" s="74"/>
    </row>
    <row r="200" spans="1:39" s="1" customFormat="1" hidden="1" outlineLevel="1" x14ac:dyDescent="0.45">
      <c r="A200" s="2"/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>
        <f t="shared" si="26"/>
        <v>0</v>
      </c>
      <c r="W200" s="2"/>
      <c r="Y200" s="74"/>
      <c r="AB200" s="74"/>
      <c r="AD200" s="74"/>
    </row>
    <row r="201" spans="1:39" s="1" customFormat="1" hidden="1" outlineLevel="1" x14ac:dyDescent="0.45">
      <c r="A201" s="2"/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>
        <f t="shared" si="26"/>
        <v>0</v>
      </c>
      <c r="W201" s="2"/>
      <c r="Y201" s="74"/>
      <c r="AB201" s="74"/>
      <c r="AD201" s="74"/>
    </row>
    <row r="202" spans="1:39" s="1" customFormat="1" hidden="1" outlineLevel="1" x14ac:dyDescent="0.45">
      <c r="A202" s="2"/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>
        <f t="shared" si="26"/>
        <v>0</v>
      </c>
      <c r="W202" s="2"/>
      <c r="Y202" s="74"/>
      <c r="AB202" s="74"/>
      <c r="AD202" s="74"/>
    </row>
    <row r="203" spans="1:39" s="1" customFormat="1" hidden="1" outlineLevel="1" x14ac:dyDescent="0.45">
      <c r="A203" s="2"/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>
        <f t="shared" si="26"/>
        <v>0</v>
      </c>
      <c r="W203" s="2"/>
      <c r="Y203" s="74"/>
      <c r="AB203" s="74"/>
      <c r="AD203" s="74"/>
    </row>
    <row r="204" spans="1:39" s="1" customFormat="1" hidden="1" outlineLevel="1" x14ac:dyDescent="0.45">
      <c r="A204" s="2"/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>
        <f t="shared" si="26"/>
        <v>0</v>
      </c>
      <c r="W204" s="2"/>
      <c r="Y204" s="74"/>
      <c r="AB204" s="74"/>
      <c r="AD204" s="74"/>
    </row>
    <row r="205" spans="1:39" s="1" customFormat="1" hidden="1" outlineLevel="1" x14ac:dyDescent="0.45">
      <c r="A205" s="2"/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>
        <f t="shared" si="26"/>
        <v>0</v>
      </c>
      <c r="W205" s="2"/>
      <c r="Y205" s="74"/>
      <c r="AB205" s="74"/>
      <c r="AD205" s="74"/>
    </row>
    <row r="206" spans="1:39" s="1" customFormat="1" hidden="1" outlineLevel="1" x14ac:dyDescent="0.45">
      <c r="A206" s="2"/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>
        <f t="shared" si="26"/>
        <v>0</v>
      </c>
      <c r="W206" s="2"/>
      <c r="Y206" s="74"/>
      <c r="AB206" s="74"/>
      <c r="AD206" s="74"/>
    </row>
    <row r="207" spans="1:39" s="1" customFormat="1" hidden="1" outlineLevel="1" x14ac:dyDescent="0.45">
      <c r="A207" s="2"/>
      <c r="B207" s="166" t="s">
        <v>29</v>
      </c>
      <c r="C207" s="166"/>
      <c r="D207" s="166"/>
      <c r="E207" s="166"/>
      <c r="F207" s="166"/>
      <c r="G207" s="166"/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6"/>
      <c r="U207" s="166"/>
      <c r="V207" s="104"/>
      <c r="W207" s="2"/>
      <c r="Y207" s="74"/>
      <c r="AB207" s="74"/>
      <c r="AD207" s="74"/>
    </row>
    <row r="208" spans="1:39" s="1" customFormat="1" hidden="1" outlineLevel="1" x14ac:dyDescent="0.45">
      <c r="A208" s="2"/>
      <c r="B208" s="82"/>
      <c r="C208" s="51"/>
      <c r="D208" s="51"/>
      <c r="E208" s="51"/>
      <c r="F208" s="51"/>
      <c r="G208" s="20"/>
      <c r="H208" s="21"/>
      <c r="I208" s="21"/>
      <c r="J208" s="102"/>
      <c r="K208" s="51"/>
      <c r="L208" s="32"/>
      <c r="M208" s="22"/>
      <c r="N208" s="51"/>
      <c r="O208" s="81"/>
      <c r="P208" s="22"/>
      <c r="Q208" s="51"/>
      <c r="R208" s="51"/>
      <c r="S208" s="51"/>
      <c r="T208" s="51"/>
      <c r="U208" s="51"/>
      <c r="V208" s="51">
        <f t="shared" ref="V208:V224" si="27">SUM(G208:U208)</f>
        <v>0</v>
      </c>
      <c r="W208" s="2"/>
      <c r="Y208" s="74"/>
      <c r="AB208" s="74"/>
      <c r="AD208" s="74"/>
    </row>
    <row r="209" spans="1:30" s="1" customFormat="1" hidden="1" outlineLevel="1" x14ac:dyDescent="0.45">
      <c r="A209" s="2"/>
      <c r="B209" s="82"/>
      <c r="C209" s="51"/>
      <c r="D209" s="51"/>
      <c r="E209" s="51"/>
      <c r="F209" s="51"/>
      <c r="G209" s="20"/>
      <c r="H209" s="21"/>
      <c r="I209" s="21"/>
      <c r="J209" s="102"/>
      <c r="K209" s="51"/>
      <c r="L209" s="32"/>
      <c r="M209" s="22"/>
      <c r="N209" s="51"/>
      <c r="O209" s="81"/>
      <c r="P209" s="22"/>
      <c r="Q209" s="51"/>
      <c r="R209" s="51"/>
      <c r="S209" s="51"/>
      <c r="T209" s="51"/>
      <c r="U209" s="51"/>
      <c r="V209" s="51">
        <f t="shared" si="27"/>
        <v>0</v>
      </c>
      <c r="W209" s="2"/>
      <c r="Y209" s="74"/>
      <c r="AB209" s="74"/>
      <c r="AD209" s="74"/>
    </row>
    <row r="210" spans="1:30" s="1" customFormat="1" hidden="1" outlineLevel="1" x14ac:dyDescent="0.45">
      <c r="A210" s="2"/>
      <c r="B210" s="82"/>
      <c r="C210" s="51"/>
      <c r="D210" s="51"/>
      <c r="E210" s="51"/>
      <c r="F210" s="51"/>
      <c r="G210" s="20"/>
      <c r="H210" s="21"/>
      <c r="I210" s="21"/>
      <c r="J210" s="102"/>
      <c r="K210" s="51"/>
      <c r="L210" s="32"/>
      <c r="M210" s="22"/>
      <c r="N210" s="51"/>
      <c r="O210" s="81"/>
      <c r="P210" s="22"/>
      <c r="Q210" s="51"/>
      <c r="R210" s="51"/>
      <c r="S210" s="51"/>
      <c r="T210" s="51"/>
      <c r="U210" s="51"/>
      <c r="V210" s="51">
        <f t="shared" si="27"/>
        <v>0</v>
      </c>
      <c r="W210" s="2"/>
      <c r="Y210" s="74"/>
      <c r="AB210" s="74"/>
      <c r="AD210" s="74"/>
    </row>
    <row r="211" spans="1:30" s="1" customFormat="1" hidden="1" outlineLevel="1" x14ac:dyDescent="0.45">
      <c r="A211" s="2"/>
      <c r="B211" s="82"/>
      <c r="C211" s="51"/>
      <c r="D211" s="51"/>
      <c r="E211" s="51"/>
      <c r="F211" s="51"/>
      <c r="G211" s="20"/>
      <c r="H211" s="21"/>
      <c r="I211" s="21"/>
      <c r="J211" s="102"/>
      <c r="K211" s="51"/>
      <c r="L211" s="32"/>
      <c r="M211" s="22"/>
      <c r="N211" s="51"/>
      <c r="O211" s="81"/>
      <c r="P211" s="22"/>
      <c r="Q211" s="51"/>
      <c r="R211" s="51"/>
      <c r="S211" s="51"/>
      <c r="T211" s="51"/>
      <c r="U211" s="51"/>
      <c r="V211" s="51">
        <f t="shared" si="27"/>
        <v>0</v>
      </c>
      <c r="W211" s="2"/>
      <c r="Y211" s="74"/>
      <c r="AB211" s="74"/>
      <c r="AD211" s="74"/>
    </row>
    <row r="212" spans="1:30" s="1" customFormat="1" hidden="1" outlineLevel="1" x14ac:dyDescent="0.45">
      <c r="A212" s="2"/>
      <c r="B212" s="51"/>
      <c r="C212" s="51"/>
      <c r="D212" s="51"/>
      <c r="E212" s="51"/>
      <c r="F212" s="51"/>
      <c r="G212" s="51"/>
      <c r="H212" s="80"/>
      <c r="I212" s="51"/>
      <c r="J212" s="51"/>
      <c r="K212" s="51"/>
      <c r="L212" s="51"/>
      <c r="M212" s="51"/>
      <c r="N212" s="81"/>
      <c r="O212" s="51"/>
      <c r="P212" s="51"/>
      <c r="Q212" s="51"/>
      <c r="R212" s="51"/>
      <c r="S212" s="51"/>
      <c r="T212" s="51"/>
      <c r="U212" s="51"/>
      <c r="V212" s="51">
        <f t="shared" si="27"/>
        <v>0</v>
      </c>
      <c r="W212" s="2"/>
      <c r="Y212" s="74"/>
      <c r="AB212" s="74"/>
      <c r="AD212" s="74"/>
    </row>
    <row r="213" spans="1:30" s="1" customFormat="1" hidden="1" outlineLevel="1" x14ac:dyDescent="0.45">
      <c r="A213" s="2"/>
      <c r="B213" s="51"/>
      <c r="C213" s="51"/>
      <c r="D213" s="51"/>
      <c r="E213" s="51"/>
      <c r="F213" s="51"/>
      <c r="G213" s="51"/>
      <c r="H213" s="80"/>
      <c r="I213" s="51"/>
      <c r="J213" s="51"/>
      <c r="K213" s="51"/>
      <c r="L213" s="51"/>
      <c r="M213" s="51"/>
      <c r="N213" s="81"/>
      <c r="O213" s="51"/>
      <c r="P213" s="51"/>
      <c r="Q213" s="51"/>
      <c r="R213" s="51"/>
      <c r="S213" s="51"/>
      <c r="T213" s="51"/>
      <c r="U213" s="51"/>
      <c r="V213" s="51">
        <f t="shared" si="27"/>
        <v>0</v>
      </c>
      <c r="W213" s="2"/>
      <c r="Y213" s="74"/>
      <c r="AB213" s="74"/>
      <c r="AD213" s="74"/>
    </row>
    <row r="214" spans="1:30" s="1" customFormat="1" hidden="1" outlineLevel="1" x14ac:dyDescent="0.45">
      <c r="A214" s="2"/>
      <c r="B214" s="51"/>
      <c r="C214" s="51"/>
      <c r="D214" s="51"/>
      <c r="E214" s="51"/>
      <c r="F214" s="51"/>
      <c r="G214" s="51"/>
      <c r="H214" s="80"/>
      <c r="I214" s="51"/>
      <c r="J214" s="51"/>
      <c r="K214" s="51"/>
      <c r="L214" s="51"/>
      <c r="M214" s="51"/>
      <c r="N214" s="81"/>
      <c r="O214" s="51"/>
      <c r="P214" s="51"/>
      <c r="Q214" s="51"/>
      <c r="R214" s="51"/>
      <c r="S214" s="81"/>
      <c r="T214" s="51"/>
      <c r="U214" s="51"/>
      <c r="V214" s="51">
        <f t="shared" si="27"/>
        <v>0</v>
      </c>
      <c r="W214" s="2"/>
      <c r="Y214" s="74"/>
      <c r="AB214" s="74"/>
      <c r="AD214" s="74"/>
    </row>
    <row r="215" spans="1:30" s="1" customFormat="1" hidden="1" outlineLevel="1" x14ac:dyDescent="0.45">
      <c r="A215" s="2"/>
      <c r="B215" s="51"/>
      <c r="C215" s="51"/>
      <c r="D215" s="51"/>
      <c r="E215" s="51"/>
      <c r="F215" s="51"/>
      <c r="G215" s="51"/>
      <c r="H215" s="80"/>
      <c r="I215" s="51"/>
      <c r="J215" s="51"/>
      <c r="K215" s="51"/>
      <c r="L215" s="51"/>
      <c r="M215" s="51"/>
      <c r="N215" s="81"/>
      <c r="O215" s="51"/>
      <c r="P215" s="51"/>
      <c r="Q215" s="51"/>
      <c r="R215" s="51"/>
      <c r="S215" s="81"/>
      <c r="T215" s="51"/>
      <c r="U215" s="51"/>
      <c r="V215" s="51">
        <f t="shared" si="27"/>
        <v>0</v>
      </c>
      <c r="W215" s="2"/>
      <c r="Y215" s="74"/>
      <c r="AB215" s="74"/>
      <c r="AD215" s="74"/>
    </row>
    <row r="216" spans="1:30" s="1" customFormat="1" hidden="1" outlineLevel="1" x14ac:dyDescent="0.45">
      <c r="A216" s="2"/>
      <c r="B216" s="51"/>
      <c r="C216" s="51"/>
      <c r="D216" s="51"/>
      <c r="E216" s="51"/>
      <c r="F216" s="51"/>
      <c r="G216" s="51"/>
      <c r="H216" s="80"/>
      <c r="I216" s="51"/>
      <c r="J216" s="51"/>
      <c r="K216" s="51"/>
      <c r="L216" s="51"/>
      <c r="M216" s="51"/>
      <c r="N216" s="81"/>
      <c r="O216" s="51"/>
      <c r="P216" s="51"/>
      <c r="Q216" s="51"/>
      <c r="R216" s="51"/>
      <c r="S216" s="81"/>
      <c r="T216" s="51"/>
      <c r="U216" s="51"/>
      <c r="V216" s="51">
        <f t="shared" si="27"/>
        <v>0</v>
      </c>
      <c r="W216" s="2"/>
      <c r="Y216" s="74"/>
      <c r="AB216" s="74"/>
      <c r="AD216" s="74"/>
    </row>
    <row r="217" spans="1:30" s="1" customFormat="1" hidden="1" outlineLevel="1" x14ac:dyDescent="0.45">
      <c r="A217" s="2"/>
      <c r="B217" s="51"/>
      <c r="C217" s="51"/>
      <c r="D217" s="51"/>
      <c r="E217" s="51"/>
      <c r="F217" s="51"/>
      <c r="G217" s="51"/>
      <c r="H217" s="80"/>
      <c r="I217" s="51"/>
      <c r="J217" s="51"/>
      <c r="K217" s="51"/>
      <c r="L217" s="51"/>
      <c r="M217" s="51"/>
      <c r="N217" s="81"/>
      <c r="O217" s="51"/>
      <c r="P217" s="51"/>
      <c r="Q217" s="51"/>
      <c r="R217" s="51"/>
      <c r="S217" s="81"/>
      <c r="T217" s="51"/>
      <c r="U217" s="51"/>
      <c r="V217" s="51">
        <f t="shared" si="27"/>
        <v>0</v>
      </c>
      <c r="W217" s="2"/>
      <c r="Y217" s="74"/>
      <c r="AB217" s="74"/>
      <c r="AD217" s="74"/>
    </row>
    <row r="218" spans="1:30" s="1" customFormat="1" hidden="1" outlineLevel="1" x14ac:dyDescent="0.45">
      <c r="A218" s="2"/>
      <c r="B218" s="51"/>
      <c r="C218" s="51"/>
      <c r="D218" s="51"/>
      <c r="E218" s="51"/>
      <c r="F218" s="51"/>
      <c r="G218" s="51"/>
      <c r="H218" s="80"/>
      <c r="I218" s="51"/>
      <c r="J218" s="51"/>
      <c r="K218" s="51"/>
      <c r="L218" s="51"/>
      <c r="M218" s="51"/>
      <c r="N218" s="81"/>
      <c r="O218" s="51"/>
      <c r="P218" s="51"/>
      <c r="Q218" s="51"/>
      <c r="R218" s="51"/>
      <c r="S218" s="81"/>
      <c r="T218" s="51"/>
      <c r="U218" s="51"/>
      <c r="V218" s="51">
        <f t="shared" si="27"/>
        <v>0</v>
      </c>
      <c r="W218" s="2"/>
      <c r="Y218" s="74"/>
      <c r="AB218" s="74"/>
      <c r="AD218" s="74"/>
    </row>
    <row r="219" spans="1:30" s="1" customFormat="1" hidden="1" outlineLevel="1" x14ac:dyDescent="0.45">
      <c r="A219" s="2"/>
      <c r="B219" s="51"/>
      <c r="C219" s="51"/>
      <c r="D219" s="51"/>
      <c r="E219" s="51"/>
      <c r="F219" s="51"/>
      <c r="G219" s="51"/>
      <c r="H219" s="80"/>
      <c r="I219" s="51"/>
      <c r="J219" s="51"/>
      <c r="K219" s="51"/>
      <c r="L219" s="51"/>
      <c r="M219" s="51"/>
      <c r="N219" s="81"/>
      <c r="O219" s="51"/>
      <c r="P219" s="51"/>
      <c r="Q219" s="51"/>
      <c r="R219" s="51"/>
      <c r="S219" s="81"/>
      <c r="T219" s="51"/>
      <c r="U219" s="51"/>
      <c r="V219" s="51">
        <f t="shared" si="27"/>
        <v>0</v>
      </c>
      <c r="W219" s="2"/>
      <c r="Y219" s="74"/>
      <c r="AB219" s="74"/>
      <c r="AD219" s="74"/>
    </row>
    <row r="220" spans="1:30" s="1" customFormat="1" hidden="1" outlineLevel="1" x14ac:dyDescent="0.45">
      <c r="A220" s="2"/>
      <c r="B220" s="51"/>
      <c r="C220" s="51"/>
      <c r="D220" s="51"/>
      <c r="E220" s="51"/>
      <c r="F220" s="51"/>
      <c r="G220" s="51"/>
      <c r="H220" s="80"/>
      <c r="I220" s="51"/>
      <c r="J220" s="51"/>
      <c r="K220" s="51"/>
      <c r="L220" s="51"/>
      <c r="M220" s="51"/>
      <c r="N220" s="81"/>
      <c r="O220" s="51"/>
      <c r="P220" s="51"/>
      <c r="Q220" s="51"/>
      <c r="R220" s="51"/>
      <c r="S220" s="81"/>
      <c r="T220" s="51"/>
      <c r="U220" s="51"/>
      <c r="V220" s="51">
        <f t="shared" si="27"/>
        <v>0</v>
      </c>
      <c r="W220" s="2"/>
      <c r="Y220" s="74"/>
      <c r="AB220" s="74"/>
      <c r="AD220" s="74"/>
    </row>
    <row r="221" spans="1:30" s="1" customFormat="1" hidden="1" outlineLevel="1" x14ac:dyDescent="0.45">
      <c r="A221" s="2"/>
      <c r="B221" s="51"/>
      <c r="C221" s="51"/>
      <c r="D221" s="51"/>
      <c r="E221" s="51"/>
      <c r="F221" s="51"/>
      <c r="G221" s="51"/>
      <c r="H221" s="80"/>
      <c r="I221" s="51"/>
      <c r="J221" s="51"/>
      <c r="K221" s="51"/>
      <c r="L221" s="51"/>
      <c r="M221" s="51"/>
      <c r="N221" s="81"/>
      <c r="O221" s="51"/>
      <c r="P221" s="51"/>
      <c r="Q221" s="51"/>
      <c r="R221" s="51"/>
      <c r="S221" s="81"/>
      <c r="T221" s="51"/>
      <c r="U221" s="51"/>
      <c r="V221" s="51">
        <f t="shared" si="27"/>
        <v>0</v>
      </c>
      <c r="W221" s="2"/>
      <c r="Y221" s="74"/>
      <c r="AB221" s="74"/>
      <c r="AD221" s="74"/>
    </row>
    <row r="222" spans="1:30" s="1" customFormat="1" hidden="1" outlineLevel="1" x14ac:dyDescent="0.45">
      <c r="A222" s="2"/>
      <c r="B222" s="51"/>
      <c r="C222" s="51"/>
      <c r="D222" s="51"/>
      <c r="E222" s="51"/>
      <c r="F222" s="51"/>
      <c r="G222" s="51"/>
      <c r="H222" s="80"/>
      <c r="I222" s="51"/>
      <c r="J222" s="51"/>
      <c r="K222" s="51"/>
      <c r="L222" s="51"/>
      <c r="M222" s="51"/>
      <c r="N222" s="81"/>
      <c r="O222" s="51"/>
      <c r="P222" s="51"/>
      <c r="Q222" s="51"/>
      <c r="R222" s="51"/>
      <c r="S222" s="81"/>
      <c r="T222" s="51"/>
      <c r="U222" s="51"/>
      <c r="V222" s="51">
        <f t="shared" si="27"/>
        <v>0</v>
      </c>
      <c r="W222" s="2"/>
      <c r="Y222" s="74"/>
      <c r="AB222" s="74"/>
      <c r="AD222" s="74"/>
    </row>
    <row r="223" spans="1:30" s="1" customFormat="1" hidden="1" outlineLevel="1" x14ac:dyDescent="0.45">
      <c r="A223" s="2"/>
      <c r="B223" s="51"/>
      <c r="C223" s="51"/>
      <c r="D223" s="51"/>
      <c r="E223" s="51"/>
      <c r="F223" s="51"/>
      <c r="G223" s="51"/>
      <c r="H223" s="80"/>
      <c r="I223" s="51"/>
      <c r="J223" s="51"/>
      <c r="K223" s="51"/>
      <c r="L223" s="51"/>
      <c r="M223" s="51"/>
      <c r="N223" s="81"/>
      <c r="O223" s="51"/>
      <c r="P223" s="51"/>
      <c r="Q223" s="51"/>
      <c r="R223" s="51"/>
      <c r="S223" s="81"/>
      <c r="T223" s="51"/>
      <c r="U223" s="51"/>
      <c r="V223" s="51">
        <f t="shared" si="27"/>
        <v>0</v>
      </c>
      <c r="W223" s="2"/>
      <c r="Y223" s="74"/>
      <c r="AB223" s="74"/>
      <c r="AD223" s="74"/>
    </row>
    <row r="224" spans="1:30" s="1" customFormat="1" hidden="1" outlineLevel="1" x14ac:dyDescent="0.45">
      <c r="A224" s="2"/>
      <c r="B224" s="51"/>
      <c r="C224" s="51"/>
      <c r="D224" s="51"/>
      <c r="E224" s="51"/>
      <c r="F224" s="51"/>
      <c r="G224" s="51"/>
      <c r="H224" s="80"/>
      <c r="I224" s="51"/>
      <c r="J224" s="51"/>
      <c r="K224" s="51"/>
      <c r="L224" s="51"/>
      <c r="M224" s="51"/>
      <c r="N224" s="81"/>
      <c r="O224" s="51"/>
      <c r="P224" s="51"/>
      <c r="Q224" s="51"/>
      <c r="R224" s="51"/>
      <c r="S224" s="81"/>
      <c r="T224" s="51"/>
      <c r="U224" s="51"/>
      <c r="V224" s="51">
        <f t="shared" si="27"/>
        <v>0</v>
      </c>
      <c r="W224" s="2"/>
      <c r="Y224" s="74"/>
      <c r="AB224" s="74"/>
      <c r="AD224" s="74"/>
    </row>
    <row r="225" spans="1:39" ht="15.75" hidden="1" customHeight="1" outlineLevel="1" thickBot="1" x14ac:dyDescent="0.5">
      <c r="A225" s="2"/>
      <c r="B225" s="75"/>
      <c r="C225" s="75"/>
      <c r="D225" s="76"/>
      <c r="E225" s="76"/>
      <c r="F225" s="76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2"/>
      <c r="R225" s="77"/>
      <c r="S225" s="77"/>
      <c r="T225" s="77"/>
      <c r="U225" s="2"/>
      <c r="V225" s="77"/>
      <c r="W225" s="78"/>
      <c r="Y225" s="74"/>
      <c r="Z225" s="6"/>
      <c r="AA225" s="13"/>
      <c r="AB225" s="74"/>
      <c r="AC225" s="6"/>
      <c r="AD225" s="74"/>
      <c r="AE225" s="6"/>
      <c r="AF225" s="6"/>
      <c r="AG225" s="6"/>
      <c r="AH225" s="6"/>
      <c r="AI225" s="6"/>
      <c r="AM225" s="14"/>
    </row>
    <row r="226" spans="1:39" s="1" customFormat="1" ht="12.75" customHeight="1" x14ac:dyDescent="0.4">
      <c r="A226" s="126">
        <v>17</v>
      </c>
      <c r="B226" s="128" t="s">
        <v>203</v>
      </c>
      <c r="C226" s="128" t="s">
        <v>32</v>
      </c>
      <c r="D226" s="137" t="s">
        <v>12</v>
      </c>
      <c r="E226" s="90" t="s">
        <v>15</v>
      </c>
      <c r="F226" s="92">
        <v>0.25</v>
      </c>
      <c r="G226" s="72">
        <f t="shared" ref="G226:U226" si="28">SUM(G228:G237)</f>
        <v>68</v>
      </c>
      <c r="H226" s="72">
        <f t="shared" si="28"/>
        <v>204</v>
      </c>
      <c r="I226" s="72">
        <f t="shared" si="28"/>
        <v>0</v>
      </c>
      <c r="J226" s="72">
        <f t="shared" si="28"/>
        <v>7.5</v>
      </c>
      <c r="K226" s="72">
        <f t="shared" si="28"/>
        <v>0</v>
      </c>
      <c r="L226" s="72">
        <f t="shared" si="28"/>
        <v>0</v>
      </c>
      <c r="M226" s="72">
        <f t="shared" si="28"/>
        <v>0</v>
      </c>
      <c r="N226" s="72">
        <f t="shared" si="28"/>
        <v>0</v>
      </c>
      <c r="O226" s="72">
        <f t="shared" si="28"/>
        <v>26.25</v>
      </c>
      <c r="P226" s="72">
        <f t="shared" si="28"/>
        <v>0</v>
      </c>
      <c r="Q226" s="72">
        <f t="shared" si="28"/>
        <v>0</v>
      </c>
      <c r="R226" s="72">
        <f t="shared" si="28"/>
        <v>0</v>
      </c>
      <c r="S226" s="72">
        <f t="shared" si="28"/>
        <v>0</v>
      </c>
      <c r="T226" s="72">
        <f t="shared" si="28"/>
        <v>0</v>
      </c>
      <c r="U226" s="72">
        <f t="shared" si="28"/>
        <v>0</v>
      </c>
      <c r="V226" s="72">
        <f>SUM(V228:V237)</f>
        <v>305.75</v>
      </c>
      <c r="W226" s="149">
        <f>V226+V227</f>
        <v>507.95</v>
      </c>
      <c r="Y226" s="74"/>
      <c r="AB226" s="74"/>
      <c r="AD226" s="74"/>
    </row>
    <row r="227" spans="1:39" s="1" customFormat="1" ht="12.9" collapsed="1" thickBot="1" x14ac:dyDescent="0.45">
      <c r="A227" s="127"/>
      <c r="B227" s="129"/>
      <c r="C227" s="129"/>
      <c r="D227" s="138"/>
      <c r="E227" s="91"/>
      <c r="F227" s="93"/>
      <c r="G227" s="73">
        <f>SUM(G239:G256)</f>
        <v>34</v>
      </c>
      <c r="H227" s="79">
        <f>SUM(H239:H256)</f>
        <v>136</v>
      </c>
      <c r="I227" s="79">
        <f>SUM(I239:I256)</f>
        <v>0</v>
      </c>
      <c r="J227" s="73">
        <f t="shared" ref="J227:Q227" si="29">SUM(J239:J256)</f>
        <v>4.6999999999999993</v>
      </c>
      <c r="K227" s="73">
        <f t="shared" si="29"/>
        <v>0</v>
      </c>
      <c r="L227" s="73">
        <f t="shared" si="29"/>
        <v>0</v>
      </c>
      <c r="M227" s="73">
        <f t="shared" si="29"/>
        <v>4</v>
      </c>
      <c r="N227" s="73">
        <f t="shared" si="29"/>
        <v>0</v>
      </c>
      <c r="O227" s="73">
        <f t="shared" si="29"/>
        <v>0</v>
      </c>
      <c r="P227" s="73">
        <f t="shared" si="29"/>
        <v>23.5</v>
      </c>
      <c r="Q227" s="73">
        <f t="shared" si="29"/>
        <v>0</v>
      </c>
      <c r="R227" s="73">
        <f>SUM(R239:R256)</f>
        <v>0</v>
      </c>
      <c r="S227" s="73">
        <f>SUM(S239:S256)</f>
        <v>0</v>
      </c>
      <c r="T227" s="73">
        <f>SUM(T239:T256)</f>
        <v>0</v>
      </c>
      <c r="U227" s="73">
        <f>SUM(U239:U256)</f>
        <v>0</v>
      </c>
      <c r="V227" s="73">
        <f>SUM(V239:V256)</f>
        <v>202.2</v>
      </c>
      <c r="W227" s="150"/>
      <c r="Y227" s="74"/>
      <c r="Z227" s="74"/>
      <c r="AB227" s="74"/>
      <c r="AD227" s="74"/>
    </row>
    <row r="228" spans="1:39" s="1" customFormat="1" hidden="1" outlineLevel="1" x14ac:dyDescent="0.45">
      <c r="A228" t="s">
        <v>223</v>
      </c>
      <c r="B228" t="s">
        <v>182</v>
      </c>
      <c r="C228">
        <v>3</v>
      </c>
      <c r="D228"/>
      <c r="E228"/>
      <c r="F228"/>
      <c r="G228"/>
      <c r="H228">
        <v>68</v>
      </c>
      <c r="I228"/>
      <c r="J228">
        <v>2.5</v>
      </c>
      <c r="K228"/>
      <c r="L228"/>
      <c r="M228"/>
      <c r="N228"/>
      <c r="O228">
        <v>8.75</v>
      </c>
      <c r="P228"/>
      <c r="Q228"/>
      <c r="R228"/>
      <c r="S228"/>
      <c r="T228"/>
      <c r="U228"/>
      <c r="V228" s="51">
        <f>SUM(G228:U228)</f>
        <v>79.25</v>
      </c>
      <c r="W228" s="2"/>
      <c r="Y228" s="74"/>
      <c r="AB228" s="74"/>
      <c r="AD228" s="74"/>
    </row>
    <row r="229" spans="1:39" s="1" customFormat="1" hidden="1" outlineLevel="1" x14ac:dyDescent="0.45">
      <c r="A229" s="2" t="s">
        <v>223</v>
      </c>
      <c r="B229" s="51" t="s">
        <v>178</v>
      </c>
      <c r="C229" s="51">
        <v>3</v>
      </c>
      <c r="D229" s="51"/>
      <c r="E229" s="51"/>
      <c r="F229" s="51"/>
      <c r="G229" s="51">
        <v>34</v>
      </c>
      <c r="H229" s="51">
        <v>68</v>
      </c>
      <c r="I229" s="51"/>
      <c r="J229" s="51">
        <v>2.7</v>
      </c>
      <c r="K229" s="51"/>
      <c r="L229" s="51"/>
      <c r="M229" s="51"/>
      <c r="N229" s="51"/>
      <c r="O229" s="51">
        <v>9.4499999999999993</v>
      </c>
      <c r="P229" s="51"/>
      <c r="Q229" s="51"/>
      <c r="R229" s="51"/>
      <c r="S229" s="51"/>
      <c r="T229" s="51"/>
      <c r="U229" s="51"/>
      <c r="V229" s="51">
        <f>SUM(G229:U229)</f>
        <v>114.15</v>
      </c>
      <c r="W229" s="2"/>
      <c r="Y229" s="74"/>
      <c r="AB229" s="74"/>
      <c r="AD229" s="74"/>
    </row>
    <row r="230" spans="1:39" s="1" customFormat="1" hidden="1" outlineLevel="1" x14ac:dyDescent="0.45">
      <c r="A230" s="2" t="s">
        <v>223</v>
      </c>
      <c r="B230" s="51" t="s">
        <v>176</v>
      </c>
      <c r="C230" s="51">
        <v>2</v>
      </c>
      <c r="D230" s="51"/>
      <c r="E230" s="51"/>
      <c r="F230" s="51"/>
      <c r="G230" s="51">
        <v>34</v>
      </c>
      <c r="H230" s="51">
        <v>68</v>
      </c>
      <c r="I230" s="51"/>
      <c r="J230" s="51">
        <v>2.2999999999999998</v>
      </c>
      <c r="K230" s="51"/>
      <c r="L230" s="51"/>
      <c r="M230" s="51"/>
      <c r="N230" s="51"/>
      <c r="O230" s="51">
        <v>8.0500000000000007</v>
      </c>
      <c r="P230" s="51"/>
      <c r="Q230" s="51"/>
      <c r="R230" s="51"/>
      <c r="S230" s="51"/>
      <c r="T230" s="51"/>
      <c r="U230" s="51"/>
      <c r="V230" s="51">
        <f t="shared" ref="V230:V237" si="30">SUM(G230:U230)</f>
        <v>112.35</v>
      </c>
      <c r="W230" s="2"/>
      <c r="Y230" s="74"/>
      <c r="AB230" s="74"/>
      <c r="AD230" s="74"/>
    </row>
    <row r="231" spans="1:39" s="1" customFormat="1" hidden="1" outlineLevel="1" x14ac:dyDescent="0.45">
      <c r="A231" s="2"/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>
        <f t="shared" si="30"/>
        <v>0</v>
      </c>
      <c r="W231" s="2"/>
      <c r="Y231" s="74"/>
      <c r="AB231" s="74"/>
      <c r="AD231" s="74"/>
    </row>
    <row r="232" spans="1:39" s="1" customFormat="1" hidden="1" outlineLevel="1" x14ac:dyDescent="0.45">
      <c r="A232" s="2"/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>
        <f t="shared" si="30"/>
        <v>0</v>
      </c>
      <c r="W232" s="2"/>
      <c r="Y232" s="74"/>
      <c r="AB232" s="74"/>
      <c r="AD232" s="74"/>
    </row>
    <row r="233" spans="1:39" s="1" customFormat="1" hidden="1" outlineLevel="1" x14ac:dyDescent="0.45">
      <c r="A233" s="2"/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>
        <f t="shared" si="30"/>
        <v>0</v>
      </c>
      <c r="W233" s="2"/>
      <c r="Y233" s="74"/>
      <c r="AB233" s="74"/>
      <c r="AD233" s="74"/>
    </row>
    <row r="234" spans="1:39" s="1" customFormat="1" hidden="1" outlineLevel="1" x14ac:dyDescent="0.45">
      <c r="A234" s="2"/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>
        <f t="shared" si="30"/>
        <v>0</v>
      </c>
      <c r="W234" s="2"/>
      <c r="Y234" s="74"/>
      <c r="AB234" s="74"/>
      <c r="AD234" s="74"/>
    </row>
    <row r="235" spans="1:39" s="1" customFormat="1" hidden="1" outlineLevel="1" x14ac:dyDescent="0.45">
      <c r="A235" s="2"/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>
        <f t="shared" si="30"/>
        <v>0</v>
      </c>
      <c r="W235" s="2"/>
      <c r="Y235" s="74"/>
      <c r="AB235" s="74"/>
      <c r="AD235" s="74"/>
    </row>
    <row r="236" spans="1:39" s="1" customFormat="1" hidden="1" outlineLevel="1" x14ac:dyDescent="0.45">
      <c r="A236" s="2"/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>
        <f t="shared" si="30"/>
        <v>0</v>
      </c>
      <c r="W236" s="2"/>
      <c r="Y236" s="74"/>
      <c r="AB236" s="74"/>
      <c r="AD236" s="74"/>
    </row>
    <row r="237" spans="1:39" s="1" customFormat="1" hidden="1" outlineLevel="1" x14ac:dyDescent="0.45">
      <c r="A237" s="2"/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>
        <f t="shared" si="30"/>
        <v>0</v>
      </c>
      <c r="W237" s="2"/>
      <c r="Y237" s="74"/>
      <c r="AB237" s="74"/>
      <c r="AD237" s="74"/>
    </row>
    <row r="238" spans="1:39" s="1" customFormat="1" hidden="1" outlineLevel="1" x14ac:dyDescent="0.45">
      <c r="A238" s="2"/>
      <c r="B238" s="166" t="s">
        <v>29</v>
      </c>
      <c r="C238" s="166"/>
      <c r="D238" s="166"/>
      <c r="E238" s="166"/>
      <c r="F238" s="166"/>
      <c r="G238" s="166"/>
      <c r="H238" s="166"/>
      <c r="I238" s="166"/>
      <c r="J238" s="166"/>
      <c r="K238" s="166"/>
      <c r="L238" s="166"/>
      <c r="M238" s="166"/>
      <c r="N238" s="166"/>
      <c r="O238" s="166"/>
      <c r="P238" s="166"/>
      <c r="Q238" s="166"/>
      <c r="R238" s="166"/>
      <c r="S238" s="166"/>
      <c r="T238" s="166"/>
      <c r="U238" s="166"/>
      <c r="V238" s="104"/>
      <c r="W238" s="2"/>
      <c r="Y238" s="74"/>
      <c r="AB238" s="74"/>
      <c r="AD238" s="74"/>
    </row>
    <row r="239" spans="1:39" s="1" customFormat="1" ht="25.2" hidden="1" outlineLevel="1" x14ac:dyDescent="0.45">
      <c r="A239" s="2" t="s">
        <v>223</v>
      </c>
      <c r="B239" s="82" t="s">
        <v>192</v>
      </c>
      <c r="C239" s="51">
        <v>2</v>
      </c>
      <c r="D239" s="51"/>
      <c r="E239" s="51"/>
      <c r="F239" s="51"/>
      <c r="G239" s="20"/>
      <c r="H239" s="21">
        <v>68</v>
      </c>
      <c r="I239" s="21"/>
      <c r="J239" s="102">
        <v>2.4</v>
      </c>
      <c r="K239" s="51"/>
      <c r="L239" s="32"/>
      <c r="M239" s="22">
        <v>2</v>
      </c>
      <c r="N239" s="51"/>
      <c r="O239" s="81"/>
      <c r="P239" s="22">
        <v>12</v>
      </c>
      <c r="Q239" s="51"/>
      <c r="R239" s="51"/>
      <c r="S239" s="51"/>
      <c r="T239" s="51"/>
      <c r="U239" s="51"/>
      <c r="V239" s="51">
        <f t="shared" ref="V239:V255" si="31">SUM(G239:U239)</f>
        <v>84.4</v>
      </c>
      <c r="W239" s="2"/>
      <c r="Y239" s="74"/>
      <c r="AB239" s="74"/>
      <c r="AD239" s="74"/>
    </row>
    <row r="240" spans="1:39" s="1" customFormat="1" ht="25.2" hidden="1" outlineLevel="1" x14ac:dyDescent="0.45">
      <c r="A240" s="2" t="s">
        <v>223</v>
      </c>
      <c r="B240" s="82" t="s">
        <v>186</v>
      </c>
      <c r="C240" s="51">
        <v>2</v>
      </c>
      <c r="D240" s="51"/>
      <c r="E240" s="51"/>
      <c r="F240" s="51"/>
      <c r="G240" s="20">
        <v>34</v>
      </c>
      <c r="H240" s="21">
        <v>68</v>
      </c>
      <c r="I240" s="21"/>
      <c r="J240" s="102">
        <v>2.2999999999999998</v>
      </c>
      <c r="K240" s="51"/>
      <c r="L240" s="32"/>
      <c r="M240" s="22">
        <v>2</v>
      </c>
      <c r="N240" s="51"/>
      <c r="O240" s="81"/>
      <c r="P240" s="22">
        <v>11.5</v>
      </c>
      <c r="Q240" s="51"/>
      <c r="R240" s="51"/>
      <c r="S240" s="51"/>
      <c r="T240" s="51"/>
      <c r="U240" s="51"/>
      <c r="V240" s="51">
        <f t="shared" si="31"/>
        <v>117.8</v>
      </c>
      <c r="W240" s="2"/>
      <c r="Y240" s="74"/>
      <c r="AB240" s="74"/>
      <c r="AD240" s="74"/>
    </row>
    <row r="241" spans="1:39" s="1" customFormat="1" hidden="1" outlineLevel="1" x14ac:dyDescent="0.45">
      <c r="A241" s="2"/>
      <c r="B241" s="82"/>
      <c r="C241" s="51"/>
      <c r="D241" s="51"/>
      <c r="E241" s="51"/>
      <c r="F241" s="51"/>
      <c r="G241" s="20"/>
      <c r="H241" s="21"/>
      <c r="I241" s="21"/>
      <c r="J241" s="102"/>
      <c r="K241" s="51"/>
      <c r="L241" s="32"/>
      <c r="M241" s="22"/>
      <c r="N241" s="51"/>
      <c r="O241" s="81"/>
      <c r="P241" s="22"/>
      <c r="Q241" s="51"/>
      <c r="R241" s="51"/>
      <c r="S241" s="51"/>
      <c r="T241" s="51"/>
      <c r="U241" s="51"/>
      <c r="V241" s="51">
        <f t="shared" si="31"/>
        <v>0</v>
      </c>
      <c r="W241" s="2"/>
      <c r="Y241" s="74"/>
      <c r="AB241" s="74"/>
      <c r="AD241" s="74"/>
    </row>
    <row r="242" spans="1:39" s="1" customFormat="1" hidden="1" outlineLevel="1" x14ac:dyDescent="0.45">
      <c r="A242" s="2"/>
      <c r="B242" s="82"/>
      <c r="C242" s="51"/>
      <c r="D242" s="51"/>
      <c r="E242" s="51"/>
      <c r="F242" s="51"/>
      <c r="G242" s="20"/>
      <c r="H242" s="21"/>
      <c r="I242" s="21"/>
      <c r="J242" s="102"/>
      <c r="K242" s="51"/>
      <c r="L242" s="32"/>
      <c r="M242" s="22"/>
      <c r="N242" s="51"/>
      <c r="O242" s="81"/>
      <c r="P242" s="22"/>
      <c r="Q242" s="51"/>
      <c r="R242" s="51"/>
      <c r="S242" s="51"/>
      <c r="T242" s="51"/>
      <c r="U242" s="51"/>
      <c r="V242" s="51">
        <f t="shared" si="31"/>
        <v>0</v>
      </c>
      <c r="W242" s="2"/>
      <c r="Y242" s="74"/>
      <c r="AB242" s="74"/>
      <c r="AD242" s="74"/>
    </row>
    <row r="243" spans="1:39" s="1" customFormat="1" hidden="1" outlineLevel="1" x14ac:dyDescent="0.45">
      <c r="A243" s="2"/>
      <c r="B243" s="51"/>
      <c r="C243" s="51"/>
      <c r="D243" s="51"/>
      <c r="E243" s="51"/>
      <c r="F243" s="51"/>
      <c r="G243" s="51"/>
      <c r="H243" s="80"/>
      <c r="I243" s="51"/>
      <c r="J243" s="51"/>
      <c r="K243" s="51"/>
      <c r="L243" s="51"/>
      <c r="M243" s="51"/>
      <c r="N243" s="81"/>
      <c r="O243" s="51"/>
      <c r="P243" s="51"/>
      <c r="Q243" s="51"/>
      <c r="R243" s="51"/>
      <c r="S243" s="51"/>
      <c r="T243" s="51"/>
      <c r="U243" s="51"/>
      <c r="V243" s="51">
        <f t="shared" si="31"/>
        <v>0</v>
      </c>
      <c r="W243" s="2"/>
      <c r="Y243" s="74"/>
      <c r="AB243" s="74"/>
      <c r="AD243" s="74"/>
    </row>
    <row r="244" spans="1:39" s="1" customFormat="1" hidden="1" outlineLevel="1" x14ac:dyDescent="0.45">
      <c r="A244" s="2"/>
      <c r="B244" s="51"/>
      <c r="C244" s="51"/>
      <c r="D244" s="51"/>
      <c r="E244" s="51"/>
      <c r="F244" s="51"/>
      <c r="G244" s="51"/>
      <c r="H244" s="80"/>
      <c r="I244" s="51"/>
      <c r="J244" s="51"/>
      <c r="K244" s="51"/>
      <c r="L244" s="51"/>
      <c r="M244" s="51"/>
      <c r="N244" s="81"/>
      <c r="O244" s="51"/>
      <c r="P244" s="51"/>
      <c r="Q244" s="51"/>
      <c r="R244" s="51"/>
      <c r="S244" s="51"/>
      <c r="T244" s="51"/>
      <c r="U244" s="51"/>
      <c r="V244" s="51">
        <f t="shared" si="31"/>
        <v>0</v>
      </c>
      <c r="W244" s="2"/>
      <c r="Y244" s="74"/>
      <c r="AB244" s="74"/>
      <c r="AD244" s="74"/>
    </row>
    <row r="245" spans="1:39" s="1" customFormat="1" hidden="1" outlineLevel="1" x14ac:dyDescent="0.45">
      <c r="A245" s="2"/>
      <c r="B245" s="51"/>
      <c r="C245" s="51"/>
      <c r="D245" s="51"/>
      <c r="E245" s="51"/>
      <c r="F245" s="51"/>
      <c r="G245" s="51"/>
      <c r="H245" s="80"/>
      <c r="I245" s="51"/>
      <c r="J245" s="51"/>
      <c r="K245" s="51"/>
      <c r="L245" s="51"/>
      <c r="M245" s="51"/>
      <c r="N245" s="81"/>
      <c r="O245" s="51"/>
      <c r="P245" s="51"/>
      <c r="Q245" s="51"/>
      <c r="R245" s="51"/>
      <c r="S245" s="81"/>
      <c r="T245" s="51"/>
      <c r="U245" s="51"/>
      <c r="V245" s="51">
        <f t="shared" si="31"/>
        <v>0</v>
      </c>
      <c r="W245" s="2"/>
      <c r="Y245" s="74"/>
      <c r="AB245" s="74"/>
      <c r="AD245" s="74"/>
    </row>
    <row r="246" spans="1:39" s="1" customFormat="1" hidden="1" outlineLevel="1" x14ac:dyDescent="0.45">
      <c r="A246" s="2"/>
      <c r="B246" s="51"/>
      <c r="C246" s="51"/>
      <c r="D246" s="51"/>
      <c r="E246" s="51"/>
      <c r="F246" s="51"/>
      <c r="G246" s="51"/>
      <c r="H246" s="80"/>
      <c r="I246" s="51"/>
      <c r="J246" s="51"/>
      <c r="K246" s="51"/>
      <c r="L246" s="51"/>
      <c r="M246" s="51"/>
      <c r="N246" s="81"/>
      <c r="O246" s="51"/>
      <c r="P246" s="51"/>
      <c r="Q246" s="51"/>
      <c r="R246" s="51"/>
      <c r="S246" s="81"/>
      <c r="T246" s="51"/>
      <c r="U246" s="51"/>
      <c r="V246" s="51">
        <f t="shared" si="31"/>
        <v>0</v>
      </c>
      <c r="W246" s="2"/>
      <c r="Y246" s="74"/>
      <c r="AB246" s="74"/>
      <c r="AD246" s="74"/>
    </row>
    <row r="247" spans="1:39" s="1" customFormat="1" hidden="1" outlineLevel="1" x14ac:dyDescent="0.45">
      <c r="A247" s="2"/>
      <c r="B247" s="51"/>
      <c r="C247" s="51"/>
      <c r="D247" s="51"/>
      <c r="E247" s="51"/>
      <c r="F247" s="51"/>
      <c r="G247" s="51"/>
      <c r="H247" s="80"/>
      <c r="I247" s="51"/>
      <c r="J247" s="51"/>
      <c r="K247" s="51"/>
      <c r="L247" s="51"/>
      <c r="M247" s="51"/>
      <c r="N247" s="81"/>
      <c r="O247" s="51"/>
      <c r="P247" s="51"/>
      <c r="Q247" s="51"/>
      <c r="R247" s="51"/>
      <c r="S247" s="81"/>
      <c r="T247" s="51"/>
      <c r="U247" s="51"/>
      <c r="V247" s="51">
        <f t="shared" si="31"/>
        <v>0</v>
      </c>
      <c r="W247" s="2"/>
      <c r="Y247" s="74"/>
      <c r="AB247" s="74"/>
      <c r="AD247" s="74"/>
    </row>
    <row r="248" spans="1:39" s="1" customFormat="1" hidden="1" outlineLevel="1" x14ac:dyDescent="0.45">
      <c r="A248" s="2"/>
      <c r="B248" s="51"/>
      <c r="C248" s="51"/>
      <c r="D248" s="51"/>
      <c r="E248" s="51"/>
      <c r="F248" s="51"/>
      <c r="G248" s="51"/>
      <c r="H248" s="80"/>
      <c r="I248" s="51"/>
      <c r="J248" s="51"/>
      <c r="K248" s="51"/>
      <c r="L248" s="51"/>
      <c r="M248" s="51"/>
      <c r="N248" s="81"/>
      <c r="O248" s="51"/>
      <c r="P248" s="51"/>
      <c r="Q248" s="51"/>
      <c r="R248" s="51"/>
      <c r="S248" s="81"/>
      <c r="T248" s="51"/>
      <c r="U248" s="51"/>
      <c r="V248" s="51">
        <f t="shared" si="31"/>
        <v>0</v>
      </c>
      <c r="W248" s="2"/>
      <c r="Y248" s="74"/>
      <c r="AB248" s="74"/>
      <c r="AD248" s="74"/>
    </row>
    <row r="249" spans="1:39" s="1" customFormat="1" hidden="1" outlineLevel="1" x14ac:dyDescent="0.45">
      <c r="A249" s="2"/>
      <c r="B249" s="51"/>
      <c r="C249" s="51"/>
      <c r="D249" s="51"/>
      <c r="E249" s="51"/>
      <c r="F249" s="51"/>
      <c r="G249" s="51"/>
      <c r="H249" s="80"/>
      <c r="I249" s="51"/>
      <c r="J249" s="51"/>
      <c r="K249" s="51"/>
      <c r="L249" s="51"/>
      <c r="M249" s="51"/>
      <c r="N249" s="81"/>
      <c r="O249" s="51"/>
      <c r="P249" s="51"/>
      <c r="Q249" s="51"/>
      <c r="R249" s="51"/>
      <c r="S249" s="81"/>
      <c r="T249" s="51"/>
      <c r="U249" s="51"/>
      <c r="V249" s="51">
        <f t="shared" si="31"/>
        <v>0</v>
      </c>
      <c r="W249" s="2"/>
      <c r="Y249" s="74"/>
      <c r="AB249" s="74"/>
      <c r="AD249" s="74"/>
    </row>
    <row r="250" spans="1:39" s="1" customFormat="1" hidden="1" outlineLevel="1" x14ac:dyDescent="0.45">
      <c r="A250" s="2"/>
      <c r="B250" s="51"/>
      <c r="C250" s="51"/>
      <c r="D250" s="51"/>
      <c r="E250" s="51"/>
      <c r="F250" s="51"/>
      <c r="G250" s="51"/>
      <c r="H250" s="80"/>
      <c r="I250" s="51"/>
      <c r="J250" s="51"/>
      <c r="K250" s="51"/>
      <c r="L250" s="51"/>
      <c r="M250" s="51"/>
      <c r="N250" s="81"/>
      <c r="O250" s="51"/>
      <c r="P250" s="51"/>
      <c r="Q250" s="51"/>
      <c r="R250" s="51"/>
      <c r="S250" s="81"/>
      <c r="T250" s="51"/>
      <c r="U250" s="51"/>
      <c r="V250" s="51">
        <f t="shared" si="31"/>
        <v>0</v>
      </c>
      <c r="W250" s="2"/>
      <c r="Y250" s="74"/>
      <c r="AB250" s="74"/>
      <c r="AD250" s="74"/>
    </row>
    <row r="251" spans="1:39" s="1" customFormat="1" hidden="1" outlineLevel="1" x14ac:dyDescent="0.45">
      <c r="A251" s="2"/>
      <c r="B251" s="51"/>
      <c r="C251" s="51"/>
      <c r="D251" s="51"/>
      <c r="E251" s="51"/>
      <c r="F251" s="51"/>
      <c r="G251" s="51"/>
      <c r="H251" s="80"/>
      <c r="I251" s="51"/>
      <c r="J251" s="51"/>
      <c r="K251" s="51"/>
      <c r="L251" s="51"/>
      <c r="M251" s="51"/>
      <c r="N251" s="81"/>
      <c r="O251" s="51"/>
      <c r="P251" s="51"/>
      <c r="Q251" s="51"/>
      <c r="R251" s="51"/>
      <c r="S251" s="81"/>
      <c r="T251" s="51"/>
      <c r="U251" s="51"/>
      <c r="V251" s="51">
        <f t="shared" si="31"/>
        <v>0</v>
      </c>
      <c r="W251" s="2"/>
      <c r="Y251" s="74"/>
      <c r="AB251" s="74"/>
      <c r="AD251" s="74"/>
    </row>
    <row r="252" spans="1:39" s="1" customFormat="1" hidden="1" outlineLevel="1" x14ac:dyDescent="0.45">
      <c r="A252" s="2"/>
      <c r="B252" s="51"/>
      <c r="C252" s="51"/>
      <c r="D252" s="51"/>
      <c r="E252" s="51"/>
      <c r="F252" s="51"/>
      <c r="G252" s="51"/>
      <c r="H252" s="80"/>
      <c r="I252" s="51"/>
      <c r="J252" s="51"/>
      <c r="K252" s="51"/>
      <c r="L252" s="51"/>
      <c r="M252" s="51"/>
      <c r="N252" s="81"/>
      <c r="O252" s="51"/>
      <c r="P252" s="51"/>
      <c r="Q252" s="51"/>
      <c r="R252" s="51"/>
      <c r="S252" s="81"/>
      <c r="T252" s="51"/>
      <c r="U252" s="51"/>
      <c r="V252" s="51">
        <f t="shared" si="31"/>
        <v>0</v>
      </c>
      <c r="W252" s="2"/>
      <c r="Y252" s="74"/>
      <c r="AB252" s="74"/>
      <c r="AD252" s="74"/>
    </row>
    <row r="253" spans="1:39" s="1" customFormat="1" hidden="1" outlineLevel="1" x14ac:dyDescent="0.45">
      <c r="A253" s="2"/>
      <c r="B253" s="51"/>
      <c r="C253" s="51"/>
      <c r="D253" s="51"/>
      <c r="E253" s="51"/>
      <c r="F253" s="51"/>
      <c r="G253" s="51"/>
      <c r="H253" s="80"/>
      <c r="I253" s="51"/>
      <c r="J253" s="51"/>
      <c r="K253" s="51"/>
      <c r="L253" s="51"/>
      <c r="M253" s="51"/>
      <c r="N253" s="81"/>
      <c r="O253" s="51"/>
      <c r="P253" s="51"/>
      <c r="Q253" s="51"/>
      <c r="R253" s="51"/>
      <c r="S253" s="81"/>
      <c r="T253" s="51"/>
      <c r="U253" s="51"/>
      <c r="V253" s="51">
        <f t="shared" si="31"/>
        <v>0</v>
      </c>
      <c r="W253" s="2"/>
      <c r="Y253" s="74"/>
      <c r="AB253" s="74"/>
      <c r="AD253" s="74"/>
    </row>
    <row r="254" spans="1:39" s="1" customFormat="1" hidden="1" outlineLevel="1" x14ac:dyDescent="0.45">
      <c r="A254" s="2"/>
      <c r="B254" s="51"/>
      <c r="C254" s="51"/>
      <c r="D254" s="51"/>
      <c r="E254" s="51"/>
      <c r="F254" s="51"/>
      <c r="G254" s="51"/>
      <c r="H254" s="80"/>
      <c r="I254" s="51"/>
      <c r="J254" s="51"/>
      <c r="K254" s="51"/>
      <c r="L254" s="51"/>
      <c r="M254" s="51"/>
      <c r="N254" s="81"/>
      <c r="O254" s="51"/>
      <c r="P254" s="51"/>
      <c r="Q254" s="51"/>
      <c r="R254" s="51"/>
      <c r="S254" s="81"/>
      <c r="T254" s="51"/>
      <c r="U254" s="51"/>
      <c r="V254" s="51">
        <f t="shared" si="31"/>
        <v>0</v>
      </c>
      <c r="W254" s="2"/>
      <c r="Y254" s="74"/>
      <c r="AB254" s="74"/>
      <c r="AD254" s="74"/>
    </row>
    <row r="255" spans="1:39" s="1" customFormat="1" hidden="1" outlineLevel="1" x14ac:dyDescent="0.45">
      <c r="A255" s="2"/>
      <c r="B255" s="51"/>
      <c r="C255" s="51"/>
      <c r="D255" s="51"/>
      <c r="E255" s="51"/>
      <c r="F255" s="51"/>
      <c r="G255" s="51"/>
      <c r="H255" s="80"/>
      <c r="I255" s="51"/>
      <c r="J255" s="51"/>
      <c r="K255" s="51"/>
      <c r="L255" s="51"/>
      <c r="M255" s="51"/>
      <c r="N255" s="81"/>
      <c r="O255" s="51"/>
      <c r="P255" s="51"/>
      <c r="Q255" s="51"/>
      <c r="R255" s="51"/>
      <c r="S255" s="81"/>
      <c r="T255" s="51"/>
      <c r="U255" s="51"/>
      <c r="V255" s="51">
        <f t="shared" si="31"/>
        <v>0</v>
      </c>
      <c r="W255" s="2"/>
      <c r="Y255" s="74"/>
      <c r="AB255" s="74"/>
      <c r="AD255" s="74"/>
    </row>
    <row r="256" spans="1:39" ht="15.75" hidden="1" customHeight="1" outlineLevel="1" thickBot="1" x14ac:dyDescent="0.5">
      <c r="A256" s="2"/>
      <c r="B256" s="75"/>
      <c r="C256" s="75"/>
      <c r="D256" s="76"/>
      <c r="E256" s="76"/>
      <c r="F256" s="76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2"/>
      <c r="R256" s="77"/>
      <c r="S256" s="77"/>
      <c r="T256" s="77"/>
      <c r="U256" s="2"/>
      <c r="V256" s="77"/>
      <c r="W256" s="78"/>
      <c r="Y256" s="74"/>
      <c r="Z256" s="6"/>
      <c r="AA256" s="13"/>
      <c r="AB256" s="74"/>
      <c r="AC256" s="6"/>
      <c r="AD256" s="74"/>
      <c r="AE256" s="6"/>
      <c r="AF256" s="6"/>
      <c r="AG256" s="6"/>
      <c r="AH256" s="6"/>
      <c r="AI256" s="6"/>
      <c r="AM256" s="14"/>
    </row>
    <row r="257" spans="1:30" s="1" customFormat="1" ht="12.75" customHeight="1" x14ac:dyDescent="0.4">
      <c r="A257" s="126">
        <v>18</v>
      </c>
      <c r="B257" s="128" t="s">
        <v>204</v>
      </c>
      <c r="C257" s="128" t="s">
        <v>32</v>
      </c>
      <c r="D257" s="137" t="s">
        <v>12</v>
      </c>
      <c r="E257" s="90" t="s">
        <v>15</v>
      </c>
      <c r="F257" s="92">
        <v>0.25</v>
      </c>
      <c r="G257" s="72">
        <f t="shared" ref="G257:U257" si="32">SUM(G259:G268)</f>
        <v>0</v>
      </c>
      <c r="H257" s="72">
        <f t="shared" si="32"/>
        <v>0</v>
      </c>
      <c r="I257" s="72">
        <f t="shared" si="32"/>
        <v>0</v>
      </c>
      <c r="J257" s="72">
        <f t="shared" si="32"/>
        <v>0</v>
      </c>
      <c r="K257" s="72">
        <f t="shared" si="32"/>
        <v>0</v>
      </c>
      <c r="L257" s="72">
        <f t="shared" si="32"/>
        <v>0</v>
      </c>
      <c r="M257" s="72">
        <f t="shared" si="32"/>
        <v>0</v>
      </c>
      <c r="N257" s="72">
        <f t="shared" si="32"/>
        <v>0</v>
      </c>
      <c r="O257" s="72">
        <f t="shared" si="32"/>
        <v>0</v>
      </c>
      <c r="P257" s="72">
        <f t="shared" si="32"/>
        <v>0</v>
      </c>
      <c r="Q257" s="72">
        <f t="shared" si="32"/>
        <v>0</v>
      </c>
      <c r="R257" s="72">
        <f t="shared" si="32"/>
        <v>0</v>
      </c>
      <c r="S257" s="72">
        <f t="shared" si="32"/>
        <v>0</v>
      </c>
      <c r="T257" s="72">
        <f t="shared" si="32"/>
        <v>0</v>
      </c>
      <c r="U257" s="72">
        <f t="shared" si="32"/>
        <v>0</v>
      </c>
      <c r="V257" s="72">
        <f>SUM(V259:V268)</f>
        <v>0</v>
      </c>
      <c r="W257" s="149">
        <f>V257+V258</f>
        <v>279.8</v>
      </c>
      <c r="Y257" s="74"/>
      <c r="AB257" s="74"/>
      <c r="AD257" s="74"/>
    </row>
    <row r="258" spans="1:30" s="1" customFormat="1" ht="12.9" collapsed="1" thickBot="1" x14ac:dyDescent="0.45">
      <c r="A258" s="127"/>
      <c r="B258" s="129"/>
      <c r="C258" s="129"/>
      <c r="D258" s="138"/>
      <c r="E258" s="91"/>
      <c r="F258" s="93"/>
      <c r="G258" s="73">
        <f>SUM(G270:G287)</f>
        <v>32</v>
      </c>
      <c r="H258" s="79">
        <f>SUM(H270:H287)</f>
        <v>224</v>
      </c>
      <c r="I258" s="79">
        <f>SUM(I270:I287)</f>
        <v>0</v>
      </c>
      <c r="J258" s="73">
        <f t="shared" ref="J258:Q258" si="33">SUM(J270:J287)</f>
        <v>3.3</v>
      </c>
      <c r="K258" s="73">
        <f t="shared" si="33"/>
        <v>0</v>
      </c>
      <c r="L258" s="73">
        <f t="shared" si="33"/>
        <v>0</v>
      </c>
      <c r="M258" s="73">
        <f t="shared" si="33"/>
        <v>4</v>
      </c>
      <c r="N258" s="73">
        <f t="shared" si="33"/>
        <v>0</v>
      </c>
      <c r="O258" s="73">
        <f t="shared" si="33"/>
        <v>0</v>
      </c>
      <c r="P258" s="73">
        <f t="shared" si="33"/>
        <v>16.5</v>
      </c>
      <c r="Q258" s="73">
        <f t="shared" si="33"/>
        <v>0</v>
      </c>
      <c r="R258" s="73">
        <f>SUM(R270:R287)</f>
        <v>0</v>
      </c>
      <c r="S258" s="73">
        <f>SUM(S270:S287)</f>
        <v>0</v>
      </c>
      <c r="T258" s="73">
        <f>SUM(T270:T287)</f>
        <v>0</v>
      </c>
      <c r="U258" s="73">
        <f>SUM(U270:U287)</f>
        <v>0</v>
      </c>
      <c r="V258" s="73">
        <f>SUM(V270:V287)</f>
        <v>279.8</v>
      </c>
      <c r="W258" s="150"/>
      <c r="Y258" s="74"/>
      <c r="Z258" s="74"/>
      <c r="AB258" s="74"/>
      <c r="AD258" s="74"/>
    </row>
    <row r="259" spans="1:30" s="1" customFormat="1" hidden="1" outlineLevel="1" x14ac:dyDescent="0.45">
      <c r="A259" s="2"/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>
        <f>SUM(G259:U259)</f>
        <v>0</v>
      </c>
      <c r="W259" s="2"/>
      <c r="Y259" s="74"/>
      <c r="AB259" s="74"/>
      <c r="AD259" s="74"/>
    </row>
    <row r="260" spans="1:30" s="1" customFormat="1" hidden="1" outlineLevel="1" x14ac:dyDescent="0.45">
      <c r="A260" s="2"/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>
        <f>SUM(G260:U260)</f>
        <v>0</v>
      </c>
      <c r="W260" s="2"/>
      <c r="Y260" s="74"/>
      <c r="AB260" s="74"/>
      <c r="AD260" s="74"/>
    </row>
    <row r="261" spans="1:30" s="1" customFormat="1" hidden="1" outlineLevel="1" x14ac:dyDescent="0.45">
      <c r="A261" s="2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>
        <f t="shared" ref="V261:V268" si="34">SUM(G261:U261)</f>
        <v>0</v>
      </c>
      <c r="W261" s="2"/>
      <c r="Y261" s="74"/>
      <c r="AB261" s="74"/>
      <c r="AD261" s="74"/>
    </row>
    <row r="262" spans="1:30" s="1" customFormat="1" hidden="1" outlineLevel="1" x14ac:dyDescent="0.45">
      <c r="A262" s="2"/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>
        <f t="shared" si="34"/>
        <v>0</v>
      </c>
      <c r="W262" s="2"/>
      <c r="Y262" s="74"/>
      <c r="AB262" s="74"/>
      <c r="AD262" s="74"/>
    </row>
    <row r="263" spans="1:30" s="1" customFormat="1" hidden="1" outlineLevel="1" x14ac:dyDescent="0.45">
      <c r="A263" s="2"/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>
        <f t="shared" si="34"/>
        <v>0</v>
      </c>
      <c r="W263" s="2"/>
      <c r="Y263" s="74"/>
      <c r="AB263" s="74"/>
      <c r="AD263" s="74"/>
    </row>
    <row r="264" spans="1:30" s="1" customFormat="1" hidden="1" outlineLevel="1" x14ac:dyDescent="0.45">
      <c r="A264" s="2"/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>
        <f t="shared" si="34"/>
        <v>0</v>
      </c>
      <c r="W264" s="2"/>
      <c r="Y264" s="74"/>
      <c r="AB264" s="74"/>
      <c r="AD264" s="74"/>
    </row>
    <row r="265" spans="1:30" s="1" customFormat="1" hidden="1" outlineLevel="1" x14ac:dyDescent="0.45">
      <c r="A265" s="2"/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>
        <f t="shared" si="34"/>
        <v>0</v>
      </c>
      <c r="W265" s="2"/>
      <c r="Y265" s="74"/>
      <c r="AB265" s="74"/>
      <c r="AD265" s="74"/>
    </row>
    <row r="266" spans="1:30" s="1" customFormat="1" hidden="1" outlineLevel="1" x14ac:dyDescent="0.45">
      <c r="A266" s="2"/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>
        <f t="shared" si="34"/>
        <v>0</v>
      </c>
      <c r="W266" s="2"/>
      <c r="Y266" s="74"/>
      <c r="AB266" s="74"/>
      <c r="AD266" s="74"/>
    </row>
    <row r="267" spans="1:30" s="1" customFormat="1" hidden="1" outlineLevel="1" x14ac:dyDescent="0.45">
      <c r="A267" s="2"/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>
        <f t="shared" si="34"/>
        <v>0</v>
      </c>
      <c r="W267" s="2"/>
      <c r="Y267" s="74"/>
      <c r="AB267" s="74"/>
      <c r="AD267" s="74"/>
    </row>
    <row r="268" spans="1:30" s="1" customFormat="1" hidden="1" outlineLevel="1" x14ac:dyDescent="0.45">
      <c r="A268" s="2"/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>
        <f t="shared" si="34"/>
        <v>0</v>
      </c>
      <c r="W268" s="2"/>
      <c r="Y268" s="74"/>
      <c r="AB268" s="74"/>
      <c r="AD268" s="74"/>
    </row>
    <row r="269" spans="1:30" s="1" customFormat="1" hidden="1" outlineLevel="1" x14ac:dyDescent="0.45">
      <c r="A269" s="2"/>
      <c r="B269" s="166" t="s">
        <v>29</v>
      </c>
      <c r="C269" s="166"/>
      <c r="D269" s="166"/>
      <c r="E269" s="166"/>
      <c r="F269" s="166"/>
      <c r="G269" s="166"/>
      <c r="H269" s="166"/>
      <c r="I269" s="166"/>
      <c r="J269" s="166"/>
      <c r="K269" s="166"/>
      <c r="L269" s="166"/>
      <c r="M269" s="166"/>
      <c r="N269" s="166"/>
      <c r="O269" s="166"/>
      <c r="P269" s="166"/>
      <c r="Q269" s="166"/>
      <c r="R269" s="166"/>
      <c r="S269" s="166"/>
      <c r="T269" s="166"/>
      <c r="U269" s="166"/>
      <c r="V269" s="104"/>
      <c r="W269" s="2"/>
      <c r="Y269" s="74"/>
      <c r="AB269" s="74"/>
      <c r="AD269" s="74"/>
    </row>
    <row r="270" spans="1:30" s="1" customFormat="1" ht="50.4" hidden="1" outlineLevel="1" x14ac:dyDescent="0.45">
      <c r="A270" s="2" t="s">
        <v>223</v>
      </c>
      <c r="B270" s="82" t="s">
        <v>189</v>
      </c>
      <c r="C270" s="51">
        <v>4</v>
      </c>
      <c r="D270" s="51"/>
      <c r="E270" s="51"/>
      <c r="F270" s="51"/>
      <c r="G270" s="20">
        <v>32</v>
      </c>
      <c r="H270" s="21">
        <v>112</v>
      </c>
      <c r="I270" s="21"/>
      <c r="J270" s="102">
        <v>1.6</v>
      </c>
      <c r="K270" s="51"/>
      <c r="L270" s="32"/>
      <c r="M270" s="22">
        <v>2</v>
      </c>
      <c r="N270" s="51"/>
      <c r="O270" s="81"/>
      <c r="P270" s="22">
        <v>8</v>
      </c>
      <c r="Q270" s="51"/>
      <c r="R270" s="51"/>
      <c r="S270" s="51"/>
      <c r="T270" s="51"/>
      <c r="U270" s="51"/>
      <c r="V270" s="51">
        <f t="shared" ref="V270:V286" si="35">SUM(G270:U270)</f>
        <v>155.6</v>
      </c>
      <c r="W270" s="2"/>
      <c r="Y270" s="74"/>
      <c r="AB270" s="74"/>
      <c r="AD270" s="74"/>
    </row>
    <row r="271" spans="1:30" s="1" customFormat="1" ht="25.2" hidden="1" outlineLevel="1" x14ac:dyDescent="0.45">
      <c r="A271" s="2" t="s">
        <v>223</v>
      </c>
      <c r="B271" s="82" t="s">
        <v>194</v>
      </c>
      <c r="C271" s="51">
        <v>4</v>
      </c>
      <c r="D271" s="51"/>
      <c r="E271" s="51"/>
      <c r="F271" s="51"/>
      <c r="G271" s="20"/>
      <c r="H271" s="21">
        <v>112</v>
      </c>
      <c r="I271" s="21"/>
      <c r="J271" s="102">
        <v>1.7</v>
      </c>
      <c r="K271" s="51"/>
      <c r="L271" s="32"/>
      <c r="M271" s="22">
        <v>2</v>
      </c>
      <c r="N271" s="51"/>
      <c r="O271" s="81"/>
      <c r="P271" s="22">
        <v>8.5</v>
      </c>
      <c r="Q271" s="51"/>
      <c r="R271" s="51"/>
      <c r="S271" s="51"/>
      <c r="T271" s="51"/>
      <c r="U271" s="51"/>
      <c r="V271" s="51">
        <f t="shared" si="35"/>
        <v>124.2</v>
      </c>
      <c r="W271" s="2"/>
      <c r="Y271" s="74"/>
      <c r="AB271" s="74"/>
      <c r="AD271" s="74"/>
    </row>
    <row r="272" spans="1:30" s="1" customFormat="1" hidden="1" outlineLevel="1" x14ac:dyDescent="0.45">
      <c r="A272" s="2"/>
      <c r="B272" s="82"/>
      <c r="C272" s="51"/>
      <c r="D272" s="51"/>
      <c r="E272" s="51"/>
      <c r="F272" s="51"/>
      <c r="G272" s="20"/>
      <c r="H272" s="21"/>
      <c r="I272" s="21"/>
      <c r="J272" s="102"/>
      <c r="K272" s="51"/>
      <c r="L272" s="32"/>
      <c r="M272" s="22"/>
      <c r="N272" s="51"/>
      <c r="O272" s="81"/>
      <c r="P272" s="22"/>
      <c r="Q272" s="51"/>
      <c r="R272" s="51"/>
      <c r="S272" s="51"/>
      <c r="T272" s="51"/>
      <c r="U272" s="51"/>
      <c r="V272" s="51">
        <f t="shared" si="35"/>
        <v>0</v>
      </c>
      <c r="W272" s="2"/>
      <c r="Y272" s="74"/>
      <c r="AB272" s="74"/>
      <c r="AD272" s="74"/>
    </row>
    <row r="273" spans="1:39" s="1" customFormat="1" hidden="1" outlineLevel="1" x14ac:dyDescent="0.45">
      <c r="A273" s="2"/>
      <c r="B273" s="82"/>
      <c r="C273" s="51"/>
      <c r="D273" s="51"/>
      <c r="E273" s="51"/>
      <c r="F273" s="51"/>
      <c r="G273" s="20"/>
      <c r="H273" s="21"/>
      <c r="I273" s="21"/>
      <c r="J273" s="102"/>
      <c r="K273" s="51"/>
      <c r="L273" s="32"/>
      <c r="M273" s="22"/>
      <c r="N273" s="51"/>
      <c r="O273" s="81"/>
      <c r="P273" s="22"/>
      <c r="Q273" s="51"/>
      <c r="R273" s="51"/>
      <c r="S273" s="51"/>
      <c r="T273" s="51"/>
      <c r="U273" s="51"/>
      <c r="V273" s="51">
        <f t="shared" si="35"/>
        <v>0</v>
      </c>
      <c r="W273" s="2"/>
      <c r="Y273" s="74"/>
      <c r="AB273" s="74"/>
      <c r="AD273" s="74"/>
    </row>
    <row r="274" spans="1:39" s="1" customFormat="1" hidden="1" outlineLevel="1" x14ac:dyDescent="0.45">
      <c r="A274" s="2"/>
      <c r="B274" s="51"/>
      <c r="C274" s="51"/>
      <c r="D274" s="51"/>
      <c r="E274" s="51"/>
      <c r="F274" s="51"/>
      <c r="G274" s="51"/>
      <c r="H274" s="80"/>
      <c r="I274" s="51"/>
      <c r="J274" s="51"/>
      <c r="K274" s="51"/>
      <c r="L274" s="51"/>
      <c r="M274" s="51"/>
      <c r="N274" s="81"/>
      <c r="O274" s="51"/>
      <c r="P274" s="51"/>
      <c r="Q274" s="51"/>
      <c r="R274" s="51"/>
      <c r="S274" s="51"/>
      <c r="T274" s="51"/>
      <c r="U274" s="51"/>
      <c r="V274" s="51">
        <f t="shared" si="35"/>
        <v>0</v>
      </c>
      <c r="W274" s="2"/>
      <c r="Y274" s="74"/>
      <c r="AB274" s="74"/>
      <c r="AD274" s="74"/>
    </row>
    <row r="275" spans="1:39" s="1" customFormat="1" hidden="1" outlineLevel="1" x14ac:dyDescent="0.45">
      <c r="A275" s="2"/>
      <c r="B275" s="51"/>
      <c r="C275" s="51"/>
      <c r="D275" s="51"/>
      <c r="E275" s="51"/>
      <c r="F275" s="51"/>
      <c r="G275" s="51"/>
      <c r="H275" s="80"/>
      <c r="I275" s="51"/>
      <c r="J275" s="51"/>
      <c r="K275" s="51"/>
      <c r="L275" s="51"/>
      <c r="M275" s="51"/>
      <c r="N275" s="81"/>
      <c r="O275" s="51"/>
      <c r="P275" s="51"/>
      <c r="Q275" s="51"/>
      <c r="R275" s="51"/>
      <c r="S275" s="51"/>
      <c r="T275" s="51"/>
      <c r="U275" s="51"/>
      <c r="V275" s="51">
        <f t="shared" si="35"/>
        <v>0</v>
      </c>
      <c r="W275" s="2"/>
      <c r="Y275" s="74"/>
      <c r="AB275" s="74"/>
      <c r="AD275" s="74"/>
    </row>
    <row r="276" spans="1:39" s="1" customFormat="1" hidden="1" outlineLevel="1" x14ac:dyDescent="0.45">
      <c r="A276" s="2"/>
      <c r="B276" s="51"/>
      <c r="C276" s="51"/>
      <c r="D276" s="51"/>
      <c r="E276" s="51"/>
      <c r="F276" s="51"/>
      <c r="G276" s="51"/>
      <c r="H276" s="80"/>
      <c r="I276" s="51"/>
      <c r="J276" s="51"/>
      <c r="K276" s="51"/>
      <c r="L276" s="51"/>
      <c r="M276" s="51"/>
      <c r="N276" s="81"/>
      <c r="O276" s="51"/>
      <c r="P276" s="51"/>
      <c r="Q276" s="51"/>
      <c r="R276" s="51"/>
      <c r="S276" s="81"/>
      <c r="T276" s="51"/>
      <c r="U276" s="51"/>
      <c r="V276" s="51">
        <f t="shared" si="35"/>
        <v>0</v>
      </c>
      <c r="W276" s="2"/>
      <c r="Y276" s="74"/>
      <c r="AB276" s="74"/>
      <c r="AD276" s="74"/>
    </row>
    <row r="277" spans="1:39" s="1" customFormat="1" hidden="1" outlineLevel="1" x14ac:dyDescent="0.45">
      <c r="A277" s="2"/>
      <c r="B277" s="51"/>
      <c r="C277" s="51"/>
      <c r="D277" s="51"/>
      <c r="E277" s="51"/>
      <c r="F277" s="51"/>
      <c r="G277" s="51"/>
      <c r="H277" s="80"/>
      <c r="I277" s="51"/>
      <c r="J277" s="51"/>
      <c r="K277" s="51"/>
      <c r="L277" s="51"/>
      <c r="M277" s="51"/>
      <c r="N277" s="81"/>
      <c r="O277" s="51"/>
      <c r="P277" s="51"/>
      <c r="Q277" s="51"/>
      <c r="R277" s="51"/>
      <c r="S277" s="81"/>
      <c r="T277" s="51"/>
      <c r="U277" s="51"/>
      <c r="V277" s="51">
        <f t="shared" si="35"/>
        <v>0</v>
      </c>
      <c r="W277" s="2"/>
      <c r="Y277" s="74"/>
      <c r="AB277" s="74"/>
      <c r="AD277" s="74"/>
    </row>
    <row r="278" spans="1:39" s="1" customFormat="1" hidden="1" outlineLevel="1" x14ac:dyDescent="0.45">
      <c r="A278" s="2"/>
      <c r="B278" s="51"/>
      <c r="C278" s="51"/>
      <c r="D278" s="51"/>
      <c r="E278" s="51"/>
      <c r="F278" s="51"/>
      <c r="G278" s="51"/>
      <c r="H278" s="80"/>
      <c r="I278" s="51"/>
      <c r="J278" s="51"/>
      <c r="K278" s="51"/>
      <c r="L278" s="51"/>
      <c r="M278" s="51"/>
      <c r="N278" s="81"/>
      <c r="O278" s="51"/>
      <c r="P278" s="51"/>
      <c r="Q278" s="51"/>
      <c r="R278" s="51"/>
      <c r="S278" s="81"/>
      <c r="T278" s="51"/>
      <c r="U278" s="51"/>
      <c r="V278" s="51">
        <f t="shared" si="35"/>
        <v>0</v>
      </c>
      <c r="W278" s="2"/>
      <c r="Y278" s="74"/>
      <c r="AB278" s="74"/>
      <c r="AD278" s="74"/>
    </row>
    <row r="279" spans="1:39" s="1" customFormat="1" hidden="1" outlineLevel="1" x14ac:dyDescent="0.45">
      <c r="A279" s="2"/>
      <c r="B279" s="51"/>
      <c r="C279" s="51"/>
      <c r="D279" s="51"/>
      <c r="E279" s="51"/>
      <c r="F279" s="51"/>
      <c r="G279" s="51"/>
      <c r="H279" s="80"/>
      <c r="I279" s="51"/>
      <c r="J279" s="51"/>
      <c r="K279" s="51"/>
      <c r="L279" s="51"/>
      <c r="M279" s="51"/>
      <c r="N279" s="81"/>
      <c r="O279" s="51"/>
      <c r="P279" s="51"/>
      <c r="Q279" s="51"/>
      <c r="R279" s="51"/>
      <c r="S279" s="81"/>
      <c r="T279" s="51"/>
      <c r="U279" s="51"/>
      <c r="V279" s="51">
        <f t="shared" si="35"/>
        <v>0</v>
      </c>
      <c r="W279" s="2"/>
      <c r="Y279" s="74"/>
      <c r="AB279" s="74"/>
      <c r="AD279" s="74"/>
    </row>
    <row r="280" spans="1:39" s="1" customFormat="1" hidden="1" outlineLevel="1" x14ac:dyDescent="0.45">
      <c r="A280" s="2"/>
      <c r="B280" s="51"/>
      <c r="C280" s="51"/>
      <c r="D280" s="51"/>
      <c r="E280" s="51"/>
      <c r="F280" s="51"/>
      <c r="G280" s="51"/>
      <c r="H280" s="80"/>
      <c r="I280" s="51"/>
      <c r="J280" s="51"/>
      <c r="K280" s="51"/>
      <c r="L280" s="51"/>
      <c r="M280" s="51"/>
      <c r="N280" s="81"/>
      <c r="O280" s="51"/>
      <c r="P280" s="51"/>
      <c r="Q280" s="51"/>
      <c r="R280" s="51"/>
      <c r="S280" s="81"/>
      <c r="T280" s="51"/>
      <c r="U280" s="51"/>
      <c r="V280" s="51">
        <f t="shared" si="35"/>
        <v>0</v>
      </c>
      <c r="W280" s="2"/>
      <c r="Y280" s="74"/>
      <c r="AB280" s="74"/>
      <c r="AD280" s="74"/>
    </row>
    <row r="281" spans="1:39" s="1" customFormat="1" hidden="1" outlineLevel="1" x14ac:dyDescent="0.45">
      <c r="A281" s="2"/>
      <c r="B281" s="51"/>
      <c r="C281" s="51"/>
      <c r="D281" s="51"/>
      <c r="E281" s="51"/>
      <c r="F281" s="51"/>
      <c r="G281" s="51"/>
      <c r="H281" s="80"/>
      <c r="I281" s="51"/>
      <c r="J281" s="51"/>
      <c r="K281" s="51"/>
      <c r="L281" s="51"/>
      <c r="M281" s="51"/>
      <c r="N281" s="81"/>
      <c r="O281" s="51"/>
      <c r="P281" s="51"/>
      <c r="Q281" s="51"/>
      <c r="R281" s="51"/>
      <c r="S281" s="81"/>
      <c r="T281" s="51"/>
      <c r="U281" s="51"/>
      <c r="V281" s="51">
        <f t="shared" si="35"/>
        <v>0</v>
      </c>
      <c r="W281" s="2"/>
      <c r="Y281" s="74"/>
      <c r="AB281" s="74"/>
      <c r="AD281" s="74"/>
    </row>
    <row r="282" spans="1:39" s="1" customFormat="1" hidden="1" outlineLevel="1" x14ac:dyDescent="0.45">
      <c r="A282" s="2"/>
      <c r="B282" s="51"/>
      <c r="C282" s="51"/>
      <c r="D282" s="51"/>
      <c r="E282" s="51"/>
      <c r="F282" s="51"/>
      <c r="G282" s="51"/>
      <c r="H282" s="80"/>
      <c r="I282" s="51"/>
      <c r="J282" s="51"/>
      <c r="K282" s="51"/>
      <c r="L282" s="51"/>
      <c r="M282" s="51"/>
      <c r="N282" s="81"/>
      <c r="O282" s="51"/>
      <c r="P282" s="51"/>
      <c r="Q282" s="51"/>
      <c r="R282" s="51"/>
      <c r="S282" s="81"/>
      <c r="T282" s="51"/>
      <c r="U282" s="51"/>
      <c r="V282" s="51">
        <f t="shared" si="35"/>
        <v>0</v>
      </c>
      <c r="W282" s="2"/>
      <c r="Y282" s="74"/>
      <c r="AB282" s="74"/>
      <c r="AD282" s="74"/>
    </row>
    <row r="283" spans="1:39" s="1" customFormat="1" hidden="1" outlineLevel="1" x14ac:dyDescent="0.45">
      <c r="A283" s="2"/>
      <c r="B283" s="51"/>
      <c r="C283" s="51"/>
      <c r="D283" s="51"/>
      <c r="E283" s="51"/>
      <c r="F283" s="51"/>
      <c r="G283" s="51"/>
      <c r="H283" s="80"/>
      <c r="I283" s="51"/>
      <c r="J283" s="51"/>
      <c r="K283" s="51"/>
      <c r="L283" s="51"/>
      <c r="M283" s="51"/>
      <c r="N283" s="81"/>
      <c r="O283" s="51"/>
      <c r="P283" s="51"/>
      <c r="Q283" s="51"/>
      <c r="R283" s="51"/>
      <c r="S283" s="81"/>
      <c r="T283" s="51"/>
      <c r="U283" s="51"/>
      <c r="V283" s="51">
        <f t="shared" si="35"/>
        <v>0</v>
      </c>
      <c r="W283" s="2"/>
      <c r="Y283" s="74"/>
      <c r="AB283" s="74"/>
      <c r="AD283" s="74"/>
    </row>
    <row r="284" spans="1:39" s="1" customFormat="1" hidden="1" outlineLevel="1" x14ac:dyDescent="0.45">
      <c r="A284" s="2"/>
      <c r="B284" s="51"/>
      <c r="C284" s="51"/>
      <c r="D284" s="51"/>
      <c r="E284" s="51"/>
      <c r="F284" s="51"/>
      <c r="G284" s="51"/>
      <c r="H284" s="80"/>
      <c r="I284" s="51"/>
      <c r="J284" s="51"/>
      <c r="K284" s="51"/>
      <c r="L284" s="51"/>
      <c r="M284" s="51"/>
      <c r="N284" s="81"/>
      <c r="O284" s="51"/>
      <c r="P284" s="51"/>
      <c r="Q284" s="51"/>
      <c r="R284" s="51"/>
      <c r="S284" s="81"/>
      <c r="T284" s="51"/>
      <c r="U284" s="51"/>
      <c r="V284" s="51">
        <f t="shared" si="35"/>
        <v>0</v>
      </c>
      <c r="W284" s="2"/>
      <c r="Y284" s="74"/>
      <c r="AB284" s="74"/>
      <c r="AD284" s="74"/>
    </row>
    <row r="285" spans="1:39" s="1" customFormat="1" hidden="1" outlineLevel="1" x14ac:dyDescent="0.45">
      <c r="A285" s="2"/>
      <c r="B285" s="51"/>
      <c r="C285" s="51"/>
      <c r="D285" s="51"/>
      <c r="E285" s="51"/>
      <c r="F285" s="51"/>
      <c r="G285" s="51"/>
      <c r="H285" s="80"/>
      <c r="I285" s="51"/>
      <c r="J285" s="51"/>
      <c r="K285" s="51"/>
      <c r="L285" s="51"/>
      <c r="M285" s="51"/>
      <c r="N285" s="81"/>
      <c r="O285" s="51"/>
      <c r="P285" s="51"/>
      <c r="Q285" s="51"/>
      <c r="R285" s="51"/>
      <c r="S285" s="81"/>
      <c r="T285" s="51"/>
      <c r="U285" s="51"/>
      <c r="V285" s="51">
        <f t="shared" si="35"/>
        <v>0</v>
      </c>
      <c r="W285" s="2"/>
      <c r="Y285" s="74"/>
      <c r="AB285" s="74"/>
      <c r="AD285" s="74"/>
    </row>
    <row r="286" spans="1:39" s="1" customFormat="1" hidden="1" outlineLevel="1" x14ac:dyDescent="0.45">
      <c r="A286" s="2"/>
      <c r="B286" s="51"/>
      <c r="C286" s="51"/>
      <c r="D286" s="51"/>
      <c r="E286" s="51"/>
      <c r="F286" s="51"/>
      <c r="G286" s="51"/>
      <c r="H286" s="80"/>
      <c r="I286" s="51"/>
      <c r="J286" s="51"/>
      <c r="K286" s="51"/>
      <c r="L286" s="51"/>
      <c r="M286" s="51"/>
      <c r="N286" s="81"/>
      <c r="O286" s="51"/>
      <c r="P286" s="51"/>
      <c r="Q286" s="51"/>
      <c r="R286" s="51"/>
      <c r="S286" s="81"/>
      <c r="T286" s="51"/>
      <c r="U286" s="51"/>
      <c r="V286" s="51">
        <f t="shared" si="35"/>
        <v>0</v>
      </c>
      <c r="W286" s="2"/>
      <c r="Y286" s="74"/>
      <c r="AB286" s="74"/>
      <c r="AD286" s="74"/>
    </row>
    <row r="287" spans="1:39" ht="15.75" hidden="1" customHeight="1" outlineLevel="1" thickBot="1" x14ac:dyDescent="0.5">
      <c r="A287" s="2"/>
      <c r="B287" s="75"/>
      <c r="C287" s="75"/>
      <c r="D287" s="76"/>
      <c r="E287" s="76"/>
      <c r="F287" s="76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2"/>
      <c r="R287" s="77"/>
      <c r="S287" s="77"/>
      <c r="T287" s="77"/>
      <c r="U287" s="2"/>
      <c r="V287" s="77"/>
      <c r="W287" s="78"/>
      <c r="Y287" s="74"/>
      <c r="Z287" s="6"/>
      <c r="AA287" s="13"/>
      <c r="AB287" s="74"/>
      <c r="AC287" s="6"/>
      <c r="AD287" s="74"/>
      <c r="AE287" s="6"/>
      <c r="AF287" s="6"/>
      <c r="AG287" s="6"/>
      <c r="AH287" s="6"/>
      <c r="AI287" s="6"/>
      <c r="AM287" s="14"/>
    </row>
    <row r="288" spans="1:39" s="1" customFormat="1" ht="12.75" customHeight="1" x14ac:dyDescent="0.4">
      <c r="A288" s="126">
        <v>19</v>
      </c>
      <c r="B288" s="128" t="s">
        <v>215</v>
      </c>
      <c r="C288" s="128" t="s">
        <v>32</v>
      </c>
      <c r="D288" s="137" t="s">
        <v>12</v>
      </c>
      <c r="E288" s="90"/>
      <c r="F288" s="92"/>
      <c r="G288" s="72">
        <f t="shared" ref="G288:U288" si="36">SUM(G290:G299)</f>
        <v>0</v>
      </c>
      <c r="H288" s="72">
        <f t="shared" si="36"/>
        <v>0</v>
      </c>
      <c r="I288" s="72">
        <f t="shared" si="36"/>
        <v>0</v>
      </c>
      <c r="J288" s="72">
        <f t="shared" si="36"/>
        <v>0</v>
      </c>
      <c r="K288" s="72">
        <f t="shared" si="36"/>
        <v>0</v>
      </c>
      <c r="L288" s="72">
        <f t="shared" si="36"/>
        <v>0</v>
      </c>
      <c r="M288" s="72">
        <f t="shared" si="36"/>
        <v>0</v>
      </c>
      <c r="N288" s="72">
        <f t="shared" si="36"/>
        <v>0</v>
      </c>
      <c r="O288" s="72">
        <f t="shared" si="36"/>
        <v>0</v>
      </c>
      <c r="P288" s="72">
        <f t="shared" si="36"/>
        <v>0</v>
      </c>
      <c r="Q288" s="72">
        <f t="shared" si="36"/>
        <v>0</v>
      </c>
      <c r="R288" s="72">
        <f t="shared" si="36"/>
        <v>0</v>
      </c>
      <c r="S288" s="72">
        <f t="shared" si="36"/>
        <v>0</v>
      </c>
      <c r="T288" s="72">
        <f t="shared" si="36"/>
        <v>0</v>
      </c>
      <c r="U288" s="72">
        <f t="shared" si="36"/>
        <v>0</v>
      </c>
      <c r="V288" s="72">
        <f>SUM(V290:V299)</f>
        <v>0</v>
      </c>
      <c r="W288" s="149">
        <f>V288+V289</f>
        <v>0</v>
      </c>
      <c r="Y288" s="74"/>
      <c r="AB288" s="74"/>
      <c r="AD288" s="74"/>
    </row>
    <row r="289" spans="1:30" s="1" customFormat="1" ht="12.9" collapsed="1" thickBot="1" x14ac:dyDescent="0.45">
      <c r="A289" s="127"/>
      <c r="B289" s="129"/>
      <c r="C289" s="129"/>
      <c r="D289" s="138"/>
      <c r="E289" s="91"/>
      <c r="F289" s="93"/>
      <c r="G289" s="73">
        <f>SUM(G301:G318)</f>
        <v>0</v>
      </c>
      <c r="H289" s="79">
        <f>SUM(H301:H318)</f>
        <v>0</v>
      </c>
      <c r="I289" s="79">
        <f>SUM(I301:I318)</f>
        <v>0</v>
      </c>
      <c r="J289" s="73">
        <f t="shared" ref="J289:Q289" si="37">SUM(J301:J318)</f>
        <v>0</v>
      </c>
      <c r="K289" s="73">
        <f t="shared" si="37"/>
        <v>0</v>
      </c>
      <c r="L289" s="73">
        <f t="shared" si="37"/>
        <v>0</v>
      </c>
      <c r="M289" s="73">
        <f t="shared" si="37"/>
        <v>0</v>
      </c>
      <c r="N289" s="73">
        <f t="shared" si="37"/>
        <v>0</v>
      </c>
      <c r="O289" s="73">
        <f t="shared" si="37"/>
        <v>0</v>
      </c>
      <c r="P289" s="73">
        <f t="shared" si="37"/>
        <v>0</v>
      </c>
      <c r="Q289" s="73">
        <f t="shared" si="37"/>
        <v>0</v>
      </c>
      <c r="R289" s="73">
        <f>SUM(R301:R318)</f>
        <v>0</v>
      </c>
      <c r="S289" s="73">
        <f>SUM(S301:S318)</f>
        <v>0</v>
      </c>
      <c r="T289" s="73">
        <f>SUM(T301:T318)</f>
        <v>0</v>
      </c>
      <c r="U289" s="73">
        <f>SUM(U301:U318)</f>
        <v>0</v>
      </c>
      <c r="V289" s="73">
        <f>SUM(V301:V318)</f>
        <v>0</v>
      </c>
      <c r="W289" s="150"/>
      <c r="Y289" s="74"/>
      <c r="Z289" s="74"/>
      <c r="AB289" s="74"/>
      <c r="AD289" s="74"/>
    </row>
    <row r="290" spans="1:30" s="1" customFormat="1" hidden="1" outlineLevel="1" x14ac:dyDescent="0.4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 s="51">
        <f>SUM(G290:U290)</f>
        <v>0</v>
      </c>
      <c r="W290" s="2"/>
      <c r="Y290" s="74"/>
      <c r="AB290" s="74"/>
      <c r="AD290" s="74"/>
    </row>
    <row r="291" spans="1:30" s="1" customFormat="1" hidden="1" outlineLevel="1" x14ac:dyDescent="0.45">
      <c r="A291" s="2"/>
      <c r="B291" s="51"/>
      <c r="C291" s="51"/>
      <c r="D291" s="51"/>
      <c r="E291" s="51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>
        <f>SUM(G291:U291)</f>
        <v>0</v>
      </c>
      <c r="W291" s="2"/>
      <c r="Y291" s="74"/>
      <c r="AB291" s="74"/>
      <c r="AD291" s="74"/>
    </row>
    <row r="292" spans="1:30" s="1" customFormat="1" hidden="1" outlineLevel="1" x14ac:dyDescent="0.45">
      <c r="A292" s="2"/>
      <c r="B292" s="51"/>
      <c r="C292" s="51"/>
      <c r="D292" s="51"/>
      <c r="E292" s="51"/>
      <c r="F292" s="51"/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>
        <f t="shared" ref="V292:V299" si="38">SUM(G292:U292)</f>
        <v>0</v>
      </c>
      <c r="W292" s="2"/>
      <c r="Y292" s="74"/>
      <c r="AB292" s="74"/>
      <c r="AD292" s="74"/>
    </row>
    <row r="293" spans="1:30" s="1" customFormat="1" hidden="1" outlineLevel="1" x14ac:dyDescent="0.45">
      <c r="A293" s="2"/>
      <c r="B293" s="51"/>
      <c r="C293" s="51"/>
      <c r="D293" s="51"/>
      <c r="E293" s="51"/>
      <c r="F293" s="51"/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>
        <f t="shared" si="38"/>
        <v>0</v>
      </c>
      <c r="W293" s="2"/>
      <c r="Y293" s="74"/>
      <c r="AB293" s="74"/>
      <c r="AD293" s="74"/>
    </row>
    <row r="294" spans="1:30" s="1" customFormat="1" hidden="1" outlineLevel="1" x14ac:dyDescent="0.45">
      <c r="A294" s="2"/>
      <c r="B294" s="51"/>
      <c r="C294" s="51"/>
      <c r="D294" s="51"/>
      <c r="E294" s="51"/>
      <c r="F294" s="51"/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>
        <f t="shared" si="38"/>
        <v>0</v>
      </c>
      <c r="W294" s="2"/>
      <c r="Y294" s="74"/>
      <c r="AB294" s="74"/>
      <c r="AD294" s="74"/>
    </row>
    <row r="295" spans="1:30" s="1" customFormat="1" hidden="1" outlineLevel="1" x14ac:dyDescent="0.45">
      <c r="A295" s="2"/>
      <c r="B295" s="51"/>
      <c r="C295" s="51"/>
      <c r="D295" s="51"/>
      <c r="E295" s="51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>
        <f t="shared" si="38"/>
        <v>0</v>
      </c>
      <c r="W295" s="2"/>
      <c r="Y295" s="74"/>
      <c r="AB295" s="74"/>
      <c r="AD295" s="74"/>
    </row>
    <row r="296" spans="1:30" s="1" customFormat="1" hidden="1" outlineLevel="1" x14ac:dyDescent="0.45">
      <c r="A296" s="2"/>
      <c r="B296" s="51"/>
      <c r="C296" s="51"/>
      <c r="D296" s="51"/>
      <c r="E296" s="51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>
        <f t="shared" si="38"/>
        <v>0</v>
      </c>
      <c r="W296" s="2"/>
      <c r="Y296" s="74"/>
      <c r="AB296" s="74"/>
      <c r="AD296" s="74"/>
    </row>
    <row r="297" spans="1:30" s="1" customFormat="1" hidden="1" outlineLevel="1" x14ac:dyDescent="0.45">
      <c r="A297" s="2"/>
      <c r="B297" s="51"/>
      <c r="C297" s="51"/>
      <c r="D297" s="51"/>
      <c r="E297" s="51"/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>
        <f t="shared" si="38"/>
        <v>0</v>
      </c>
      <c r="W297" s="2"/>
      <c r="Y297" s="74"/>
      <c r="AB297" s="74"/>
      <c r="AD297" s="74"/>
    </row>
    <row r="298" spans="1:30" s="1" customFormat="1" hidden="1" outlineLevel="1" x14ac:dyDescent="0.45">
      <c r="A298" s="2"/>
      <c r="B298" s="51"/>
      <c r="C298" s="51"/>
      <c r="D298" s="51"/>
      <c r="E298" s="51"/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>
        <f t="shared" si="38"/>
        <v>0</v>
      </c>
      <c r="W298" s="2"/>
      <c r="Y298" s="74"/>
      <c r="AB298" s="74"/>
      <c r="AD298" s="74"/>
    </row>
    <row r="299" spans="1:30" s="1" customFormat="1" hidden="1" outlineLevel="1" x14ac:dyDescent="0.45">
      <c r="A299" s="2"/>
      <c r="B299" s="51"/>
      <c r="C299" s="51"/>
      <c r="D299" s="51"/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>
        <f t="shared" si="38"/>
        <v>0</v>
      </c>
      <c r="W299" s="2"/>
      <c r="Y299" s="74"/>
      <c r="AB299" s="74"/>
      <c r="AD299" s="74"/>
    </row>
    <row r="300" spans="1:30" s="1" customFormat="1" hidden="1" outlineLevel="1" x14ac:dyDescent="0.45">
      <c r="A300" s="2"/>
      <c r="B300" s="166" t="s">
        <v>29</v>
      </c>
      <c r="C300" s="166"/>
      <c r="D300" s="166"/>
      <c r="E300" s="166"/>
      <c r="F300" s="166"/>
      <c r="G300" s="166"/>
      <c r="H300" s="166"/>
      <c r="I300" s="166"/>
      <c r="J300" s="166"/>
      <c r="K300" s="166"/>
      <c r="L300" s="166"/>
      <c r="M300" s="166"/>
      <c r="N300" s="166"/>
      <c r="O300" s="166"/>
      <c r="P300" s="166"/>
      <c r="Q300" s="166"/>
      <c r="R300" s="166"/>
      <c r="S300" s="166"/>
      <c r="T300" s="166"/>
      <c r="U300" s="166"/>
      <c r="V300" s="104"/>
      <c r="W300" s="2"/>
      <c r="Y300" s="74"/>
      <c r="AB300" s="74"/>
      <c r="AD300" s="74"/>
    </row>
    <row r="301" spans="1:30" s="1" customFormat="1" hidden="1" outlineLevel="1" x14ac:dyDescent="0.45">
      <c r="A301" s="34"/>
      <c r="B301" s="42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51">
        <f t="shared" ref="V301:V317" si="39">SUM(G301:U301)</f>
        <v>0</v>
      </c>
      <c r="W301" s="2"/>
      <c r="Y301" s="74"/>
      <c r="AB301" s="74"/>
      <c r="AD301" s="74"/>
    </row>
    <row r="302" spans="1:30" s="1" customFormat="1" hidden="1" outlineLevel="1" x14ac:dyDescent="0.45">
      <c r="A302" s="34"/>
      <c r="B302" s="42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51">
        <f t="shared" si="39"/>
        <v>0</v>
      </c>
      <c r="W302" s="2"/>
      <c r="Y302" s="74"/>
      <c r="AB302" s="74"/>
      <c r="AD302" s="74"/>
    </row>
    <row r="303" spans="1:30" s="1" customFormat="1" hidden="1" outlineLevel="1" x14ac:dyDescent="0.45">
      <c r="A303" s="2"/>
      <c r="B303" s="82"/>
      <c r="C303" s="51"/>
      <c r="D303" s="51"/>
      <c r="E303" s="51"/>
      <c r="F303" s="51"/>
      <c r="G303" s="20"/>
      <c r="H303" s="21"/>
      <c r="I303" s="21"/>
      <c r="J303" s="102"/>
      <c r="K303" s="51"/>
      <c r="L303" s="32"/>
      <c r="M303" s="22"/>
      <c r="N303" s="51"/>
      <c r="O303" s="81"/>
      <c r="P303" s="22"/>
      <c r="Q303" s="51"/>
      <c r="R303" s="51"/>
      <c r="S303" s="51"/>
      <c r="T303" s="51"/>
      <c r="U303" s="51"/>
      <c r="V303" s="51">
        <f t="shared" si="39"/>
        <v>0</v>
      </c>
      <c r="W303" s="2"/>
      <c r="Y303" s="74"/>
      <c r="AB303" s="74"/>
      <c r="AD303" s="74"/>
    </row>
    <row r="304" spans="1:30" s="1" customFormat="1" hidden="1" outlineLevel="1" x14ac:dyDescent="0.45">
      <c r="A304" s="2"/>
      <c r="B304" s="82"/>
      <c r="C304" s="51"/>
      <c r="D304" s="51"/>
      <c r="E304" s="51"/>
      <c r="F304" s="51"/>
      <c r="G304" s="20"/>
      <c r="H304" s="21"/>
      <c r="I304" s="21"/>
      <c r="J304" s="102"/>
      <c r="K304" s="51"/>
      <c r="L304" s="32"/>
      <c r="M304" s="22"/>
      <c r="N304" s="51"/>
      <c r="O304" s="81"/>
      <c r="P304" s="22"/>
      <c r="Q304" s="51"/>
      <c r="R304" s="51"/>
      <c r="S304" s="51"/>
      <c r="T304" s="51"/>
      <c r="U304" s="51"/>
      <c r="V304" s="51">
        <f t="shared" si="39"/>
        <v>0</v>
      </c>
      <c r="W304" s="2"/>
      <c r="Y304" s="74"/>
      <c r="AB304" s="74"/>
      <c r="AD304" s="74"/>
    </row>
    <row r="305" spans="1:39" s="1" customFormat="1" hidden="1" outlineLevel="1" x14ac:dyDescent="0.45">
      <c r="A305" s="2"/>
      <c r="B305" s="51"/>
      <c r="C305" s="51"/>
      <c r="D305" s="51"/>
      <c r="E305" s="51"/>
      <c r="F305" s="51"/>
      <c r="G305" s="51"/>
      <c r="H305" s="80"/>
      <c r="I305" s="51"/>
      <c r="J305" s="51"/>
      <c r="K305" s="51"/>
      <c r="L305" s="51"/>
      <c r="M305" s="51"/>
      <c r="N305" s="81"/>
      <c r="O305" s="51"/>
      <c r="P305" s="51"/>
      <c r="Q305" s="51"/>
      <c r="R305" s="51"/>
      <c r="S305" s="51"/>
      <c r="T305" s="51"/>
      <c r="U305" s="51"/>
      <c r="V305" s="51">
        <f t="shared" si="39"/>
        <v>0</v>
      </c>
      <c r="W305" s="2"/>
      <c r="Y305" s="74"/>
      <c r="AB305" s="74"/>
      <c r="AD305" s="74"/>
    </row>
    <row r="306" spans="1:39" s="1" customFormat="1" hidden="1" outlineLevel="1" x14ac:dyDescent="0.45">
      <c r="A306" s="2"/>
      <c r="B306" s="51"/>
      <c r="C306" s="51"/>
      <c r="D306" s="51"/>
      <c r="E306" s="51"/>
      <c r="F306" s="51"/>
      <c r="G306" s="51"/>
      <c r="H306" s="80"/>
      <c r="I306" s="51"/>
      <c r="J306" s="51"/>
      <c r="K306" s="51"/>
      <c r="L306" s="51"/>
      <c r="M306" s="51"/>
      <c r="N306" s="81"/>
      <c r="O306" s="51"/>
      <c r="P306" s="51"/>
      <c r="Q306" s="51"/>
      <c r="R306" s="51"/>
      <c r="S306" s="51"/>
      <c r="T306" s="51"/>
      <c r="U306" s="51"/>
      <c r="V306" s="51">
        <f t="shared" si="39"/>
        <v>0</v>
      </c>
      <c r="W306" s="2"/>
      <c r="Y306" s="74"/>
      <c r="AB306" s="74"/>
      <c r="AD306" s="74"/>
    </row>
    <row r="307" spans="1:39" s="1" customFormat="1" hidden="1" outlineLevel="1" x14ac:dyDescent="0.45">
      <c r="A307" s="2"/>
      <c r="B307" s="51"/>
      <c r="C307" s="51"/>
      <c r="D307" s="51"/>
      <c r="E307" s="51"/>
      <c r="F307" s="51"/>
      <c r="G307" s="51"/>
      <c r="H307" s="80"/>
      <c r="I307" s="51"/>
      <c r="J307" s="51"/>
      <c r="K307" s="51"/>
      <c r="L307" s="51"/>
      <c r="M307" s="51"/>
      <c r="N307" s="81"/>
      <c r="O307" s="51"/>
      <c r="P307" s="51"/>
      <c r="Q307" s="51"/>
      <c r="R307" s="51"/>
      <c r="S307" s="81"/>
      <c r="T307" s="51"/>
      <c r="U307" s="51"/>
      <c r="V307" s="51">
        <f t="shared" si="39"/>
        <v>0</v>
      </c>
      <c r="W307" s="2"/>
      <c r="Y307" s="74"/>
      <c r="AB307" s="74"/>
      <c r="AD307" s="74"/>
    </row>
    <row r="308" spans="1:39" s="1" customFormat="1" hidden="1" outlineLevel="1" x14ac:dyDescent="0.45">
      <c r="A308" s="2"/>
      <c r="B308" s="51"/>
      <c r="C308" s="51"/>
      <c r="D308" s="51"/>
      <c r="E308" s="51"/>
      <c r="F308" s="51"/>
      <c r="G308" s="51"/>
      <c r="H308" s="80"/>
      <c r="I308" s="51"/>
      <c r="J308" s="51"/>
      <c r="K308" s="51"/>
      <c r="L308" s="51"/>
      <c r="M308" s="51"/>
      <c r="N308" s="81"/>
      <c r="O308" s="51"/>
      <c r="P308" s="51"/>
      <c r="Q308" s="51"/>
      <c r="R308" s="51"/>
      <c r="S308" s="81"/>
      <c r="T308" s="51"/>
      <c r="U308" s="51"/>
      <c r="V308" s="51">
        <f t="shared" si="39"/>
        <v>0</v>
      </c>
      <c r="W308" s="2"/>
      <c r="Y308" s="74"/>
      <c r="AB308" s="74"/>
      <c r="AD308" s="74"/>
    </row>
    <row r="309" spans="1:39" s="1" customFormat="1" hidden="1" outlineLevel="1" x14ac:dyDescent="0.45">
      <c r="A309" s="2"/>
      <c r="B309" s="51"/>
      <c r="C309" s="51"/>
      <c r="D309" s="51"/>
      <c r="E309" s="51"/>
      <c r="F309" s="51"/>
      <c r="G309" s="51"/>
      <c r="H309" s="80"/>
      <c r="I309" s="51"/>
      <c r="J309" s="51"/>
      <c r="K309" s="51"/>
      <c r="L309" s="51"/>
      <c r="M309" s="51"/>
      <c r="N309" s="81"/>
      <c r="O309" s="51"/>
      <c r="P309" s="51"/>
      <c r="Q309" s="51"/>
      <c r="R309" s="51"/>
      <c r="S309" s="81"/>
      <c r="T309" s="51"/>
      <c r="U309" s="51"/>
      <c r="V309" s="51">
        <f t="shared" si="39"/>
        <v>0</v>
      </c>
      <c r="W309" s="2"/>
      <c r="Y309" s="74"/>
      <c r="AB309" s="74"/>
      <c r="AD309" s="74"/>
    </row>
    <row r="310" spans="1:39" s="1" customFormat="1" hidden="1" outlineLevel="1" x14ac:dyDescent="0.45">
      <c r="A310" s="2"/>
      <c r="B310" s="51"/>
      <c r="C310" s="51"/>
      <c r="D310" s="51"/>
      <c r="E310" s="51"/>
      <c r="F310" s="51"/>
      <c r="G310" s="51"/>
      <c r="H310" s="80"/>
      <c r="I310" s="51"/>
      <c r="J310" s="51"/>
      <c r="K310" s="51"/>
      <c r="L310" s="51"/>
      <c r="M310" s="51"/>
      <c r="N310" s="81"/>
      <c r="O310" s="51"/>
      <c r="P310" s="51"/>
      <c r="Q310" s="51"/>
      <c r="R310" s="51"/>
      <c r="S310" s="81"/>
      <c r="T310" s="51"/>
      <c r="U310" s="51"/>
      <c r="V310" s="51">
        <f t="shared" si="39"/>
        <v>0</v>
      </c>
      <c r="W310" s="2"/>
      <c r="Y310" s="74"/>
      <c r="AB310" s="74"/>
      <c r="AD310" s="74"/>
    </row>
    <row r="311" spans="1:39" s="1" customFormat="1" hidden="1" outlineLevel="1" x14ac:dyDescent="0.45">
      <c r="A311" s="2"/>
      <c r="B311" s="51"/>
      <c r="C311" s="51"/>
      <c r="D311" s="51"/>
      <c r="E311" s="51"/>
      <c r="F311" s="51"/>
      <c r="G311" s="51"/>
      <c r="H311" s="80"/>
      <c r="I311" s="51"/>
      <c r="J311" s="51"/>
      <c r="K311" s="51"/>
      <c r="L311" s="51"/>
      <c r="M311" s="51"/>
      <c r="N311" s="81"/>
      <c r="O311" s="51"/>
      <c r="P311" s="51"/>
      <c r="Q311" s="51"/>
      <c r="R311" s="51"/>
      <c r="S311" s="81"/>
      <c r="T311" s="51"/>
      <c r="U311" s="51"/>
      <c r="V311" s="51">
        <f t="shared" si="39"/>
        <v>0</v>
      </c>
      <c r="W311" s="2"/>
      <c r="Y311" s="74"/>
      <c r="AB311" s="74"/>
      <c r="AD311" s="74"/>
    </row>
    <row r="312" spans="1:39" s="1" customFormat="1" hidden="1" outlineLevel="1" x14ac:dyDescent="0.45">
      <c r="A312" s="2"/>
      <c r="B312" s="51"/>
      <c r="C312" s="51"/>
      <c r="D312" s="51"/>
      <c r="E312" s="51"/>
      <c r="F312" s="51"/>
      <c r="G312" s="51"/>
      <c r="H312" s="80"/>
      <c r="I312" s="51"/>
      <c r="J312" s="51"/>
      <c r="K312" s="51"/>
      <c r="L312" s="51"/>
      <c r="M312" s="51"/>
      <c r="N312" s="81"/>
      <c r="O312" s="51"/>
      <c r="P312" s="51"/>
      <c r="Q312" s="51"/>
      <c r="R312" s="51"/>
      <c r="S312" s="81"/>
      <c r="T312" s="51"/>
      <c r="U312" s="51"/>
      <c r="V312" s="51">
        <f t="shared" si="39"/>
        <v>0</v>
      </c>
      <c r="W312" s="2"/>
      <c r="Y312" s="74"/>
      <c r="AB312" s="74"/>
      <c r="AD312" s="74"/>
    </row>
    <row r="313" spans="1:39" s="1" customFormat="1" hidden="1" outlineLevel="1" x14ac:dyDescent="0.45">
      <c r="A313" s="2"/>
      <c r="B313" s="51"/>
      <c r="C313" s="51"/>
      <c r="D313" s="51"/>
      <c r="E313" s="51"/>
      <c r="F313" s="51"/>
      <c r="G313" s="51"/>
      <c r="H313" s="80"/>
      <c r="I313" s="51"/>
      <c r="J313" s="51"/>
      <c r="K313" s="51"/>
      <c r="L313" s="51"/>
      <c r="M313" s="51"/>
      <c r="N313" s="81"/>
      <c r="O313" s="51"/>
      <c r="P313" s="51"/>
      <c r="Q313" s="51"/>
      <c r="R313" s="51"/>
      <c r="S313" s="81"/>
      <c r="T313" s="51"/>
      <c r="U313" s="51"/>
      <c r="V313" s="51">
        <f t="shared" si="39"/>
        <v>0</v>
      </c>
      <c r="W313" s="2"/>
      <c r="Y313" s="74"/>
      <c r="AB313" s="74"/>
      <c r="AD313" s="74"/>
    </row>
    <row r="314" spans="1:39" s="1" customFormat="1" hidden="1" outlineLevel="1" x14ac:dyDescent="0.45">
      <c r="A314" s="2"/>
      <c r="B314" s="51"/>
      <c r="C314" s="51"/>
      <c r="D314" s="51"/>
      <c r="E314" s="51"/>
      <c r="F314" s="51"/>
      <c r="G314" s="51"/>
      <c r="H314" s="80"/>
      <c r="I314" s="51"/>
      <c r="J314" s="51"/>
      <c r="K314" s="51"/>
      <c r="L314" s="51"/>
      <c r="M314" s="51"/>
      <c r="N314" s="81"/>
      <c r="O314" s="51"/>
      <c r="P314" s="51"/>
      <c r="Q314" s="51"/>
      <c r="R314" s="51"/>
      <c r="S314" s="81"/>
      <c r="T314" s="51"/>
      <c r="U314" s="51"/>
      <c r="V314" s="51">
        <f t="shared" si="39"/>
        <v>0</v>
      </c>
      <c r="W314" s="2"/>
      <c r="Y314" s="74"/>
      <c r="AB314" s="74"/>
      <c r="AD314" s="74"/>
    </row>
    <row r="315" spans="1:39" s="1" customFormat="1" hidden="1" outlineLevel="1" x14ac:dyDescent="0.45">
      <c r="A315" s="2"/>
      <c r="B315" s="51"/>
      <c r="C315" s="51"/>
      <c r="D315" s="51"/>
      <c r="E315" s="51"/>
      <c r="F315" s="51"/>
      <c r="G315" s="51"/>
      <c r="H315" s="80"/>
      <c r="I315" s="51"/>
      <c r="J315" s="51"/>
      <c r="K315" s="51"/>
      <c r="L315" s="51"/>
      <c r="M315" s="51"/>
      <c r="N315" s="81"/>
      <c r="O315" s="51"/>
      <c r="P315" s="51"/>
      <c r="Q315" s="51"/>
      <c r="R315" s="51"/>
      <c r="S315" s="81"/>
      <c r="T315" s="51"/>
      <c r="U315" s="51"/>
      <c r="V315" s="51">
        <f t="shared" si="39"/>
        <v>0</v>
      </c>
      <c r="W315" s="2"/>
      <c r="Y315" s="74"/>
      <c r="AB315" s="74"/>
      <c r="AD315" s="74"/>
    </row>
    <row r="316" spans="1:39" s="1" customFormat="1" hidden="1" outlineLevel="1" x14ac:dyDescent="0.45">
      <c r="A316" s="2"/>
      <c r="B316" s="51"/>
      <c r="C316" s="51"/>
      <c r="D316" s="51"/>
      <c r="E316" s="51"/>
      <c r="F316" s="51"/>
      <c r="G316" s="51"/>
      <c r="H316" s="80"/>
      <c r="I316" s="51"/>
      <c r="J316" s="51"/>
      <c r="K316" s="51"/>
      <c r="L316" s="51"/>
      <c r="M316" s="51"/>
      <c r="N316" s="81"/>
      <c r="O316" s="51"/>
      <c r="P316" s="51"/>
      <c r="Q316" s="51"/>
      <c r="R316" s="51"/>
      <c r="S316" s="81"/>
      <c r="T316" s="51"/>
      <c r="U316" s="51"/>
      <c r="V316" s="51">
        <f t="shared" si="39"/>
        <v>0</v>
      </c>
      <c r="W316" s="2"/>
      <c r="Y316" s="74"/>
      <c r="AB316" s="74"/>
      <c r="AD316" s="74"/>
    </row>
    <row r="317" spans="1:39" s="1" customFormat="1" hidden="1" outlineLevel="1" x14ac:dyDescent="0.45">
      <c r="A317" s="2"/>
      <c r="B317" s="51"/>
      <c r="C317" s="51"/>
      <c r="D317" s="51"/>
      <c r="E317" s="51"/>
      <c r="F317" s="51"/>
      <c r="G317" s="51"/>
      <c r="H317" s="80"/>
      <c r="I317" s="51"/>
      <c r="J317" s="51"/>
      <c r="K317" s="51"/>
      <c r="L317" s="51"/>
      <c r="M317" s="51"/>
      <c r="N317" s="81"/>
      <c r="O317" s="51"/>
      <c r="P317" s="51"/>
      <c r="Q317" s="51"/>
      <c r="R317" s="51"/>
      <c r="S317" s="81"/>
      <c r="T317" s="51"/>
      <c r="U317" s="51"/>
      <c r="V317" s="51">
        <f t="shared" si="39"/>
        <v>0</v>
      </c>
      <c r="W317" s="2"/>
      <c r="Y317" s="74"/>
      <c r="AB317" s="74"/>
      <c r="AD317" s="74"/>
    </row>
    <row r="318" spans="1:39" ht="15.75" hidden="1" customHeight="1" outlineLevel="1" thickBot="1" x14ac:dyDescent="0.5">
      <c r="A318" s="2"/>
      <c r="B318" s="75"/>
      <c r="C318" s="75"/>
      <c r="D318" s="76"/>
      <c r="E318" s="76"/>
      <c r="F318" s="76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2"/>
      <c r="R318" s="77"/>
      <c r="S318" s="77"/>
      <c r="T318" s="77"/>
      <c r="U318" s="2"/>
      <c r="V318" s="77"/>
      <c r="W318" s="78"/>
      <c r="Y318" s="74"/>
      <c r="Z318" s="6"/>
      <c r="AA318" s="13"/>
      <c r="AB318" s="74"/>
      <c r="AC318" s="6"/>
      <c r="AD318" s="74"/>
      <c r="AE318" s="6"/>
      <c r="AF318" s="6"/>
      <c r="AG318" s="6"/>
      <c r="AH318" s="6"/>
      <c r="AI318" s="6"/>
      <c r="AM318" s="14"/>
    </row>
    <row r="319" spans="1:39" s="1" customFormat="1" ht="12.75" customHeight="1" x14ac:dyDescent="0.4">
      <c r="A319" s="126">
        <v>22</v>
      </c>
      <c r="B319" s="128" t="s">
        <v>206</v>
      </c>
      <c r="C319" s="128" t="s">
        <v>61</v>
      </c>
      <c r="D319" s="137" t="s">
        <v>12</v>
      </c>
      <c r="E319" s="90" t="s">
        <v>15</v>
      </c>
      <c r="F319" s="92">
        <v>0.25</v>
      </c>
      <c r="G319" s="72">
        <f t="shared" ref="G319:U319" si="40">SUM(G321:G330)</f>
        <v>0</v>
      </c>
      <c r="H319" s="72">
        <f t="shared" si="40"/>
        <v>200</v>
      </c>
      <c r="I319" s="72">
        <f t="shared" si="40"/>
        <v>0</v>
      </c>
      <c r="J319" s="72">
        <f t="shared" si="40"/>
        <v>0</v>
      </c>
      <c r="K319" s="72">
        <f t="shared" si="40"/>
        <v>0</v>
      </c>
      <c r="L319" s="72">
        <f t="shared" si="40"/>
        <v>0</v>
      </c>
      <c r="M319" s="72">
        <f t="shared" si="40"/>
        <v>0</v>
      </c>
      <c r="N319" s="72">
        <f t="shared" si="40"/>
        <v>0</v>
      </c>
      <c r="O319" s="72">
        <f t="shared" si="40"/>
        <v>0</v>
      </c>
      <c r="P319" s="72">
        <f t="shared" si="40"/>
        <v>0</v>
      </c>
      <c r="Q319" s="72">
        <f t="shared" si="40"/>
        <v>0</v>
      </c>
      <c r="R319" s="72">
        <f t="shared" si="40"/>
        <v>0</v>
      </c>
      <c r="S319" s="72">
        <f t="shared" si="40"/>
        <v>0</v>
      </c>
      <c r="T319" s="72">
        <f t="shared" si="40"/>
        <v>0</v>
      </c>
      <c r="U319" s="72">
        <f t="shared" si="40"/>
        <v>0</v>
      </c>
      <c r="V319" s="72">
        <f>SUM(V321:V330)</f>
        <v>200</v>
      </c>
      <c r="W319" s="149">
        <f>V319+V320</f>
        <v>200</v>
      </c>
      <c r="Y319" s="74"/>
      <c r="AB319" s="74"/>
      <c r="AD319" s="74"/>
    </row>
    <row r="320" spans="1:39" s="1" customFormat="1" ht="12.9" collapsed="1" thickBot="1" x14ac:dyDescent="0.45">
      <c r="A320" s="127"/>
      <c r="B320" s="129"/>
      <c r="C320" s="129"/>
      <c r="D320" s="138"/>
      <c r="E320" s="91"/>
      <c r="F320" s="93"/>
      <c r="G320" s="73">
        <f>SUM(G332:G349)</f>
        <v>0</v>
      </c>
      <c r="H320" s="79">
        <f>SUM(H332:H349)</f>
        <v>0</v>
      </c>
      <c r="I320" s="79">
        <f>SUM(I332:I349)</f>
        <v>0</v>
      </c>
      <c r="J320" s="73">
        <f t="shared" ref="J320:Q320" si="41">SUM(J332:J349)</f>
        <v>0</v>
      </c>
      <c r="K320" s="73">
        <f t="shared" si="41"/>
        <v>0</v>
      </c>
      <c r="L320" s="73">
        <f t="shared" si="41"/>
        <v>0</v>
      </c>
      <c r="M320" s="73">
        <f t="shared" si="41"/>
        <v>0</v>
      </c>
      <c r="N320" s="73">
        <f t="shared" si="41"/>
        <v>0</v>
      </c>
      <c r="O320" s="73">
        <f t="shared" si="41"/>
        <v>0</v>
      </c>
      <c r="P320" s="73">
        <f t="shared" si="41"/>
        <v>0</v>
      </c>
      <c r="Q320" s="73">
        <f t="shared" si="41"/>
        <v>0</v>
      </c>
      <c r="R320" s="73">
        <f>SUM(R332:R349)</f>
        <v>0</v>
      </c>
      <c r="S320" s="73">
        <f>SUM(S332:S349)</f>
        <v>0</v>
      </c>
      <c r="T320" s="73">
        <f>SUM(T332:T349)</f>
        <v>0</v>
      </c>
      <c r="U320" s="73">
        <f>SUM(U332:U349)</f>
        <v>0</v>
      </c>
      <c r="V320" s="73">
        <f>SUM(V332:V349)</f>
        <v>0</v>
      </c>
      <c r="W320" s="150"/>
      <c r="Y320" s="74"/>
      <c r="Z320" s="74"/>
      <c r="AB320" s="74"/>
      <c r="AD320" s="74"/>
    </row>
    <row r="321" spans="1:30" s="1" customFormat="1" hidden="1" outlineLevel="1" x14ac:dyDescent="0.45">
      <c r="A321" s="34" t="s">
        <v>223</v>
      </c>
      <c r="B321" s="42" t="s">
        <v>177</v>
      </c>
      <c r="C321" s="34">
        <v>3</v>
      </c>
      <c r="D321" s="34"/>
      <c r="E321" s="34"/>
      <c r="F321" s="34"/>
      <c r="G321" s="34"/>
      <c r="H321" s="34">
        <v>100</v>
      </c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51">
        <f>SUM(G321:U321)</f>
        <v>100</v>
      </c>
      <c r="W321" s="2"/>
      <c r="Y321" s="74"/>
      <c r="AB321" s="74"/>
      <c r="AD321" s="74"/>
    </row>
    <row r="322" spans="1:30" s="1" customFormat="1" hidden="1" outlineLevel="1" x14ac:dyDescent="0.45">
      <c r="A322" t="s">
        <v>223</v>
      </c>
      <c r="B322" t="s">
        <v>183</v>
      </c>
      <c r="C322">
        <v>3</v>
      </c>
      <c r="D322"/>
      <c r="E322"/>
      <c r="F322"/>
      <c r="G322"/>
      <c r="H322">
        <v>100</v>
      </c>
      <c r="I322"/>
      <c r="J322"/>
      <c r="K322"/>
      <c r="L322"/>
      <c r="M322"/>
      <c r="N322"/>
      <c r="O322"/>
      <c r="P322"/>
      <c r="Q322"/>
      <c r="R322"/>
      <c r="S322"/>
      <c r="T322"/>
      <c r="U322"/>
      <c r="V322" s="51">
        <f>SUM(G322:U322)</f>
        <v>100</v>
      </c>
      <c r="W322" s="2"/>
      <c r="Y322" s="74"/>
      <c r="AB322" s="74"/>
      <c r="AD322" s="74"/>
    </row>
    <row r="323" spans="1:30" s="1" customFormat="1" hidden="1" outlineLevel="1" x14ac:dyDescent="0.45">
      <c r="A323" s="2"/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>
        <f t="shared" ref="V323:V330" si="42">SUM(G323:U323)</f>
        <v>0</v>
      </c>
      <c r="W323" s="2"/>
      <c r="Y323" s="74"/>
      <c r="AB323" s="74"/>
      <c r="AD323" s="74"/>
    </row>
    <row r="324" spans="1:30" s="1" customFormat="1" hidden="1" outlineLevel="1" x14ac:dyDescent="0.45">
      <c r="A324" s="2"/>
      <c r="B324" s="51"/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>
        <f t="shared" si="42"/>
        <v>0</v>
      </c>
      <c r="W324" s="2"/>
      <c r="Y324" s="74"/>
      <c r="AB324" s="74"/>
      <c r="AD324" s="74"/>
    </row>
    <row r="325" spans="1:30" s="1" customFormat="1" hidden="1" outlineLevel="1" x14ac:dyDescent="0.45">
      <c r="A325" s="2"/>
      <c r="B325" s="51"/>
      <c r="C325" s="51"/>
      <c r="D325" s="51"/>
      <c r="E325" s="51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>
        <f t="shared" si="42"/>
        <v>0</v>
      </c>
      <c r="W325" s="2"/>
      <c r="Y325" s="74"/>
      <c r="AB325" s="74"/>
      <c r="AD325" s="74"/>
    </row>
    <row r="326" spans="1:30" s="1" customFormat="1" hidden="1" outlineLevel="1" x14ac:dyDescent="0.45">
      <c r="A326" s="2"/>
      <c r="B326" s="51"/>
      <c r="C326" s="51"/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>
        <f t="shared" si="42"/>
        <v>0</v>
      </c>
      <c r="W326" s="2"/>
      <c r="Y326" s="74"/>
      <c r="AB326" s="74"/>
      <c r="AD326" s="74"/>
    </row>
    <row r="327" spans="1:30" s="1" customFormat="1" hidden="1" outlineLevel="1" x14ac:dyDescent="0.45">
      <c r="A327" s="2"/>
      <c r="B327" s="51"/>
      <c r="C327" s="51"/>
      <c r="D327" s="51"/>
      <c r="E327" s="51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>
        <f t="shared" si="42"/>
        <v>0</v>
      </c>
      <c r="W327" s="2"/>
      <c r="Y327" s="74"/>
      <c r="AB327" s="74"/>
      <c r="AD327" s="74"/>
    </row>
    <row r="328" spans="1:30" s="1" customFormat="1" hidden="1" outlineLevel="1" x14ac:dyDescent="0.45">
      <c r="A328" s="2"/>
      <c r="B328" s="51"/>
      <c r="C328" s="51"/>
      <c r="D328" s="51"/>
      <c r="E328" s="51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>
        <f t="shared" si="42"/>
        <v>0</v>
      </c>
      <c r="W328" s="2"/>
      <c r="Y328" s="74"/>
      <c r="AB328" s="74"/>
      <c r="AD328" s="74"/>
    </row>
    <row r="329" spans="1:30" s="1" customFormat="1" hidden="1" outlineLevel="1" x14ac:dyDescent="0.45">
      <c r="A329" s="2"/>
      <c r="B329" s="51"/>
      <c r="C329" s="51"/>
      <c r="D329" s="51"/>
      <c r="E329" s="51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>
        <f t="shared" si="42"/>
        <v>0</v>
      </c>
      <c r="W329" s="2"/>
      <c r="Y329" s="74"/>
      <c r="AB329" s="74"/>
      <c r="AD329" s="74"/>
    </row>
    <row r="330" spans="1:30" s="1" customFormat="1" hidden="1" outlineLevel="1" x14ac:dyDescent="0.45">
      <c r="A330" s="2"/>
      <c r="B330" s="51"/>
      <c r="C330" s="51"/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>
        <f t="shared" si="42"/>
        <v>0</v>
      </c>
      <c r="W330" s="2"/>
      <c r="Y330" s="74"/>
      <c r="AB330" s="74"/>
      <c r="AD330" s="74"/>
    </row>
    <row r="331" spans="1:30" s="1" customFormat="1" hidden="1" outlineLevel="1" x14ac:dyDescent="0.45">
      <c r="A331" s="2"/>
      <c r="B331" s="166" t="s">
        <v>29</v>
      </c>
      <c r="C331" s="166"/>
      <c r="D331" s="166"/>
      <c r="E331" s="166"/>
      <c r="F331" s="166"/>
      <c r="G331" s="166"/>
      <c r="H331" s="166"/>
      <c r="I331" s="166"/>
      <c r="J331" s="166"/>
      <c r="K331" s="166"/>
      <c r="L331" s="166"/>
      <c r="M331" s="166"/>
      <c r="N331" s="166"/>
      <c r="O331" s="166"/>
      <c r="P331" s="166"/>
      <c r="Q331" s="166"/>
      <c r="R331" s="166"/>
      <c r="S331" s="166"/>
      <c r="T331" s="166"/>
      <c r="U331" s="166"/>
      <c r="V331" s="104"/>
      <c r="W331" s="2"/>
      <c r="Y331" s="74"/>
      <c r="AB331" s="74"/>
      <c r="AD331" s="74"/>
    </row>
    <row r="332" spans="1:30" s="1" customFormat="1" ht="25.2" hidden="1" outlineLevel="1" x14ac:dyDescent="0.45">
      <c r="A332" s="2" t="s">
        <v>223</v>
      </c>
      <c r="B332" s="82" t="s">
        <v>192</v>
      </c>
      <c r="C332" s="51">
        <v>2</v>
      </c>
      <c r="D332" s="51"/>
      <c r="E332" s="51"/>
      <c r="F332" s="51"/>
      <c r="G332" s="20"/>
      <c r="H332" s="21"/>
      <c r="I332" s="21"/>
      <c r="J332" s="102"/>
      <c r="K332" s="51"/>
      <c r="L332" s="32"/>
      <c r="M332" s="22"/>
      <c r="N332" s="51"/>
      <c r="O332" s="81"/>
      <c r="P332" s="22"/>
      <c r="Q332" s="51"/>
      <c r="R332" s="51"/>
      <c r="S332" s="51"/>
      <c r="T332" s="51"/>
      <c r="U332" s="51"/>
      <c r="V332" s="51">
        <f t="shared" ref="V332:V348" si="43">SUM(G332:U332)</f>
        <v>0</v>
      </c>
      <c r="W332" s="2"/>
      <c r="Y332" s="74"/>
      <c r="AB332" s="74"/>
      <c r="AD332" s="74"/>
    </row>
    <row r="333" spans="1:30" s="1" customFormat="1" hidden="1" outlineLevel="1" x14ac:dyDescent="0.45">
      <c r="A333" s="2"/>
      <c r="B333" s="82"/>
      <c r="C333" s="51"/>
      <c r="D333" s="51"/>
      <c r="E333" s="51"/>
      <c r="F333" s="51"/>
      <c r="G333" s="20"/>
      <c r="H333" s="21"/>
      <c r="I333" s="21"/>
      <c r="J333" s="102"/>
      <c r="K333" s="51"/>
      <c r="L333" s="32"/>
      <c r="M333" s="22"/>
      <c r="N333" s="51"/>
      <c r="O333" s="81"/>
      <c r="P333" s="22"/>
      <c r="Q333" s="51"/>
      <c r="R333" s="51"/>
      <c r="S333" s="51"/>
      <c r="T333" s="51"/>
      <c r="U333" s="51"/>
      <c r="V333" s="51">
        <f t="shared" si="43"/>
        <v>0</v>
      </c>
      <c r="W333" s="2"/>
      <c r="Y333" s="74"/>
      <c r="AB333" s="74"/>
      <c r="AD333" s="74"/>
    </row>
    <row r="334" spans="1:30" s="1" customFormat="1" hidden="1" outlineLevel="1" x14ac:dyDescent="0.45">
      <c r="A334" s="2"/>
      <c r="B334" s="82"/>
      <c r="C334" s="51"/>
      <c r="D334" s="51"/>
      <c r="E334" s="51"/>
      <c r="F334" s="51"/>
      <c r="G334" s="20"/>
      <c r="H334" s="21"/>
      <c r="I334" s="21"/>
      <c r="J334" s="102"/>
      <c r="K334" s="51"/>
      <c r="L334" s="32"/>
      <c r="M334" s="22"/>
      <c r="N334" s="51"/>
      <c r="O334" s="81"/>
      <c r="P334" s="22"/>
      <c r="Q334" s="51"/>
      <c r="R334" s="51"/>
      <c r="S334" s="51"/>
      <c r="T334" s="51"/>
      <c r="U334" s="51"/>
      <c r="V334" s="51">
        <f t="shared" si="43"/>
        <v>0</v>
      </c>
      <c r="W334" s="2"/>
      <c r="Y334" s="74"/>
      <c r="AB334" s="74"/>
      <c r="AD334" s="74"/>
    </row>
    <row r="335" spans="1:30" s="1" customFormat="1" hidden="1" outlineLevel="1" x14ac:dyDescent="0.45">
      <c r="A335" s="2"/>
      <c r="B335" s="82"/>
      <c r="C335" s="51"/>
      <c r="D335" s="51"/>
      <c r="E335" s="51"/>
      <c r="F335" s="51"/>
      <c r="G335" s="20"/>
      <c r="H335" s="21"/>
      <c r="I335" s="21"/>
      <c r="J335" s="102"/>
      <c r="K335" s="51"/>
      <c r="L335" s="32"/>
      <c r="M335" s="22"/>
      <c r="N335" s="51"/>
      <c r="O335" s="81"/>
      <c r="P335" s="22"/>
      <c r="Q335" s="51"/>
      <c r="R335" s="51"/>
      <c r="S335" s="51"/>
      <c r="T335" s="51"/>
      <c r="U335" s="51"/>
      <c r="V335" s="51">
        <f t="shared" si="43"/>
        <v>0</v>
      </c>
      <c r="W335" s="2"/>
      <c r="Y335" s="74"/>
      <c r="AB335" s="74"/>
      <c r="AD335" s="74"/>
    </row>
    <row r="336" spans="1:30" s="1" customFormat="1" hidden="1" outlineLevel="1" x14ac:dyDescent="0.45">
      <c r="A336" s="2"/>
      <c r="B336" s="51"/>
      <c r="C336" s="51"/>
      <c r="D336" s="51"/>
      <c r="E336" s="51"/>
      <c r="F336" s="51"/>
      <c r="G336" s="51"/>
      <c r="H336" s="80"/>
      <c r="I336" s="51"/>
      <c r="J336" s="51"/>
      <c r="K336" s="51"/>
      <c r="L336" s="51"/>
      <c r="M336" s="51"/>
      <c r="N336" s="81"/>
      <c r="O336" s="51"/>
      <c r="P336" s="51"/>
      <c r="Q336" s="51"/>
      <c r="R336" s="51"/>
      <c r="S336" s="51"/>
      <c r="T336" s="51"/>
      <c r="U336" s="51"/>
      <c r="V336" s="51">
        <f t="shared" si="43"/>
        <v>0</v>
      </c>
      <c r="W336" s="2"/>
      <c r="Y336" s="74"/>
      <c r="AB336" s="74"/>
      <c r="AD336" s="74"/>
    </row>
    <row r="337" spans="1:39" s="1" customFormat="1" hidden="1" outlineLevel="1" x14ac:dyDescent="0.45">
      <c r="A337" s="2"/>
      <c r="B337" s="51"/>
      <c r="C337" s="51"/>
      <c r="D337" s="51"/>
      <c r="E337" s="51"/>
      <c r="F337" s="51"/>
      <c r="G337" s="51"/>
      <c r="H337" s="80"/>
      <c r="I337" s="51"/>
      <c r="J337" s="51"/>
      <c r="K337" s="51"/>
      <c r="L337" s="51"/>
      <c r="M337" s="51"/>
      <c r="N337" s="81"/>
      <c r="O337" s="51"/>
      <c r="P337" s="51"/>
      <c r="Q337" s="51"/>
      <c r="R337" s="51"/>
      <c r="S337" s="51"/>
      <c r="T337" s="51"/>
      <c r="U337" s="51"/>
      <c r="V337" s="51">
        <f t="shared" si="43"/>
        <v>0</v>
      </c>
      <c r="W337" s="2"/>
      <c r="Y337" s="74"/>
      <c r="AB337" s="74"/>
      <c r="AD337" s="74"/>
    </row>
    <row r="338" spans="1:39" s="1" customFormat="1" hidden="1" outlineLevel="1" x14ac:dyDescent="0.45">
      <c r="A338" s="2"/>
      <c r="B338" s="51"/>
      <c r="C338" s="51"/>
      <c r="D338" s="51"/>
      <c r="E338" s="51"/>
      <c r="F338" s="51"/>
      <c r="G338" s="51"/>
      <c r="H338" s="80"/>
      <c r="I338" s="51"/>
      <c r="J338" s="51"/>
      <c r="K338" s="51"/>
      <c r="L338" s="51"/>
      <c r="M338" s="51"/>
      <c r="N338" s="81"/>
      <c r="O338" s="51"/>
      <c r="P338" s="51"/>
      <c r="Q338" s="51"/>
      <c r="R338" s="51"/>
      <c r="S338" s="81"/>
      <c r="T338" s="51"/>
      <c r="U338" s="51"/>
      <c r="V338" s="51">
        <f t="shared" si="43"/>
        <v>0</v>
      </c>
      <c r="W338" s="2"/>
      <c r="Y338" s="74"/>
      <c r="AB338" s="74"/>
      <c r="AD338" s="74"/>
    </row>
    <row r="339" spans="1:39" s="1" customFormat="1" hidden="1" outlineLevel="1" x14ac:dyDescent="0.45">
      <c r="A339" s="2"/>
      <c r="B339" s="51"/>
      <c r="C339" s="51"/>
      <c r="D339" s="51"/>
      <c r="E339" s="51"/>
      <c r="F339" s="51"/>
      <c r="G339" s="51"/>
      <c r="H339" s="80"/>
      <c r="I339" s="51"/>
      <c r="J339" s="51"/>
      <c r="K339" s="51"/>
      <c r="L339" s="51"/>
      <c r="M339" s="51"/>
      <c r="N339" s="81"/>
      <c r="O339" s="51"/>
      <c r="P339" s="51"/>
      <c r="Q339" s="51"/>
      <c r="R339" s="51"/>
      <c r="S339" s="81"/>
      <c r="T339" s="51"/>
      <c r="U339" s="51"/>
      <c r="V339" s="51">
        <f t="shared" si="43"/>
        <v>0</v>
      </c>
      <c r="W339" s="2"/>
      <c r="Y339" s="74"/>
      <c r="AB339" s="74"/>
      <c r="AD339" s="74"/>
    </row>
    <row r="340" spans="1:39" s="1" customFormat="1" hidden="1" outlineLevel="1" x14ac:dyDescent="0.45">
      <c r="A340" s="2"/>
      <c r="B340" s="51"/>
      <c r="C340" s="51"/>
      <c r="D340" s="51"/>
      <c r="E340" s="51"/>
      <c r="F340" s="51"/>
      <c r="G340" s="51"/>
      <c r="H340" s="80"/>
      <c r="I340" s="51"/>
      <c r="J340" s="51"/>
      <c r="K340" s="51"/>
      <c r="L340" s="51"/>
      <c r="M340" s="51"/>
      <c r="N340" s="81"/>
      <c r="O340" s="51"/>
      <c r="P340" s="51"/>
      <c r="Q340" s="51"/>
      <c r="R340" s="51"/>
      <c r="S340" s="81"/>
      <c r="T340" s="51"/>
      <c r="U340" s="51"/>
      <c r="V340" s="51">
        <f t="shared" si="43"/>
        <v>0</v>
      </c>
      <c r="W340" s="2"/>
      <c r="Y340" s="74"/>
      <c r="AB340" s="74"/>
      <c r="AD340" s="74"/>
    </row>
    <row r="341" spans="1:39" s="1" customFormat="1" hidden="1" outlineLevel="1" x14ac:dyDescent="0.45">
      <c r="A341" s="2"/>
      <c r="B341" s="51"/>
      <c r="C341" s="51"/>
      <c r="D341" s="51"/>
      <c r="E341" s="51"/>
      <c r="F341" s="51"/>
      <c r="G341" s="51"/>
      <c r="H341" s="80"/>
      <c r="I341" s="51"/>
      <c r="J341" s="51"/>
      <c r="K341" s="51"/>
      <c r="L341" s="51"/>
      <c r="M341" s="51"/>
      <c r="N341" s="81"/>
      <c r="O341" s="51"/>
      <c r="P341" s="51"/>
      <c r="Q341" s="51"/>
      <c r="R341" s="51"/>
      <c r="S341" s="81"/>
      <c r="T341" s="51"/>
      <c r="U341" s="51"/>
      <c r="V341" s="51">
        <f t="shared" si="43"/>
        <v>0</v>
      </c>
      <c r="W341" s="2"/>
      <c r="Y341" s="74"/>
      <c r="AB341" s="74"/>
      <c r="AD341" s="74"/>
    </row>
    <row r="342" spans="1:39" s="1" customFormat="1" hidden="1" outlineLevel="1" x14ac:dyDescent="0.45">
      <c r="A342" s="2"/>
      <c r="B342" s="51"/>
      <c r="C342" s="51"/>
      <c r="D342" s="51"/>
      <c r="E342" s="51"/>
      <c r="F342" s="51"/>
      <c r="G342" s="51"/>
      <c r="H342" s="80"/>
      <c r="I342" s="51"/>
      <c r="J342" s="51"/>
      <c r="K342" s="51"/>
      <c r="L342" s="51"/>
      <c r="M342" s="51"/>
      <c r="N342" s="81"/>
      <c r="O342" s="51"/>
      <c r="P342" s="51"/>
      <c r="Q342" s="51"/>
      <c r="R342" s="51"/>
      <c r="S342" s="81"/>
      <c r="T342" s="51"/>
      <c r="U342" s="51"/>
      <c r="V342" s="51">
        <f t="shared" si="43"/>
        <v>0</v>
      </c>
      <c r="W342" s="2"/>
      <c r="Y342" s="74"/>
      <c r="AB342" s="74"/>
      <c r="AD342" s="74"/>
    </row>
    <row r="343" spans="1:39" s="1" customFormat="1" hidden="1" outlineLevel="1" x14ac:dyDescent="0.45">
      <c r="A343" s="2"/>
      <c r="B343" s="51"/>
      <c r="C343" s="51"/>
      <c r="D343" s="51"/>
      <c r="E343" s="51"/>
      <c r="F343" s="51"/>
      <c r="G343" s="51"/>
      <c r="H343" s="80"/>
      <c r="I343" s="51"/>
      <c r="J343" s="51"/>
      <c r="K343" s="51"/>
      <c r="L343" s="51"/>
      <c r="M343" s="51"/>
      <c r="N343" s="81"/>
      <c r="O343" s="51"/>
      <c r="P343" s="51"/>
      <c r="Q343" s="51"/>
      <c r="R343" s="51"/>
      <c r="S343" s="81"/>
      <c r="T343" s="51"/>
      <c r="U343" s="51"/>
      <c r="V343" s="51">
        <f t="shared" si="43"/>
        <v>0</v>
      </c>
      <c r="W343" s="2"/>
      <c r="Y343" s="74"/>
      <c r="AB343" s="74"/>
      <c r="AD343" s="74"/>
    </row>
    <row r="344" spans="1:39" s="1" customFormat="1" hidden="1" outlineLevel="1" x14ac:dyDescent="0.45">
      <c r="A344" s="2"/>
      <c r="B344" s="51"/>
      <c r="C344" s="51"/>
      <c r="D344" s="51"/>
      <c r="E344" s="51"/>
      <c r="F344" s="51"/>
      <c r="G344" s="51"/>
      <c r="H344" s="80"/>
      <c r="I344" s="51"/>
      <c r="J344" s="51"/>
      <c r="K344" s="51"/>
      <c r="L344" s="51"/>
      <c r="M344" s="51"/>
      <c r="N344" s="81"/>
      <c r="O344" s="51"/>
      <c r="P344" s="51"/>
      <c r="Q344" s="51"/>
      <c r="R344" s="51"/>
      <c r="S344" s="81"/>
      <c r="T344" s="51"/>
      <c r="U344" s="51"/>
      <c r="V344" s="51">
        <f t="shared" si="43"/>
        <v>0</v>
      </c>
      <c r="W344" s="2"/>
      <c r="Y344" s="74"/>
      <c r="AB344" s="74"/>
      <c r="AD344" s="74"/>
    </row>
    <row r="345" spans="1:39" s="1" customFormat="1" hidden="1" outlineLevel="1" x14ac:dyDescent="0.45">
      <c r="A345" s="2"/>
      <c r="B345" s="51"/>
      <c r="C345" s="51"/>
      <c r="D345" s="51"/>
      <c r="E345" s="51"/>
      <c r="F345" s="51"/>
      <c r="G345" s="51"/>
      <c r="H345" s="80"/>
      <c r="I345" s="51"/>
      <c r="J345" s="51"/>
      <c r="K345" s="51"/>
      <c r="L345" s="51"/>
      <c r="M345" s="51"/>
      <c r="N345" s="81"/>
      <c r="O345" s="51"/>
      <c r="P345" s="51"/>
      <c r="Q345" s="51"/>
      <c r="R345" s="51"/>
      <c r="S345" s="81"/>
      <c r="T345" s="51"/>
      <c r="U345" s="51"/>
      <c r="V345" s="51">
        <f t="shared" si="43"/>
        <v>0</v>
      </c>
      <c r="W345" s="2"/>
      <c r="Y345" s="74"/>
      <c r="AB345" s="74"/>
      <c r="AD345" s="74"/>
    </row>
    <row r="346" spans="1:39" s="1" customFormat="1" hidden="1" outlineLevel="1" x14ac:dyDescent="0.45">
      <c r="A346" s="2"/>
      <c r="B346" s="51"/>
      <c r="C346" s="51"/>
      <c r="D346" s="51"/>
      <c r="E346" s="51"/>
      <c r="F346" s="51"/>
      <c r="G346" s="51"/>
      <c r="H346" s="80"/>
      <c r="I346" s="51"/>
      <c r="J346" s="51"/>
      <c r="K346" s="51"/>
      <c r="L346" s="51"/>
      <c r="M346" s="51"/>
      <c r="N346" s="81"/>
      <c r="O346" s="51"/>
      <c r="P346" s="51"/>
      <c r="Q346" s="51"/>
      <c r="R346" s="51"/>
      <c r="S346" s="81"/>
      <c r="T346" s="51"/>
      <c r="U346" s="51"/>
      <c r="V346" s="51">
        <f t="shared" si="43"/>
        <v>0</v>
      </c>
      <c r="W346" s="2"/>
      <c r="Y346" s="74"/>
      <c r="AB346" s="74"/>
      <c r="AD346" s="74"/>
    </row>
    <row r="347" spans="1:39" s="1" customFormat="1" hidden="1" outlineLevel="1" x14ac:dyDescent="0.45">
      <c r="A347" s="2"/>
      <c r="B347" s="51"/>
      <c r="C347" s="51"/>
      <c r="D347" s="51"/>
      <c r="E347" s="51"/>
      <c r="F347" s="51"/>
      <c r="G347" s="51"/>
      <c r="H347" s="80"/>
      <c r="I347" s="51"/>
      <c r="J347" s="51"/>
      <c r="K347" s="51"/>
      <c r="L347" s="51"/>
      <c r="M347" s="51"/>
      <c r="N347" s="81"/>
      <c r="O347" s="51"/>
      <c r="P347" s="51"/>
      <c r="Q347" s="51"/>
      <c r="R347" s="51"/>
      <c r="S347" s="81"/>
      <c r="T347" s="51"/>
      <c r="U347" s="51"/>
      <c r="V347" s="51">
        <f t="shared" si="43"/>
        <v>0</v>
      </c>
      <c r="W347" s="2"/>
      <c r="Y347" s="74"/>
      <c r="AB347" s="74"/>
      <c r="AD347" s="74"/>
    </row>
    <row r="348" spans="1:39" s="1" customFormat="1" hidden="1" outlineLevel="1" x14ac:dyDescent="0.45">
      <c r="A348" s="2"/>
      <c r="B348" s="51"/>
      <c r="C348" s="51"/>
      <c r="D348" s="51"/>
      <c r="E348" s="51"/>
      <c r="F348" s="51"/>
      <c r="G348" s="51"/>
      <c r="H348" s="80"/>
      <c r="I348" s="51"/>
      <c r="J348" s="51"/>
      <c r="K348" s="51"/>
      <c r="L348" s="51"/>
      <c r="M348" s="51"/>
      <c r="N348" s="81"/>
      <c r="O348" s="51"/>
      <c r="P348" s="51"/>
      <c r="Q348" s="51"/>
      <c r="R348" s="51"/>
      <c r="S348" s="81"/>
      <c r="T348" s="51"/>
      <c r="U348" s="51"/>
      <c r="V348" s="51">
        <f t="shared" si="43"/>
        <v>0</v>
      </c>
      <c r="W348" s="2"/>
      <c r="Y348" s="74"/>
      <c r="AB348" s="74"/>
      <c r="AD348" s="74"/>
    </row>
    <row r="349" spans="1:39" ht="15.75" hidden="1" customHeight="1" outlineLevel="1" thickBot="1" x14ac:dyDescent="0.5">
      <c r="A349" s="2"/>
      <c r="B349" s="75"/>
      <c r="C349" s="75"/>
      <c r="D349" s="76"/>
      <c r="E349" s="76"/>
      <c r="F349" s="76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2"/>
      <c r="R349" s="77"/>
      <c r="S349" s="77"/>
      <c r="T349" s="77"/>
      <c r="U349" s="2"/>
      <c r="V349" s="77"/>
      <c r="W349" s="78"/>
      <c r="Y349" s="74"/>
      <c r="Z349" s="6"/>
      <c r="AA349" s="13"/>
      <c r="AB349" s="74"/>
      <c r="AC349" s="6"/>
      <c r="AD349" s="74"/>
      <c r="AE349" s="6"/>
      <c r="AF349" s="6"/>
      <c r="AG349" s="6"/>
      <c r="AH349" s="6"/>
      <c r="AI349" s="6"/>
      <c r="AM349" s="14"/>
    </row>
    <row r="350" spans="1:39" s="1" customFormat="1" ht="12.75" customHeight="1" x14ac:dyDescent="0.4">
      <c r="A350" s="126">
        <v>26</v>
      </c>
      <c r="B350" s="128" t="s">
        <v>216</v>
      </c>
      <c r="C350" s="128" t="s">
        <v>32</v>
      </c>
      <c r="D350" s="137" t="s">
        <v>12</v>
      </c>
      <c r="E350" s="90" t="s">
        <v>15</v>
      </c>
      <c r="F350" s="92"/>
      <c r="G350" s="72">
        <f t="shared" ref="G350:U350" si="44">SUM(G352:G361)</f>
        <v>0</v>
      </c>
      <c r="H350" s="72">
        <f t="shared" si="44"/>
        <v>0</v>
      </c>
      <c r="I350" s="72">
        <f t="shared" si="44"/>
        <v>0</v>
      </c>
      <c r="J350" s="72">
        <f t="shared" si="44"/>
        <v>0</v>
      </c>
      <c r="K350" s="72">
        <f t="shared" si="44"/>
        <v>0</v>
      </c>
      <c r="L350" s="72">
        <f t="shared" si="44"/>
        <v>0</v>
      </c>
      <c r="M350" s="72">
        <f t="shared" si="44"/>
        <v>0</v>
      </c>
      <c r="N350" s="72">
        <f t="shared" si="44"/>
        <v>0</v>
      </c>
      <c r="O350" s="72">
        <f t="shared" si="44"/>
        <v>0</v>
      </c>
      <c r="P350" s="72">
        <f t="shared" si="44"/>
        <v>0</v>
      </c>
      <c r="Q350" s="72">
        <f t="shared" si="44"/>
        <v>0</v>
      </c>
      <c r="R350" s="72">
        <f t="shared" si="44"/>
        <v>0</v>
      </c>
      <c r="S350" s="72">
        <f t="shared" si="44"/>
        <v>0</v>
      </c>
      <c r="T350" s="72">
        <f t="shared" si="44"/>
        <v>0</v>
      </c>
      <c r="U350" s="72">
        <f t="shared" si="44"/>
        <v>0</v>
      </c>
      <c r="V350" s="72">
        <f>SUM(V352:V361)</f>
        <v>0</v>
      </c>
      <c r="W350" s="149">
        <f>V350+V351</f>
        <v>0</v>
      </c>
      <c r="Y350" s="74"/>
      <c r="AB350" s="74"/>
      <c r="AD350" s="74"/>
    </row>
    <row r="351" spans="1:39" s="1" customFormat="1" ht="12.9" collapsed="1" thickBot="1" x14ac:dyDescent="0.45">
      <c r="A351" s="127"/>
      <c r="B351" s="129"/>
      <c r="C351" s="129"/>
      <c r="D351" s="138"/>
      <c r="E351" s="91"/>
      <c r="F351" s="93"/>
      <c r="G351" s="73">
        <f>SUM(G363:G380)</f>
        <v>0</v>
      </c>
      <c r="H351" s="79">
        <f>SUM(H363:H380)</f>
        <v>0</v>
      </c>
      <c r="I351" s="79">
        <f>SUM(I363:I380)</f>
        <v>0</v>
      </c>
      <c r="J351" s="73">
        <f t="shared" ref="J351:Q351" si="45">SUM(J363:J380)</f>
        <v>0</v>
      </c>
      <c r="K351" s="73">
        <f t="shared" si="45"/>
        <v>0</v>
      </c>
      <c r="L351" s="73">
        <f t="shared" si="45"/>
        <v>0</v>
      </c>
      <c r="M351" s="73">
        <f t="shared" si="45"/>
        <v>0</v>
      </c>
      <c r="N351" s="73">
        <f t="shared" si="45"/>
        <v>0</v>
      </c>
      <c r="O351" s="73">
        <f t="shared" si="45"/>
        <v>0</v>
      </c>
      <c r="P351" s="73">
        <f t="shared" si="45"/>
        <v>0</v>
      </c>
      <c r="Q351" s="73">
        <f t="shared" si="45"/>
        <v>0</v>
      </c>
      <c r="R351" s="73">
        <f>SUM(R363:R380)</f>
        <v>0</v>
      </c>
      <c r="S351" s="73">
        <f>SUM(S363:S380)</f>
        <v>0</v>
      </c>
      <c r="T351" s="73">
        <f>SUM(T363:T380)</f>
        <v>0</v>
      </c>
      <c r="U351" s="73">
        <f>SUM(U363:U380)</f>
        <v>0</v>
      </c>
      <c r="V351" s="73">
        <f>SUM(V363:V380)</f>
        <v>0</v>
      </c>
      <c r="W351" s="150"/>
      <c r="Y351" s="74"/>
      <c r="Z351" s="74"/>
      <c r="AB351" s="74"/>
      <c r="AD351" s="74"/>
    </row>
    <row r="352" spans="1:39" s="1" customFormat="1" hidden="1" outlineLevel="1" x14ac:dyDescent="0.45">
      <c r="A352" s="34"/>
      <c r="B352" s="42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51">
        <f>SUM(G352:U352)</f>
        <v>0</v>
      </c>
      <c r="W352" s="2"/>
      <c r="Y352" s="74"/>
      <c r="AB352" s="74"/>
      <c r="AD352" s="74"/>
    </row>
    <row r="353" spans="1:30" s="1" customFormat="1" hidden="1" outlineLevel="1" x14ac:dyDescent="0.45">
      <c r="A353" s="34"/>
      <c r="B353" s="42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51">
        <f>SUM(G353:U353)</f>
        <v>0</v>
      </c>
      <c r="W353" s="2"/>
      <c r="Y353" s="74"/>
      <c r="AB353" s="74"/>
      <c r="AD353" s="74"/>
    </row>
    <row r="354" spans="1:30" s="1" customFormat="1" hidden="1" outlineLevel="1" x14ac:dyDescent="0.45">
      <c r="A354" s="2"/>
      <c r="B354" s="51"/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>
        <f t="shared" ref="V354:V361" si="46">SUM(G354:U354)</f>
        <v>0</v>
      </c>
      <c r="W354" s="2"/>
      <c r="Y354" s="74"/>
      <c r="AB354" s="74"/>
      <c r="AD354" s="74"/>
    </row>
    <row r="355" spans="1:30" s="1" customFormat="1" hidden="1" outlineLevel="1" x14ac:dyDescent="0.45">
      <c r="A355" s="2"/>
      <c r="B355" s="51"/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>
        <f t="shared" si="46"/>
        <v>0</v>
      </c>
      <c r="W355" s="2"/>
      <c r="Y355" s="74"/>
      <c r="AB355" s="74"/>
      <c r="AD355" s="74"/>
    </row>
    <row r="356" spans="1:30" s="1" customFormat="1" hidden="1" outlineLevel="1" x14ac:dyDescent="0.45">
      <c r="A356" s="2"/>
      <c r="B356" s="51"/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>
        <f t="shared" si="46"/>
        <v>0</v>
      </c>
      <c r="W356" s="2"/>
      <c r="Y356" s="74"/>
      <c r="AB356" s="74"/>
      <c r="AD356" s="74"/>
    </row>
    <row r="357" spans="1:30" s="1" customFormat="1" hidden="1" outlineLevel="1" x14ac:dyDescent="0.45">
      <c r="A357" s="2"/>
      <c r="B357" s="51"/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>
        <f t="shared" si="46"/>
        <v>0</v>
      </c>
      <c r="W357" s="2"/>
      <c r="Y357" s="74"/>
      <c r="AB357" s="74"/>
      <c r="AD357" s="74"/>
    </row>
    <row r="358" spans="1:30" s="1" customFormat="1" hidden="1" outlineLevel="1" x14ac:dyDescent="0.45">
      <c r="A358" s="2"/>
      <c r="B358" s="51"/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>
        <f t="shared" si="46"/>
        <v>0</v>
      </c>
      <c r="W358" s="2"/>
      <c r="Y358" s="74"/>
      <c r="AB358" s="74"/>
      <c r="AD358" s="74"/>
    </row>
    <row r="359" spans="1:30" s="1" customFormat="1" hidden="1" outlineLevel="1" x14ac:dyDescent="0.45">
      <c r="A359" s="2"/>
      <c r="B359" s="51"/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>
        <f t="shared" si="46"/>
        <v>0</v>
      </c>
      <c r="W359" s="2"/>
      <c r="Y359" s="74"/>
      <c r="AB359" s="74"/>
      <c r="AD359" s="74"/>
    </row>
    <row r="360" spans="1:30" s="1" customFormat="1" hidden="1" outlineLevel="1" x14ac:dyDescent="0.45">
      <c r="A360" s="2"/>
      <c r="B360" s="51"/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>
        <f t="shared" si="46"/>
        <v>0</v>
      </c>
      <c r="W360" s="2"/>
      <c r="Y360" s="74"/>
      <c r="AB360" s="74"/>
      <c r="AD360" s="74"/>
    </row>
    <row r="361" spans="1:30" s="1" customFormat="1" hidden="1" outlineLevel="1" x14ac:dyDescent="0.45">
      <c r="A361" s="2"/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>
        <f t="shared" si="46"/>
        <v>0</v>
      </c>
      <c r="W361" s="2"/>
      <c r="Y361" s="74"/>
      <c r="AB361" s="74"/>
      <c r="AD361" s="74"/>
    </row>
    <row r="362" spans="1:30" s="1" customFormat="1" hidden="1" outlineLevel="1" x14ac:dyDescent="0.45">
      <c r="A362" s="2"/>
      <c r="B362" s="166" t="s">
        <v>29</v>
      </c>
      <c r="C362" s="166"/>
      <c r="D362" s="166"/>
      <c r="E362" s="166"/>
      <c r="F362" s="166"/>
      <c r="G362" s="166"/>
      <c r="H362" s="166"/>
      <c r="I362" s="166"/>
      <c r="J362" s="166"/>
      <c r="K362" s="166"/>
      <c r="L362" s="166"/>
      <c r="M362" s="166"/>
      <c r="N362" s="166"/>
      <c r="O362" s="166"/>
      <c r="P362" s="166"/>
      <c r="Q362" s="166"/>
      <c r="R362" s="166"/>
      <c r="S362" s="166"/>
      <c r="T362" s="166"/>
      <c r="U362" s="166"/>
      <c r="V362" s="104"/>
      <c r="W362" s="2"/>
      <c r="Y362" s="74"/>
      <c r="AB362" s="74"/>
      <c r="AD362" s="74"/>
    </row>
    <row r="363" spans="1:30" s="1" customFormat="1" hidden="1" outlineLevel="1" x14ac:dyDescent="0.45">
      <c r="A363" s="2"/>
      <c r="B363" s="82"/>
      <c r="C363" s="51"/>
      <c r="D363" s="51"/>
      <c r="E363" s="51"/>
      <c r="F363" s="51"/>
      <c r="G363" s="20"/>
      <c r="H363" s="21"/>
      <c r="I363" s="21"/>
      <c r="J363" s="102"/>
      <c r="K363" s="51"/>
      <c r="L363" s="32"/>
      <c r="M363" s="22"/>
      <c r="N363" s="51"/>
      <c r="O363" s="81"/>
      <c r="P363" s="22"/>
      <c r="Q363" s="51"/>
      <c r="R363" s="51"/>
      <c r="S363" s="51"/>
      <c r="T363" s="51"/>
      <c r="U363" s="51"/>
      <c r="V363" s="51">
        <f t="shared" ref="V363:V379" si="47">SUM(G363:U363)</f>
        <v>0</v>
      </c>
      <c r="W363" s="2"/>
      <c r="Y363" s="74"/>
      <c r="AB363" s="74"/>
      <c r="AD363" s="74"/>
    </row>
    <row r="364" spans="1:30" s="1" customFormat="1" hidden="1" outlineLevel="1" x14ac:dyDescent="0.45">
      <c r="A364" s="2"/>
      <c r="B364" s="82"/>
      <c r="C364" s="51"/>
      <c r="D364" s="51"/>
      <c r="E364" s="51"/>
      <c r="F364" s="51"/>
      <c r="G364" s="20"/>
      <c r="H364" s="21"/>
      <c r="I364" s="21"/>
      <c r="J364" s="102"/>
      <c r="K364" s="51"/>
      <c r="L364" s="32"/>
      <c r="M364" s="22"/>
      <c r="N364" s="51"/>
      <c r="O364" s="81"/>
      <c r="P364" s="22"/>
      <c r="Q364" s="51"/>
      <c r="R364" s="51"/>
      <c r="S364" s="51"/>
      <c r="T364" s="51"/>
      <c r="U364" s="51"/>
      <c r="V364" s="51">
        <f t="shared" si="47"/>
        <v>0</v>
      </c>
      <c r="W364" s="2"/>
      <c r="Y364" s="74"/>
      <c r="AB364" s="74"/>
      <c r="AD364" s="74"/>
    </row>
    <row r="365" spans="1:30" s="1" customFormat="1" hidden="1" outlineLevel="1" x14ac:dyDescent="0.45">
      <c r="A365" s="2"/>
      <c r="B365" s="82"/>
      <c r="C365" s="51"/>
      <c r="D365" s="51"/>
      <c r="E365" s="51"/>
      <c r="F365" s="51"/>
      <c r="G365" s="20"/>
      <c r="H365" s="21"/>
      <c r="I365" s="21"/>
      <c r="J365" s="102"/>
      <c r="K365" s="51"/>
      <c r="L365" s="32"/>
      <c r="M365" s="22"/>
      <c r="N365" s="51"/>
      <c r="O365" s="81"/>
      <c r="P365" s="22"/>
      <c r="Q365" s="51"/>
      <c r="R365" s="51"/>
      <c r="S365" s="51"/>
      <c r="T365" s="51"/>
      <c r="U365" s="51"/>
      <c r="V365" s="51">
        <f t="shared" si="47"/>
        <v>0</v>
      </c>
      <c r="W365" s="2"/>
      <c r="Y365" s="74"/>
      <c r="AB365" s="74"/>
      <c r="AD365" s="74"/>
    </row>
    <row r="366" spans="1:30" s="1" customFormat="1" hidden="1" outlineLevel="1" x14ac:dyDescent="0.45">
      <c r="A366" s="2"/>
      <c r="B366" s="82"/>
      <c r="C366" s="51"/>
      <c r="D366" s="51"/>
      <c r="E366" s="51"/>
      <c r="F366" s="51"/>
      <c r="G366" s="20"/>
      <c r="H366" s="21"/>
      <c r="I366" s="21"/>
      <c r="J366" s="102"/>
      <c r="K366" s="51"/>
      <c r="L366" s="32"/>
      <c r="M366" s="22"/>
      <c r="N366" s="51"/>
      <c r="O366" s="81"/>
      <c r="P366" s="22"/>
      <c r="Q366" s="51"/>
      <c r="R366" s="51"/>
      <c r="S366" s="51"/>
      <c r="T366" s="51"/>
      <c r="U366" s="51"/>
      <c r="V366" s="51">
        <f t="shared" si="47"/>
        <v>0</v>
      </c>
      <c r="W366" s="2"/>
      <c r="Y366" s="74"/>
      <c r="AB366" s="74"/>
      <c r="AD366" s="74"/>
    </row>
    <row r="367" spans="1:30" s="1" customFormat="1" hidden="1" outlineLevel="1" x14ac:dyDescent="0.45">
      <c r="A367" s="2"/>
      <c r="B367" s="51"/>
      <c r="C367" s="51"/>
      <c r="D367" s="51"/>
      <c r="E367" s="51"/>
      <c r="F367" s="51"/>
      <c r="G367" s="51"/>
      <c r="H367" s="80"/>
      <c r="I367" s="51"/>
      <c r="J367" s="51"/>
      <c r="K367" s="51"/>
      <c r="L367" s="51"/>
      <c r="M367" s="51"/>
      <c r="N367" s="81"/>
      <c r="O367" s="51"/>
      <c r="P367" s="51"/>
      <c r="Q367" s="51"/>
      <c r="R367" s="51"/>
      <c r="S367" s="51"/>
      <c r="T367" s="51"/>
      <c r="U367" s="51"/>
      <c r="V367" s="51">
        <f t="shared" si="47"/>
        <v>0</v>
      </c>
      <c r="W367" s="2"/>
      <c r="Y367" s="74"/>
      <c r="AB367" s="74"/>
      <c r="AD367" s="74"/>
    </row>
    <row r="368" spans="1:30" s="1" customFormat="1" hidden="1" outlineLevel="1" x14ac:dyDescent="0.45">
      <c r="A368" s="2"/>
      <c r="B368" s="51"/>
      <c r="C368" s="51"/>
      <c r="D368" s="51"/>
      <c r="E368" s="51"/>
      <c r="F368" s="51"/>
      <c r="G368" s="51"/>
      <c r="H368" s="80"/>
      <c r="I368" s="51"/>
      <c r="J368" s="51"/>
      <c r="K368" s="51"/>
      <c r="L368" s="51"/>
      <c r="M368" s="51"/>
      <c r="N368" s="81"/>
      <c r="O368" s="51"/>
      <c r="P368" s="51"/>
      <c r="Q368" s="51"/>
      <c r="R368" s="51"/>
      <c r="S368" s="51"/>
      <c r="T368" s="51"/>
      <c r="U368" s="51"/>
      <c r="V368" s="51">
        <f t="shared" si="47"/>
        <v>0</v>
      </c>
      <c r="W368" s="2"/>
      <c r="Y368" s="74"/>
      <c r="AB368" s="74"/>
      <c r="AD368" s="74"/>
    </row>
    <row r="369" spans="1:39" s="1" customFormat="1" hidden="1" outlineLevel="1" x14ac:dyDescent="0.45">
      <c r="A369" s="2"/>
      <c r="B369" s="51"/>
      <c r="C369" s="51"/>
      <c r="D369" s="51"/>
      <c r="E369" s="51"/>
      <c r="F369" s="51"/>
      <c r="G369" s="51"/>
      <c r="H369" s="80"/>
      <c r="I369" s="51"/>
      <c r="J369" s="51"/>
      <c r="K369" s="51"/>
      <c r="L369" s="51"/>
      <c r="M369" s="51"/>
      <c r="N369" s="81"/>
      <c r="O369" s="51"/>
      <c r="P369" s="51"/>
      <c r="Q369" s="51"/>
      <c r="R369" s="51"/>
      <c r="S369" s="81"/>
      <c r="T369" s="51"/>
      <c r="U369" s="51"/>
      <c r="V369" s="51">
        <f t="shared" si="47"/>
        <v>0</v>
      </c>
      <c r="W369" s="2"/>
      <c r="Y369" s="74"/>
      <c r="AB369" s="74"/>
      <c r="AD369" s="74"/>
    </row>
    <row r="370" spans="1:39" s="1" customFormat="1" hidden="1" outlineLevel="1" x14ac:dyDescent="0.45">
      <c r="A370" s="2"/>
      <c r="B370" s="51"/>
      <c r="C370" s="51"/>
      <c r="D370" s="51"/>
      <c r="E370" s="51"/>
      <c r="F370" s="51"/>
      <c r="G370" s="51"/>
      <c r="H370" s="80"/>
      <c r="I370" s="51"/>
      <c r="J370" s="51"/>
      <c r="K370" s="51"/>
      <c r="L370" s="51"/>
      <c r="M370" s="51"/>
      <c r="N370" s="81"/>
      <c r="O370" s="51"/>
      <c r="P370" s="51"/>
      <c r="Q370" s="51"/>
      <c r="R370" s="51"/>
      <c r="S370" s="81"/>
      <c r="T370" s="51"/>
      <c r="U370" s="51"/>
      <c r="V370" s="51">
        <f t="shared" si="47"/>
        <v>0</v>
      </c>
      <c r="W370" s="2"/>
      <c r="Y370" s="74"/>
      <c r="AB370" s="74"/>
      <c r="AD370" s="74"/>
    </row>
    <row r="371" spans="1:39" s="1" customFormat="1" hidden="1" outlineLevel="1" x14ac:dyDescent="0.45">
      <c r="A371" s="2"/>
      <c r="B371" s="51"/>
      <c r="C371" s="51"/>
      <c r="D371" s="51"/>
      <c r="E371" s="51"/>
      <c r="F371" s="51"/>
      <c r="G371" s="51"/>
      <c r="H371" s="80"/>
      <c r="I371" s="51"/>
      <c r="J371" s="51"/>
      <c r="K371" s="51"/>
      <c r="L371" s="51"/>
      <c r="M371" s="51"/>
      <c r="N371" s="81"/>
      <c r="O371" s="51"/>
      <c r="P371" s="51"/>
      <c r="Q371" s="51"/>
      <c r="R371" s="51"/>
      <c r="S371" s="81"/>
      <c r="T371" s="51"/>
      <c r="U371" s="51"/>
      <c r="V371" s="51">
        <f t="shared" si="47"/>
        <v>0</v>
      </c>
      <c r="W371" s="2"/>
      <c r="Y371" s="74"/>
      <c r="AB371" s="74"/>
      <c r="AD371" s="74"/>
    </row>
    <row r="372" spans="1:39" s="1" customFormat="1" hidden="1" outlineLevel="1" x14ac:dyDescent="0.45">
      <c r="A372" s="2"/>
      <c r="B372" s="51"/>
      <c r="C372" s="51"/>
      <c r="D372" s="51"/>
      <c r="E372" s="51"/>
      <c r="F372" s="51"/>
      <c r="G372" s="51"/>
      <c r="H372" s="80"/>
      <c r="I372" s="51"/>
      <c r="J372" s="51"/>
      <c r="K372" s="51"/>
      <c r="L372" s="51"/>
      <c r="M372" s="51"/>
      <c r="N372" s="81"/>
      <c r="O372" s="51"/>
      <c r="P372" s="51"/>
      <c r="Q372" s="51"/>
      <c r="R372" s="51"/>
      <c r="S372" s="81"/>
      <c r="T372" s="51"/>
      <c r="U372" s="51"/>
      <c r="V372" s="51">
        <f t="shared" si="47"/>
        <v>0</v>
      </c>
      <c r="W372" s="2"/>
      <c r="Y372" s="74"/>
      <c r="AB372" s="74"/>
      <c r="AD372" s="74"/>
    </row>
    <row r="373" spans="1:39" s="1" customFormat="1" hidden="1" outlineLevel="1" x14ac:dyDescent="0.45">
      <c r="A373" s="2"/>
      <c r="B373" s="51"/>
      <c r="C373" s="51"/>
      <c r="D373" s="51"/>
      <c r="E373" s="51"/>
      <c r="F373" s="51"/>
      <c r="G373" s="51"/>
      <c r="H373" s="80"/>
      <c r="I373" s="51"/>
      <c r="J373" s="51"/>
      <c r="K373" s="51"/>
      <c r="L373" s="51"/>
      <c r="M373" s="51"/>
      <c r="N373" s="81"/>
      <c r="O373" s="51"/>
      <c r="P373" s="51"/>
      <c r="Q373" s="51"/>
      <c r="R373" s="51"/>
      <c r="S373" s="81"/>
      <c r="T373" s="51"/>
      <c r="U373" s="51"/>
      <c r="V373" s="51">
        <f t="shared" si="47"/>
        <v>0</v>
      </c>
      <c r="W373" s="2"/>
      <c r="Y373" s="74"/>
      <c r="AB373" s="74"/>
      <c r="AD373" s="74"/>
    </row>
    <row r="374" spans="1:39" s="1" customFormat="1" hidden="1" outlineLevel="1" x14ac:dyDescent="0.45">
      <c r="A374" s="2"/>
      <c r="B374" s="51"/>
      <c r="C374" s="51"/>
      <c r="D374" s="51"/>
      <c r="E374" s="51"/>
      <c r="F374" s="51"/>
      <c r="G374" s="51"/>
      <c r="H374" s="80"/>
      <c r="I374" s="51"/>
      <c r="J374" s="51"/>
      <c r="K374" s="51"/>
      <c r="L374" s="51"/>
      <c r="M374" s="51"/>
      <c r="N374" s="81"/>
      <c r="O374" s="51"/>
      <c r="P374" s="51"/>
      <c r="Q374" s="51"/>
      <c r="R374" s="51"/>
      <c r="S374" s="81"/>
      <c r="T374" s="51"/>
      <c r="U374" s="51"/>
      <c r="V374" s="51">
        <f t="shared" si="47"/>
        <v>0</v>
      </c>
      <c r="W374" s="2"/>
      <c r="Y374" s="74"/>
      <c r="AB374" s="74"/>
      <c r="AD374" s="74"/>
    </row>
    <row r="375" spans="1:39" s="1" customFormat="1" hidden="1" outlineLevel="1" x14ac:dyDescent="0.45">
      <c r="A375" s="2"/>
      <c r="B375" s="51"/>
      <c r="C375" s="51"/>
      <c r="D375" s="51"/>
      <c r="E375" s="51"/>
      <c r="F375" s="51"/>
      <c r="G375" s="51"/>
      <c r="H375" s="80"/>
      <c r="I375" s="51"/>
      <c r="J375" s="51"/>
      <c r="K375" s="51"/>
      <c r="L375" s="51"/>
      <c r="M375" s="51"/>
      <c r="N375" s="81"/>
      <c r="O375" s="51"/>
      <c r="P375" s="51"/>
      <c r="Q375" s="51"/>
      <c r="R375" s="51"/>
      <c r="S375" s="81"/>
      <c r="T375" s="51"/>
      <c r="U375" s="51"/>
      <c r="V375" s="51">
        <f t="shared" si="47"/>
        <v>0</v>
      </c>
      <c r="W375" s="2"/>
      <c r="Y375" s="74"/>
      <c r="AB375" s="74"/>
      <c r="AD375" s="74"/>
    </row>
    <row r="376" spans="1:39" s="1" customFormat="1" hidden="1" outlineLevel="1" x14ac:dyDescent="0.45">
      <c r="A376" s="2"/>
      <c r="B376" s="51"/>
      <c r="C376" s="51"/>
      <c r="D376" s="51"/>
      <c r="E376" s="51"/>
      <c r="F376" s="51"/>
      <c r="G376" s="51"/>
      <c r="H376" s="80"/>
      <c r="I376" s="51"/>
      <c r="J376" s="51"/>
      <c r="K376" s="51"/>
      <c r="L376" s="51"/>
      <c r="M376" s="51"/>
      <c r="N376" s="81"/>
      <c r="O376" s="51"/>
      <c r="P376" s="51"/>
      <c r="Q376" s="51"/>
      <c r="R376" s="51"/>
      <c r="S376" s="81"/>
      <c r="T376" s="51"/>
      <c r="U376" s="51"/>
      <c r="V376" s="51">
        <f t="shared" si="47"/>
        <v>0</v>
      </c>
      <c r="W376" s="2"/>
      <c r="Y376" s="74"/>
      <c r="AB376" s="74"/>
      <c r="AD376" s="74"/>
    </row>
    <row r="377" spans="1:39" s="1" customFormat="1" hidden="1" outlineLevel="1" x14ac:dyDescent="0.45">
      <c r="A377" s="2"/>
      <c r="B377" s="51"/>
      <c r="C377" s="51"/>
      <c r="D377" s="51"/>
      <c r="E377" s="51"/>
      <c r="F377" s="51"/>
      <c r="G377" s="51"/>
      <c r="H377" s="80"/>
      <c r="I377" s="51"/>
      <c r="J377" s="51"/>
      <c r="K377" s="51"/>
      <c r="L377" s="51"/>
      <c r="M377" s="51"/>
      <c r="N377" s="81"/>
      <c r="O377" s="51"/>
      <c r="P377" s="51"/>
      <c r="Q377" s="51"/>
      <c r="R377" s="51"/>
      <c r="S377" s="81"/>
      <c r="T377" s="51"/>
      <c r="U377" s="51"/>
      <c r="V377" s="51">
        <f t="shared" si="47"/>
        <v>0</v>
      </c>
      <c r="W377" s="2"/>
      <c r="Y377" s="74"/>
      <c r="AB377" s="74"/>
      <c r="AD377" s="74"/>
    </row>
    <row r="378" spans="1:39" s="1" customFormat="1" hidden="1" outlineLevel="1" x14ac:dyDescent="0.45">
      <c r="A378" s="2"/>
      <c r="B378" s="51"/>
      <c r="C378" s="51"/>
      <c r="D378" s="51"/>
      <c r="E378" s="51"/>
      <c r="F378" s="51"/>
      <c r="G378" s="51"/>
      <c r="H378" s="80"/>
      <c r="I378" s="51"/>
      <c r="J378" s="51"/>
      <c r="K378" s="51"/>
      <c r="L378" s="51"/>
      <c r="M378" s="51"/>
      <c r="N378" s="81"/>
      <c r="O378" s="51"/>
      <c r="P378" s="51"/>
      <c r="Q378" s="51"/>
      <c r="R378" s="51"/>
      <c r="S378" s="81"/>
      <c r="T378" s="51"/>
      <c r="U378" s="51"/>
      <c r="V378" s="51">
        <f t="shared" si="47"/>
        <v>0</v>
      </c>
      <c r="W378" s="2"/>
      <c r="Y378" s="74"/>
      <c r="AB378" s="74"/>
      <c r="AD378" s="74"/>
    </row>
    <row r="379" spans="1:39" s="1" customFormat="1" hidden="1" outlineLevel="1" x14ac:dyDescent="0.45">
      <c r="A379" s="2"/>
      <c r="B379" s="51"/>
      <c r="C379" s="51"/>
      <c r="D379" s="51"/>
      <c r="E379" s="51"/>
      <c r="F379" s="51"/>
      <c r="G379" s="51"/>
      <c r="H379" s="80"/>
      <c r="I379" s="51"/>
      <c r="J379" s="51"/>
      <c r="K379" s="51"/>
      <c r="L379" s="51"/>
      <c r="M379" s="51"/>
      <c r="N379" s="81"/>
      <c r="O379" s="51"/>
      <c r="P379" s="51"/>
      <c r="Q379" s="51"/>
      <c r="R379" s="51"/>
      <c r="S379" s="81"/>
      <c r="T379" s="51"/>
      <c r="U379" s="51"/>
      <c r="V379" s="51">
        <f t="shared" si="47"/>
        <v>0</v>
      </c>
      <c r="W379" s="2"/>
      <c r="Y379" s="74"/>
      <c r="AB379" s="74"/>
      <c r="AD379" s="74"/>
    </row>
    <row r="380" spans="1:39" ht="15.75" hidden="1" customHeight="1" outlineLevel="1" thickBot="1" x14ac:dyDescent="0.5">
      <c r="A380" s="2"/>
      <c r="B380" s="75"/>
      <c r="C380" s="75"/>
      <c r="D380" s="76"/>
      <c r="E380" s="76"/>
      <c r="F380" s="76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2"/>
      <c r="R380" s="77"/>
      <c r="S380" s="77"/>
      <c r="T380" s="77"/>
      <c r="U380" s="2"/>
      <c r="V380" s="77"/>
      <c r="W380" s="78"/>
      <c r="Y380" s="74"/>
      <c r="Z380" s="6"/>
      <c r="AA380" s="13"/>
      <c r="AB380" s="74"/>
      <c r="AC380" s="6"/>
      <c r="AD380" s="74"/>
      <c r="AE380" s="6"/>
      <c r="AF380" s="6"/>
      <c r="AG380" s="6"/>
      <c r="AH380" s="6"/>
      <c r="AI380" s="6"/>
      <c r="AM380" s="14"/>
    </row>
    <row r="381" spans="1:39" s="1" customFormat="1" ht="12.75" customHeight="1" x14ac:dyDescent="0.4">
      <c r="A381" s="126">
        <v>27</v>
      </c>
      <c r="B381" s="128" t="s">
        <v>217</v>
      </c>
      <c r="C381" s="128" t="s">
        <v>9</v>
      </c>
      <c r="D381" s="137" t="s">
        <v>34</v>
      </c>
      <c r="E381" s="90"/>
      <c r="F381" s="92"/>
      <c r="G381" s="72">
        <f t="shared" ref="G381:U381" si="48">SUM(G383:G392)</f>
        <v>0</v>
      </c>
      <c r="H381" s="72">
        <f t="shared" si="48"/>
        <v>0</v>
      </c>
      <c r="I381" s="72">
        <f t="shared" si="48"/>
        <v>0</v>
      </c>
      <c r="J381" s="72">
        <f t="shared" si="48"/>
        <v>0</v>
      </c>
      <c r="K381" s="72">
        <f t="shared" si="48"/>
        <v>0</v>
      </c>
      <c r="L381" s="72">
        <f t="shared" si="48"/>
        <v>0</v>
      </c>
      <c r="M381" s="72">
        <f t="shared" si="48"/>
        <v>0</v>
      </c>
      <c r="N381" s="72">
        <f t="shared" si="48"/>
        <v>0</v>
      </c>
      <c r="O381" s="72">
        <f t="shared" si="48"/>
        <v>0</v>
      </c>
      <c r="P381" s="72">
        <f t="shared" si="48"/>
        <v>0</v>
      </c>
      <c r="Q381" s="72">
        <f t="shared" si="48"/>
        <v>0</v>
      </c>
      <c r="R381" s="72">
        <f t="shared" si="48"/>
        <v>0</v>
      </c>
      <c r="S381" s="72">
        <f t="shared" si="48"/>
        <v>0</v>
      </c>
      <c r="T381" s="72">
        <f t="shared" si="48"/>
        <v>0</v>
      </c>
      <c r="U381" s="72">
        <f t="shared" si="48"/>
        <v>0</v>
      </c>
      <c r="V381" s="72">
        <f>SUM(V383:V392)</f>
        <v>0</v>
      </c>
      <c r="W381" s="149">
        <f>V381+V382</f>
        <v>0</v>
      </c>
      <c r="Y381" s="74"/>
      <c r="AB381" s="74"/>
      <c r="AD381" s="74"/>
    </row>
    <row r="382" spans="1:39" s="1" customFormat="1" ht="12.9" collapsed="1" thickBot="1" x14ac:dyDescent="0.45">
      <c r="A382" s="127"/>
      <c r="B382" s="129"/>
      <c r="C382" s="129"/>
      <c r="D382" s="138"/>
      <c r="E382" s="91"/>
      <c r="F382" s="93"/>
      <c r="G382" s="73">
        <f>SUM(G394:G411)</f>
        <v>0</v>
      </c>
      <c r="H382" s="79">
        <f>SUM(H394:H411)</f>
        <v>0</v>
      </c>
      <c r="I382" s="79">
        <f>SUM(I394:I411)</f>
        <v>0</v>
      </c>
      <c r="J382" s="73">
        <f t="shared" ref="J382:Q382" si="49">SUM(J394:J411)</f>
        <v>0</v>
      </c>
      <c r="K382" s="73">
        <f t="shared" si="49"/>
        <v>0</v>
      </c>
      <c r="L382" s="73">
        <f t="shared" si="49"/>
        <v>0</v>
      </c>
      <c r="M382" s="73">
        <f t="shared" si="49"/>
        <v>0</v>
      </c>
      <c r="N382" s="73">
        <f t="shared" si="49"/>
        <v>0</v>
      </c>
      <c r="O382" s="73">
        <f t="shared" si="49"/>
        <v>0</v>
      </c>
      <c r="P382" s="73">
        <f t="shared" si="49"/>
        <v>0</v>
      </c>
      <c r="Q382" s="73">
        <f t="shared" si="49"/>
        <v>0</v>
      </c>
      <c r="R382" s="73">
        <f>SUM(R394:R411)</f>
        <v>0</v>
      </c>
      <c r="S382" s="73">
        <f>SUM(S394:S411)</f>
        <v>0</v>
      </c>
      <c r="T382" s="73">
        <f>SUM(T394:T411)</f>
        <v>0</v>
      </c>
      <c r="U382" s="73">
        <f>SUM(U394:U411)</f>
        <v>0</v>
      </c>
      <c r="V382" s="73">
        <f>SUM(V394:V411)</f>
        <v>0</v>
      </c>
      <c r="W382" s="150"/>
      <c r="Y382" s="74"/>
      <c r="Z382" s="74"/>
      <c r="AB382" s="74"/>
      <c r="AD382" s="74"/>
    </row>
    <row r="383" spans="1:39" s="1" customFormat="1" hidden="1" outlineLevel="1" x14ac:dyDescent="0.45">
      <c r="A383" s="2"/>
      <c r="B383" s="51"/>
      <c r="C383" s="51"/>
      <c r="D383" s="51"/>
      <c r="E383" s="51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>
        <f>SUM(G383:U383)</f>
        <v>0</v>
      </c>
      <c r="W383" s="2"/>
      <c r="Y383" s="74"/>
      <c r="AB383" s="74"/>
      <c r="AD383" s="74"/>
    </row>
    <row r="384" spans="1:39" s="1" customFormat="1" hidden="1" outlineLevel="1" x14ac:dyDescent="0.45">
      <c r="A384" s="2"/>
      <c r="B384" s="51"/>
      <c r="C384" s="51"/>
      <c r="D384" s="51"/>
      <c r="E384" s="51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>
        <f>SUM(G384:U384)</f>
        <v>0</v>
      </c>
      <c r="W384" s="2"/>
      <c r="Y384" s="74"/>
      <c r="AB384" s="74"/>
      <c r="AD384" s="74"/>
    </row>
    <row r="385" spans="1:30" s="1" customFormat="1" hidden="1" outlineLevel="1" x14ac:dyDescent="0.45">
      <c r="A385" s="2"/>
      <c r="B385" s="51"/>
      <c r="C385" s="51"/>
      <c r="D385" s="51"/>
      <c r="E385" s="51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>
        <f t="shared" ref="V385:V392" si="50">SUM(G385:U385)</f>
        <v>0</v>
      </c>
      <c r="W385" s="2"/>
      <c r="Y385" s="74"/>
      <c r="AB385" s="74"/>
      <c r="AD385" s="74"/>
    </row>
    <row r="386" spans="1:30" s="1" customFormat="1" hidden="1" outlineLevel="1" x14ac:dyDescent="0.45">
      <c r="A386" s="2"/>
      <c r="B386" s="51"/>
      <c r="C386" s="51"/>
      <c r="D386" s="51"/>
      <c r="E386" s="51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>
        <f t="shared" si="50"/>
        <v>0</v>
      </c>
      <c r="W386" s="2"/>
      <c r="Y386" s="74"/>
      <c r="AB386" s="74"/>
      <c r="AD386" s="74"/>
    </row>
    <row r="387" spans="1:30" s="1" customFormat="1" hidden="1" outlineLevel="1" x14ac:dyDescent="0.45">
      <c r="A387" s="2"/>
      <c r="B387" s="51"/>
      <c r="C387" s="51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>
        <f t="shared" si="50"/>
        <v>0</v>
      </c>
      <c r="W387" s="2"/>
      <c r="Y387" s="74"/>
      <c r="AB387" s="74"/>
      <c r="AD387" s="74"/>
    </row>
    <row r="388" spans="1:30" s="1" customFormat="1" hidden="1" outlineLevel="1" x14ac:dyDescent="0.45">
      <c r="A388" s="2"/>
      <c r="B388" s="51"/>
      <c r="C388" s="51"/>
      <c r="D388" s="51"/>
      <c r="E388" s="51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>
        <f t="shared" si="50"/>
        <v>0</v>
      </c>
      <c r="W388" s="2"/>
      <c r="Y388" s="74"/>
      <c r="AB388" s="74"/>
      <c r="AD388" s="74"/>
    </row>
    <row r="389" spans="1:30" s="1" customFormat="1" hidden="1" outlineLevel="1" x14ac:dyDescent="0.45">
      <c r="A389" s="2"/>
      <c r="B389" s="51"/>
      <c r="C389" s="51"/>
      <c r="D389" s="51"/>
      <c r="E389" s="51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>
        <f t="shared" si="50"/>
        <v>0</v>
      </c>
      <c r="W389" s="2"/>
      <c r="Y389" s="74"/>
      <c r="AB389" s="74"/>
      <c r="AD389" s="74"/>
    </row>
    <row r="390" spans="1:30" s="1" customFormat="1" hidden="1" outlineLevel="1" x14ac:dyDescent="0.45">
      <c r="A390" s="2"/>
      <c r="B390" s="51"/>
      <c r="C390" s="51"/>
      <c r="D390" s="51"/>
      <c r="E390" s="51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>
        <f t="shared" si="50"/>
        <v>0</v>
      </c>
      <c r="W390" s="2"/>
      <c r="Y390" s="74"/>
      <c r="AB390" s="74"/>
      <c r="AD390" s="74"/>
    </row>
    <row r="391" spans="1:30" s="1" customFormat="1" hidden="1" outlineLevel="1" x14ac:dyDescent="0.45">
      <c r="A391" s="2"/>
      <c r="B391" s="51"/>
      <c r="C391" s="51"/>
      <c r="D391" s="51"/>
      <c r="E391" s="51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>
        <f t="shared" si="50"/>
        <v>0</v>
      </c>
      <c r="W391" s="2"/>
      <c r="Y391" s="74"/>
      <c r="AB391" s="74"/>
      <c r="AD391" s="74"/>
    </row>
    <row r="392" spans="1:30" s="1" customFormat="1" hidden="1" outlineLevel="1" x14ac:dyDescent="0.45">
      <c r="A392" s="2"/>
      <c r="B392" s="51"/>
      <c r="C392" s="51"/>
      <c r="D392" s="51"/>
      <c r="E392" s="51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>
        <f t="shared" si="50"/>
        <v>0</v>
      </c>
      <c r="W392" s="2"/>
      <c r="Y392" s="74"/>
      <c r="AB392" s="74"/>
      <c r="AD392" s="74"/>
    </row>
    <row r="393" spans="1:30" s="1" customFormat="1" hidden="1" outlineLevel="1" x14ac:dyDescent="0.45">
      <c r="A393" s="2"/>
      <c r="B393" s="166" t="s">
        <v>29</v>
      </c>
      <c r="C393" s="166"/>
      <c r="D393" s="166"/>
      <c r="E393" s="166"/>
      <c r="F393" s="166"/>
      <c r="G393" s="166"/>
      <c r="H393" s="166"/>
      <c r="I393" s="166"/>
      <c r="J393" s="166"/>
      <c r="K393" s="166"/>
      <c r="L393" s="166"/>
      <c r="M393" s="166"/>
      <c r="N393" s="166"/>
      <c r="O393" s="166"/>
      <c r="P393" s="166"/>
      <c r="Q393" s="166"/>
      <c r="R393" s="166"/>
      <c r="S393" s="166"/>
      <c r="T393" s="166"/>
      <c r="U393" s="166"/>
      <c r="V393" s="104"/>
      <c r="W393" s="2"/>
      <c r="Y393" s="74"/>
      <c r="AB393" s="74"/>
      <c r="AD393" s="74"/>
    </row>
    <row r="394" spans="1:30" s="1" customFormat="1" hidden="1" outlineLevel="1" x14ac:dyDescent="0.45">
      <c r="A394" s="2"/>
      <c r="B394" s="82"/>
      <c r="C394" s="51"/>
      <c r="D394" s="51"/>
      <c r="E394" s="51"/>
      <c r="F394" s="51"/>
      <c r="G394" s="20"/>
      <c r="H394" s="21"/>
      <c r="I394" s="21"/>
      <c r="J394" s="102"/>
      <c r="K394" s="51"/>
      <c r="L394" s="32"/>
      <c r="M394" s="22"/>
      <c r="N394" s="51"/>
      <c r="O394" s="81"/>
      <c r="P394" s="22"/>
      <c r="Q394" s="51"/>
      <c r="R394" s="51"/>
      <c r="S394" s="51"/>
      <c r="T394" s="51"/>
      <c r="U394" s="51"/>
      <c r="V394" s="51">
        <f t="shared" ref="V394:V410" si="51">SUM(G394:U394)</f>
        <v>0</v>
      </c>
      <c r="W394" s="2"/>
      <c r="Y394" s="74"/>
      <c r="AB394" s="74"/>
      <c r="AD394" s="74"/>
    </row>
    <row r="395" spans="1:30" s="1" customFormat="1" hidden="1" outlineLevel="1" x14ac:dyDescent="0.45">
      <c r="A395" s="2"/>
      <c r="B395" s="82"/>
      <c r="C395" s="51"/>
      <c r="D395" s="51"/>
      <c r="E395" s="51"/>
      <c r="F395" s="51"/>
      <c r="G395" s="20"/>
      <c r="H395" s="21"/>
      <c r="I395" s="21"/>
      <c r="J395" s="102"/>
      <c r="K395" s="51"/>
      <c r="L395" s="32"/>
      <c r="M395" s="22"/>
      <c r="N395" s="51"/>
      <c r="O395" s="81"/>
      <c r="P395" s="22"/>
      <c r="Q395" s="51"/>
      <c r="R395" s="51"/>
      <c r="S395" s="51"/>
      <c r="T395" s="51"/>
      <c r="U395" s="51"/>
      <c r="V395" s="51">
        <f t="shared" si="51"/>
        <v>0</v>
      </c>
      <c r="W395" s="2"/>
      <c r="Y395" s="74"/>
      <c r="AB395" s="74"/>
      <c r="AD395" s="74"/>
    </row>
    <row r="396" spans="1:30" s="1" customFormat="1" hidden="1" outlineLevel="1" x14ac:dyDescent="0.45">
      <c r="A396" s="2"/>
      <c r="B396" s="82"/>
      <c r="C396" s="51"/>
      <c r="D396" s="51"/>
      <c r="E396" s="51"/>
      <c r="F396" s="51"/>
      <c r="G396" s="20"/>
      <c r="H396" s="21"/>
      <c r="I396" s="21"/>
      <c r="J396" s="102"/>
      <c r="K396" s="51"/>
      <c r="L396" s="32"/>
      <c r="M396" s="22"/>
      <c r="N396" s="51"/>
      <c r="O396" s="81"/>
      <c r="P396" s="22"/>
      <c r="Q396" s="51"/>
      <c r="R396" s="51"/>
      <c r="S396" s="51"/>
      <c r="T396" s="51"/>
      <c r="U396" s="51"/>
      <c r="V396" s="51">
        <f t="shared" si="51"/>
        <v>0</v>
      </c>
      <c r="W396" s="2"/>
      <c r="Y396" s="74"/>
      <c r="AB396" s="74"/>
      <c r="AD396" s="74"/>
    </row>
    <row r="397" spans="1:30" s="1" customFormat="1" hidden="1" outlineLevel="1" x14ac:dyDescent="0.45">
      <c r="A397" s="2"/>
      <c r="B397" s="82"/>
      <c r="C397" s="51"/>
      <c r="D397" s="51"/>
      <c r="E397" s="51"/>
      <c r="F397" s="51"/>
      <c r="G397" s="20"/>
      <c r="H397" s="21"/>
      <c r="I397" s="21"/>
      <c r="J397" s="102"/>
      <c r="K397" s="51"/>
      <c r="L397" s="32"/>
      <c r="M397" s="22"/>
      <c r="N397" s="51"/>
      <c r="O397" s="81"/>
      <c r="P397" s="22"/>
      <c r="Q397" s="51"/>
      <c r="R397" s="51"/>
      <c r="S397" s="51"/>
      <c r="T397" s="51"/>
      <c r="U397" s="51"/>
      <c r="V397" s="51">
        <f t="shared" si="51"/>
        <v>0</v>
      </c>
      <c r="W397" s="2"/>
      <c r="Y397" s="74"/>
      <c r="AB397" s="74"/>
      <c r="AD397" s="74"/>
    </row>
    <row r="398" spans="1:30" s="1" customFormat="1" hidden="1" outlineLevel="1" x14ac:dyDescent="0.45">
      <c r="A398" s="2"/>
      <c r="B398" s="51"/>
      <c r="C398" s="51"/>
      <c r="D398" s="51"/>
      <c r="E398" s="51"/>
      <c r="F398" s="51"/>
      <c r="G398" s="51"/>
      <c r="H398" s="80"/>
      <c r="I398" s="51"/>
      <c r="J398" s="51"/>
      <c r="K398" s="51"/>
      <c r="L398" s="51"/>
      <c r="M398" s="51"/>
      <c r="N398" s="81"/>
      <c r="O398" s="51"/>
      <c r="P398" s="51"/>
      <c r="Q398" s="51"/>
      <c r="R398" s="51"/>
      <c r="S398" s="51"/>
      <c r="T398" s="51"/>
      <c r="U398" s="51"/>
      <c r="V398" s="51">
        <f t="shared" si="51"/>
        <v>0</v>
      </c>
      <c r="W398" s="2"/>
      <c r="Y398" s="74"/>
      <c r="AB398" s="74"/>
      <c r="AD398" s="74"/>
    </row>
    <row r="399" spans="1:30" s="1" customFormat="1" hidden="1" outlineLevel="1" x14ac:dyDescent="0.45">
      <c r="A399" s="2"/>
      <c r="B399" s="51"/>
      <c r="C399" s="51"/>
      <c r="D399" s="51"/>
      <c r="E399" s="51"/>
      <c r="F399" s="51"/>
      <c r="G399" s="51"/>
      <c r="H399" s="80"/>
      <c r="I399" s="51"/>
      <c r="J399" s="51"/>
      <c r="K399" s="51"/>
      <c r="L399" s="51"/>
      <c r="M399" s="51"/>
      <c r="N399" s="81"/>
      <c r="O399" s="51"/>
      <c r="P399" s="51"/>
      <c r="Q399" s="51"/>
      <c r="R399" s="51"/>
      <c r="S399" s="51"/>
      <c r="T399" s="51"/>
      <c r="U399" s="51"/>
      <c r="V399" s="51">
        <f t="shared" si="51"/>
        <v>0</v>
      </c>
      <c r="W399" s="2"/>
      <c r="Y399" s="74"/>
      <c r="AB399" s="74"/>
      <c r="AD399" s="74"/>
    </row>
    <row r="400" spans="1:30" s="1" customFormat="1" hidden="1" outlineLevel="1" x14ac:dyDescent="0.45">
      <c r="A400" s="2"/>
      <c r="B400" s="51"/>
      <c r="C400" s="51"/>
      <c r="D400" s="51"/>
      <c r="E400" s="51"/>
      <c r="F400" s="51"/>
      <c r="G400" s="51"/>
      <c r="H400" s="80"/>
      <c r="I400" s="51"/>
      <c r="J400" s="51"/>
      <c r="K400" s="51"/>
      <c r="L400" s="51"/>
      <c r="M400" s="51"/>
      <c r="N400" s="81"/>
      <c r="O400" s="51"/>
      <c r="P400" s="51"/>
      <c r="Q400" s="51"/>
      <c r="R400" s="51"/>
      <c r="S400" s="81"/>
      <c r="T400" s="51"/>
      <c r="U400" s="51"/>
      <c r="V400" s="51">
        <f t="shared" si="51"/>
        <v>0</v>
      </c>
      <c r="W400" s="2"/>
      <c r="Y400" s="74"/>
      <c r="AB400" s="74"/>
      <c r="AD400" s="74"/>
    </row>
    <row r="401" spans="1:39" s="1" customFormat="1" hidden="1" outlineLevel="1" x14ac:dyDescent="0.45">
      <c r="A401" s="2"/>
      <c r="B401" s="51"/>
      <c r="C401" s="51"/>
      <c r="D401" s="51"/>
      <c r="E401" s="51"/>
      <c r="F401" s="51"/>
      <c r="G401" s="51"/>
      <c r="H401" s="80"/>
      <c r="I401" s="51"/>
      <c r="J401" s="51"/>
      <c r="K401" s="51"/>
      <c r="L401" s="51"/>
      <c r="M401" s="51"/>
      <c r="N401" s="81"/>
      <c r="O401" s="51"/>
      <c r="P401" s="51"/>
      <c r="Q401" s="51"/>
      <c r="R401" s="51"/>
      <c r="S401" s="81"/>
      <c r="T401" s="51"/>
      <c r="U401" s="51"/>
      <c r="V401" s="51">
        <f t="shared" si="51"/>
        <v>0</v>
      </c>
      <c r="W401" s="2"/>
      <c r="Y401" s="74"/>
      <c r="AB401" s="74"/>
      <c r="AD401" s="74"/>
    </row>
    <row r="402" spans="1:39" s="1" customFormat="1" hidden="1" outlineLevel="1" x14ac:dyDescent="0.45">
      <c r="A402" s="2"/>
      <c r="B402" s="51"/>
      <c r="C402" s="51"/>
      <c r="D402" s="51"/>
      <c r="E402" s="51"/>
      <c r="F402" s="51"/>
      <c r="G402" s="51"/>
      <c r="H402" s="80"/>
      <c r="I402" s="51"/>
      <c r="J402" s="51"/>
      <c r="K402" s="51"/>
      <c r="L402" s="51"/>
      <c r="M402" s="51"/>
      <c r="N402" s="81"/>
      <c r="O402" s="51"/>
      <c r="P402" s="51"/>
      <c r="Q402" s="51"/>
      <c r="R402" s="51"/>
      <c r="S402" s="81"/>
      <c r="T402" s="51"/>
      <c r="U402" s="51"/>
      <c r="V402" s="51">
        <f t="shared" si="51"/>
        <v>0</v>
      </c>
      <c r="W402" s="2"/>
      <c r="Y402" s="74"/>
      <c r="AB402" s="74"/>
      <c r="AD402" s="74"/>
    </row>
    <row r="403" spans="1:39" s="1" customFormat="1" hidden="1" outlineLevel="1" x14ac:dyDescent="0.45">
      <c r="A403" s="2"/>
      <c r="B403" s="51"/>
      <c r="C403" s="51"/>
      <c r="D403" s="51"/>
      <c r="E403" s="51"/>
      <c r="F403" s="51"/>
      <c r="G403" s="51"/>
      <c r="H403" s="80"/>
      <c r="I403" s="51"/>
      <c r="J403" s="51"/>
      <c r="K403" s="51"/>
      <c r="L403" s="51"/>
      <c r="M403" s="51"/>
      <c r="N403" s="81"/>
      <c r="O403" s="51"/>
      <c r="P403" s="51"/>
      <c r="Q403" s="51"/>
      <c r="R403" s="51"/>
      <c r="S403" s="81"/>
      <c r="T403" s="51"/>
      <c r="U403" s="51"/>
      <c r="V403" s="51">
        <f t="shared" si="51"/>
        <v>0</v>
      </c>
      <c r="W403" s="2"/>
      <c r="Y403" s="74"/>
      <c r="AB403" s="74"/>
      <c r="AD403" s="74"/>
    </row>
    <row r="404" spans="1:39" s="1" customFormat="1" hidden="1" outlineLevel="1" x14ac:dyDescent="0.45">
      <c r="A404" s="2"/>
      <c r="B404" s="51"/>
      <c r="C404" s="51"/>
      <c r="D404" s="51"/>
      <c r="E404" s="51"/>
      <c r="F404" s="51"/>
      <c r="G404" s="51"/>
      <c r="H404" s="80"/>
      <c r="I404" s="51"/>
      <c r="J404" s="51"/>
      <c r="K404" s="51"/>
      <c r="L404" s="51"/>
      <c r="M404" s="51"/>
      <c r="N404" s="81"/>
      <c r="O404" s="51"/>
      <c r="P404" s="51"/>
      <c r="Q404" s="51"/>
      <c r="R404" s="51"/>
      <c r="S404" s="81"/>
      <c r="T404" s="51"/>
      <c r="U404" s="51"/>
      <c r="V404" s="51">
        <f t="shared" si="51"/>
        <v>0</v>
      </c>
      <c r="W404" s="2"/>
      <c r="Y404" s="74"/>
      <c r="AB404" s="74"/>
      <c r="AD404" s="74"/>
    </row>
    <row r="405" spans="1:39" s="1" customFormat="1" hidden="1" outlineLevel="1" x14ac:dyDescent="0.45">
      <c r="A405" s="2"/>
      <c r="B405" s="51"/>
      <c r="C405" s="51"/>
      <c r="D405" s="51"/>
      <c r="E405" s="51"/>
      <c r="F405" s="51"/>
      <c r="G405" s="51"/>
      <c r="H405" s="80"/>
      <c r="I405" s="51"/>
      <c r="J405" s="51"/>
      <c r="K405" s="51"/>
      <c r="L405" s="51"/>
      <c r="M405" s="51"/>
      <c r="N405" s="81"/>
      <c r="O405" s="51"/>
      <c r="P405" s="51"/>
      <c r="Q405" s="51"/>
      <c r="R405" s="51"/>
      <c r="S405" s="81"/>
      <c r="T405" s="51"/>
      <c r="U405" s="51"/>
      <c r="V405" s="51">
        <f t="shared" si="51"/>
        <v>0</v>
      </c>
      <c r="W405" s="2"/>
      <c r="Y405" s="74"/>
      <c r="AB405" s="74"/>
      <c r="AD405" s="74"/>
    </row>
    <row r="406" spans="1:39" s="1" customFormat="1" hidden="1" outlineLevel="1" x14ac:dyDescent="0.45">
      <c r="A406" s="2"/>
      <c r="B406" s="51"/>
      <c r="C406" s="51"/>
      <c r="D406" s="51"/>
      <c r="E406" s="51"/>
      <c r="F406" s="51"/>
      <c r="G406" s="51"/>
      <c r="H406" s="80"/>
      <c r="I406" s="51"/>
      <c r="J406" s="51"/>
      <c r="K406" s="51"/>
      <c r="L406" s="51"/>
      <c r="M406" s="51"/>
      <c r="N406" s="81"/>
      <c r="O406" s="51"/>
      <c r="P406" s="51"/>
      <c r="Q406" s="51"/>
      <c r="R406" s="51"/>
      <c r="S406" s="81"/>
      <c r="T406" s="51"/>
      <c r="U406" s="51"/>
      <c r="V406" s="51">
        <f t="shared" si="51"/>
        <v>0</v>
      </c>
      <c r="W406" s="2"/>
      <c r="Y406" s="74"/>
      <c r="AB406" s="74"/>
      <c r="AD406" s="74"/>
    </row>
    <row r="407" spans="1:39" s="1" customFormat="1" hidden="1" outlineLevel="1" x14ac:dyDescent="0.45">
      <c r="A407" s="2"/>
      <c r="B407" s="51"/>
      <c r="C407" s="51"/>
      <c r="D407" s="51"/>
      <c r="E407" s="51"/>
      <c r="F407" s="51"/>
      <c r="G407" s="51"/>
      <c r="H407" s="80"/>
      <c r="I407" s="51"/>
      <c r="J407" s="51"/>
      <c r="K407" s="51"/>
      <c r="L407" s="51"/>
      <c r="M407" s="51"/>
      <c r="N407" s="81"/>
      <c r="O407" s="51"/>
      <c r="P407" s="51"/>
      <c r="Q407" s="51"/>
      <c r="R407" s="51"/>
      <c r="S407" s="81"/>
      <c r="T407" s="51"/>
      <c r="U407" s="51"/>
      <c r="V407" s="51">
        <f t="shared" si="51"/>
        <v>0</v>
      </c>
      <c r="W407" s="2"/>
      <c r="Y407" s="74"/>
      <c r="AB407" s="74"/>
      <c r="AD407" s="74"/>
    </row>
    <row r="408" spans="1:39" s="1" customFormat="1" hidden="1" outlineLevel="1" x14ac:dyDescent="0.45">
      <c r="A408" s="2"/>
      <c r="B408" s="51"/>
      <c r="C408" s="51"/>
      <c r="D408" s="51"/>
      <c r="E408" s="51"/>
      <c r="F408" s="51"/>
      <c r="G408" s="51"/>
      <c r="H408" s="80"/>
      <c r="I408" s="51"/>
      <c r="J408" s="51"/>
      <c r="K408" s="51"/>
      <c r="L408" s="51"/>
      <c r="M408" s="51"/>
      <c r="N408" s="81"/>
      <c r="O408" s="51"/>
      <c r="P408" s="51"/>
      <c r="Q408" s="51"/>
      <c r="R408" s="51"/>
      <c r="S408" s="81"/>
      <c r="T408" s="51"/>
      <c r="U408" s="51"/>
      <c r="V408" s="51">
        <f t="shared" si="51"/>
        <v>0</v>
      </c>
      <c r="W408" s="2"/>
      <c r="Y408" s="74"/>
      <c r="AB408" s="74"/>
      <c r="AD408" s="74"/>
    </row>
    <row r="409" spans="1:39" s="1" customFormat="1" hidden="1" outlineLevel="1" x14ac:dyDescent="0.45">
      <c r="A409" s="2"/>
      <c r="B409" s="51"/>
      <c r="C409" s="51"/>
      <c r="D409" s="51"/>
      <c r="E409" s="51"/>
      <c r="F409" s="51"/>
      <c r="G409" s="51"/>
      <c r="H409" s="80"/>
      <c r="I409" s="51"/>
      <c r="J409" s="51"/>
      <c r="K409" s="51"/>
      <c r="L409" s="51"/>
      <c r="M409" s="51"/>
      <c r="N409" s="81"/>
      <c r="O409" s="51"/>
      <c r="P409" s="51"/>
      <c r="Q409" s="51"/>
      <c r="R409" s="51"/>
      <c r="S409" s="81"/>
      <c r="T409" s="51"/>
      <c r="U409" s="51"/>
      <c r="V409" s="51">
        <f t="shared" si="51"/>
        <v>0</v>
      </c>
      <c r="W409" s="2"/>
      <c r="Y409" s="74"/>
      <c r="AB409" s="74"/>
      <c r="AD409" s="74"/>
    </row>
    <row r="410" spans="1:39" s="1" customFormat="1" hidden="1" outlineLevel="1" x14ac:dyDescent="0.45">
      <c r="A410" s="2"/>
      <c r="B410" s="51"/>
      <c r="C410" s="51"/>
      <c r="D410" s="51"/>
      <c r="E410" s="51"/>
      <c r="F410" s="51"/>
      <c r="G410" s="51"/>
      <c r="H410" s="80"/>
      <c r="I410" s="51"/>
      <c r="J410" s="51"/>
      <c r="K410" s="51"/>
      <c r="L410" s="51"/>
      <c r="M410" s="51"/>
      <c r="N410" s="81"/>
      <c r="O410" s="51"/>
      <c r="P410" s="51"/>
      <c r="Q410" s="51"/>
      <c r="R410" s="51"/>
      <c r="S410" s="81"/>
      <c r="T410" s="51"/>
      <c r="U410" s="51"/>
      <c r="V410" s="51">
        <f t="shared" si="51"/>
        <v>0</v>
      </c>
      <c r="W410" s="2"/>
      <c r="Y410" s="74"/>
      <c r="AB410" s="74"/>
      <c r="AD410" s="74"/>
    </row>
    <row r="411" spans="1:39" ht="15.75" hidden="1" customHeight="1" outlineLevel="1" thickBot="1" x14ac:dyDescent="0.5">
      <c r="A411" s="2"/>
      <c r="B411" s="75"/>
      <c r="C411" s="75"/>
      <c r="D411" s="76"/>
      <c r="E411" s="76"/>
      <c r="F411" s="76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2"/>
      <c r="R411" s="77"/>
      <c r="S411" s="77"/>
      <c r="T411" s="77"/>
      <c r="U411" s="2"/>
      <c r="V411" s="77"/>
      <c r="W411" s="78"/>
      <c r="Y411" s="74"/>
      <c r="Z411" s="6"/>
      <c r="AA411" s="13"/>
      <c r="AB411" s="74"/>
      <c r="AC411" s="6"/>
      <c r="AD411" s="74"/>
      <c r="AE411" s="6"/>
      <c r="AF411" s="6"/>
      <c r="AG411" s="6"/>
      <c r="AH411" s="6"/>
      <c r="AI411" s="6"/>
      <c r="AM411" s="14"/>
    </row>
    <row r="412" spans="1:39" s="1" customFormat="1" ht="12.75" customHeight="1" x14ac:dyDescent="0.4">
      <c r="A412" s="126">
        <v>28</v>
      </c>
      <c r="B412" s="128" t="s">
        <v>218</v>
      </c>
      <c r="C412" s="128" t="s">
        <v>9</v>
      </c>
      <c r="D412" s="137"/>
      <c r="E412" s="90"/>
      <c r="F412" s="92"/>
      <c r="G412" s="72">
        <f t="shared" ref="G412:U412" si="52">SUM(G414:G423)</f>
        <v>0</v>
      </c>
      <c r="H412" s="72">
        <f t="shared" si="52"/>
        <v>0</v>
      </c>
      <c r="I412" s="72">
        <f t="shared" si="52"/>
        <v>0</v>
      </c>
      <c r="J412" s="72">
        <f t="shared" si="52"/>
        <v>0</v>
      </c>
      <c r="K412" s="72">
        <f t="shared" si="52"/>
        <v>0</v>
      </c>
      <c r="L412" s="72">
        <f t="shared" si="52"/>
        <v>0</v>
      </c>
      <c r="M412" s="72">
        <f t="shared" si="52"/>
        <v>0</v>
      </c>
      <c r="N412" s="72">
        <f t="shared" si="52"/>
        <v>0</v>
      </c>
      <c r="O412" s="72">
        <f t="shared" si="52"/>
        <v>0</v>
      </c>
      <c r="P412" s="72">
        <f t="shared" si="52"/>
        <v>0</v>
      </c>
      <c r="Q412" s="72">
        <f t="shared" si="52"/>
        <v>0</v>
      </c>
      <c r="R412" s="72">
        <f t="shared" si="52"/>
        <v>0</v>
      </c>
      <c r="S412" s="72">
        <f t="shared" si="52"/>
        <v>0</v>
      </c>
      <c r="T412" s="72">
        <f t="shared" si="52"/>
        <v>0</v>
      </c>
      <c r="U412" s="72">
        <f t="shared" si="52"/>
        <v>0</v>
      </c>
      <c r="V412" s="72">
        <f>SUM(V414:V423)</f>
        <v>0</v>
      </c>
      <c r="W412" s="149">
        <f>V412+V413</f>
        <v>0</v>
      </c>
      <c r="Y412" s="74"/>
      <c r="AB412" s="74"/>
      <c r="AD412" s="74"/>
    </row>
    <row r="413" spans="1:39" s="1" customFormat="1" ht="12.9" collapsed="1" thickBot="1" x14ac:dyDescent="0.45">
      <c r="A413" s="127"/>
      <c r="B413" s="129"/>
      <c r="C413" s="129"/>
      <c r="D413" s="138"/>
      <c r="E413" s="91"/>
      <c r="F413" s="93"/>
      <c r="G413" s="73">
        <f>SUM(G425:G442)</f>
        <v>0</v>
      </c>
      <c r="H413" s="79">
        <f>SUM(H425:H442)</f>
        <v>0</v>
      </c>
      <c r="I413" s="79">
        <f>SUM(I425:I442)</f>
        <v>0</v>
      </c>
      <c r="J413" s="73">
        <f t="shared" ref="J413:Q413" si="53">SUM(J425:J442)</f>
        <v>0</v>
      </c>
      <c r="K413" s="73">
        <f t="shared" si="53"/>
        <v>0</v>
      </c>
      <c r="L413" s="73">
        <f t="shared" si="53"/>
        <v>0</v>
      </c>
      <c r="M413" s="73">
        <f t="shared" si="53"/>
        <v>0</v>
      </c>
      <c r="N413" s="73">
        <f t="shared" si="53"/>
        <v>0</v>
      </c>
      <c r="O413" s="73">
        <f t="shared" si="53"/>
        <v>0</v>
      </c>
      <c r="P413" s="73">
        <f t="shared" si="53"/>
        <v>0</v>
      </c>
      <c r="Q413" s="73">
        <f t="shared" si="53"/>
        <v>0</v>
      </c>
      <c r="R413" s="73">
        <f>SUM(R425:R442)</f>
        <v>0</v>
      </c>
      <c r="S413" s="73">
        <f>SUM(S425:S442)</f>
        <v>0</v>
      </c>
      <c r="T413" s="73">
        <f>SUM(T425:T442)</f>
        <v>0</v>
      </c>
      <c r="U413" s="73">
        <f>SUM(U425:U442)</f>
        <v>0</v>
      </c>
      <c r="V413" s="73">
        <f>SUM(V425:V442)</f>
        <v>0</v>
      </c>
      <c r="W413" s="150"/>
      <c r="Y413" s="74"/>
      <c r="Z413" s="74"/>
      <c r="AB413" s="74"/>
      <c r="AD413" s="74"/>
    </row>
    <row r="414" spans="1:39" s="1" customFormat="1" hidden="1" outlineLevel="1" x14ac:dyDescent="0.45">
      <c r="A414" s="2"/>
      <c r="B414" s="51"/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>
        <f>SUM(G414:U414)</f>
        <v>0</v>
      </c>
      <c r="W414" s="2"/>
      <c r="Y414" s="74"/>
      <c r="AB414" s="74"/>
      <c r="AD414" s="74"/>
    </row>
    <row r="415" spans="1:39" s="1" customFormat="1" hidden="1" outlineLevel="1" x14ac:dyDescent="0.45">
      <c r="A415" s="2"/>
      <c r="B415" s="51"/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>
        <f>SUM(G415:U415)</f>
        <v>0</v>
      </c>
      <c r="W415" s="2"/>
      <c r="Y415" s="74"/>
      <c r="AB415" s="74"/>
      <c r="AD415" s="74"/>
    </row>
    <row r="416" spans="1:39" s="1" customFormat="1" hidden="1" outlineLevel="1" x14ac:dyDescent="0.45">
      <c r="A416" s="2"/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>
        <f t="shared" ref="V416:V423" si="54">SUM(G416:U416)</f>
        <v>0</v>
      </c>
      <c r="W416" s="2"/>
      <c r="Y416" s="74"/>
      <c r="AB416" s="74"/>
      <c r="AD416" s="74"/>
    </row>
    <row r="417" spans="1:30" s="1" customFormat="1" hidden="1" outlineLevel="1" x14ac:dyDescent="0.45">
      <c r="A417" s="2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>
        <f t="shared" si="54"/>
        <v>0</v>
      </c>
      <c r="W417" s="2"/>
      <c r="Y417" s="74"/>
      <c r="AB417" s="74"/>
      <c r="AD417" s="74"/>
    </row>
    <row r="418" spans="1:30" s="1" customFormat="1" hidden="1" outlineLevel="1" x14ac:dyDescent="0.45">
      <c r="A418" s="2"/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>
        <f t="shared" si="54"/>
        <v>0</v>
      </c>
      <c r="W418" s="2"/>
      <c r="Y418" s="74"/>
      <c r="AB418" s="74"/>
      <c r="AD418" s="74"/>
    </row>
    <row r="419" spans="1:30" s="1" customFormat="1" hidden="1" outlineLevel="1" x14ac:dyDescent="0.45">
      <c r="A419" s="2"/>
      <c r="B419" s="51"/>
      <c r="C419" s="51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>
        <f t="shared" si="54"/>
        <v>0</v>
      </c>
      <c r="W419" s="2"/>
      <c r="Y419" s="74"/>
      <c r="AB419" s="74"/>
      <c r="AD419" s="74"/>
    </row>
    <row r="420" spans="1:30" s="1" customFormat="1" hidden="1" outlineLevel="1" x14ac:dyDescent="0.45">
      <c r="A420" s="2"/>
      <c r="B420" s="51"/>
      <c r="C420" s="51"/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>
        <f t="shared" si="54"/>
        <v>0</v>
      </c>
      <c r="W420" s="2"/>
      <c r="Y420" s="74"/>
      <c r="AB420" s="74"/>
      <c r="AD420" s="74"/>
    </row>
    <row r="421" spans="1:30" s="1" customFormat="1" hidden="1" outlineLevel="1" x14ac:dyDescent="0.45">
      <c r="A421" s="2"/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>
        <f t="shared" si="54"/>
        <v>0</v>
      </c>
      <c r="W421" s="2"/>
      <c r="Y421" s="74"/>
      <c r="AB421" s="74"/>
      <c r="AD421" s="74"/>
    </row>
    <row r="422" spans="1:30" s="1" customFormat="1" hidden="1" outlineLevel="1" x14ac:dyDescent="0.45">
      <c r="A422" s="2"/>
      <c r="B422" s="51"/>
      <c r="C422" s="51"/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>
        <f t="shared" si="54"/>
        <v>0</v>
      </c>
      <c r="W422" s="2"/>
      <c r="Y422" s="74"/>
      <c r="AB422" s="74"/>
      <c r="AD422" s="74"/>
    </row>
    <row r="423" spans="1:30" s="1" customFormat="1" hidden="1" outlineLevel="1" x14ac:dyDescent="0.45">
      <c r="A423" s="2"/>
      <c r="B423" s="51"/>
      <c r="C423" s="51"/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>
        <f t="shared" si="54"/>
        <v>0</v>
      </c>
      <c r="W423" s="2"/>
      <c r="Y423" s="74"/>
      <c r="AB423" s="74"/>
      <c r="AD423" s="74"/>
    </row>
    <row r="424" spans="1:30" s="1" customFormat="1" hidden="1" outlineLevel="1" x14ac:dyDescent="0.45">
      <c r="A424" s="2"/>
      <c r="B424" s="166" t="s">
        <v>29</v>
      </c>
      <c r="C424" s="166"/>
      <c r="D424" s="166"/>
      <c r="E424" s="166"/>
      <c r="F424" s="166"/>
      <c r="G424" s="166"/>
      <c r="H424" s="166"/>
      <c r="I424" s="166"/>
      <c r="J424" s="166"/>
      <c r="K424" s="166"/>
      <c r="L424" s="166"/>
      <c r="M424" s="166"/>
      <c r="N424" s="166"/>
      <c r="O424" s="166"/>
      <c r="P424" s="166"/>
      <c r="Q424" s="166"/>
      <c r="R424" s="166"/>
      <c r="S424" s="166"/>
      <c r="T424" s="166"/>
      <c r="U424" s="166"/>
      <c r="V424" s="104"/>
      <c r="W424" s="2"/>
      <c r="Y424" s="74"/>
      <c r="AB424" s="74"/>
      <c r="AD424" s="74"/>
    </row>
    <row r="425" spans="1:30" s="1" customFormat="1" hidden="1" outlineLevel="1" x14ac:dyDescent="0.45">
      <c r="A425" s="2"/>
      <c r="B425" s="82"/>
      <c r="C425" s="51"/>
      <c r="D425" s="51"/>
      <c r="E425" s="51"/>
      <c r="F425" s="51"/>
      <c r="G425" s="20"/>
      <c r="H425" s="21"/>
      <c r="I425" s="21"/>
      <c r="J425" s="102"/>
      <c r="K425" s="51"/>
      <c r="L425" s="32"/>
      <c r="M425" s="22"/>
      <c r="N425" s="51"/>
      <c r="O425" s="81"/>
      <c r="P425" s="22"/>
      <c r="Q425" s="51"/>
      <c r="R425" s="51"/>
      <c r="S425" s="51"/>
      <c r="T425" s="51"/>
      <c r="U425" s="51"/>
      <c r="V425" s="51">
        <f t="shared" ref="V425:V441" si="55">SUM(G425:U425)</f>
        <v>0</v>
      </c>
      <c r="W425" s="2"/>
      <c r="Y425" s="74"/>
      <c r="AB425" s="74"/>
      <c r="AD425" s="74"/>
    </row>
    <row r="426" spans="1:30" s="1" customFormat="1" hidden="1" outlineLevel="1" x14ac:dyDescent="0.45">
      <c r="A426" s="2"/>
      <c r="B426" s="82"/>
      <c r="C426" s="51"/>
      <c r="D426" s="51"/>
      <c r="E426" s="51"/>
      <c r="F426" s="51"/>
      <c r="G426" s="20"/>
      <c r="H426" s="21"/>
      <c r="I426" s="21"/>
      <c r="J426" s="102"/>
      <c r="K426" s="51"/>
      <c r="L426" s="32"/>
      <c r="M426" s="22"/>
      <c r="N426" s="51"/>
      <c r="O426" s="81"/>
      <c r="P426" s="22"/>
      <c r="Q426" s="51"/>
      <c r="R426" s="51"/>
      <c r="S426" s="51"/>
      <c r="T426" s="51"/>
      <c r="U426" s="51"/>
      <c r="V426" s="51">
        <f t="shared" si="55"/>
        <v>0</v>
      </c>
      <c r="W426" s="2"/>
      <c r="Y426" s="74"/>
      <c r="AB426" s="74"/>
      <c r="AD426" s="74"/>
    </row>
    <row r="427" spans="1:30" s="1" customFormat="1" hidden="1" outlineLevel="1" x14ac:dyDescent="0.45">
      <c r="A427" s="2"/>
      <c r="B427" s="82"/>
      <c r="C427" s="51"/>
      <c r="D427" s="51"/>
      <c r="E427" s="51"/>
      <c r="F427" s="51"/>
      <c r="G427" s="20"/>
      <c r="H427" s="21"/>
      <c r="I427" s="21"/>
      <c r="J427" s="102"/>
      <c r="K427" s="51"/>
      <c r="L427" s="32"/>
      <c r="M427" s="22"/>
      <c r="N427" s="51"/>
      <c r="O427" s="81"/>
      <c r="P427" s="22"/>
      <c r="Q427" s="51"/>
      <c r="R427" s="51"/>
      <c r="S427" s="51"/>
      <c r="T427" s="51"/>
      <c r="U427" s="51"/>
      <c r="V427" s="51">
        <f t="shared" si="55"/>
        <v>0</v>
      </c>
      <c r="W427" s="2"/>
      <c r="Y427" s="74"/>
      <c r="AB427" s="74"/>
      <c r="AD427" s="74"/>
    </row>
    <row r="428" spans="1:30" s="1" customFormat="1" hidden="1" outlineLevel="1" x14ac:dyDescent="0.45">
      <c r="A428" s="2"/>
      <c r="B428" s="82"/>
      <c r="C428" s="51"/>
      <c r="D428" s="51"/>
      <c r="E428" s="51"/>
      <c r="F428" s="51"/>
      <c r="G428" s="20"/>
      <c r="H428" s="21"/>
      <c r="I428" s="21"/>
      <c r="J428" s="102"/>
      <c r="K428" s="51"/>
      <c r="L428" s="32"/>
      <c r="M428" s="22"/>
      <c r="N428" s="51"/>
      <c r="O428" s="81"/>
      <c r="P428" s="22"/>
      <c r="Q428" s="51"/>
      <c r="R428" s="51"/>
      <c r="S428" s="51"/>
      <c r="T428" s="51"/>
      <c r="U428" s="51"/>
      <c r="V428" s="51">
        <f t="shared" si="55"/>
        <v>0</v>
      </c>
      <c r="W428" s="2"/>
      <c r="Y428" s="74"/>
      <c r="AB428" s="74"/>
      <c r="AD428" s="74"/>
    </row>
    <row r="429" spans="1:30" s="1" customFormat="1" hidden="1" outlineLevel="1" x14ac:dyDescent="0.45">
      <c r="A429" s="2"/>
      <c r="B429" s="51"/>
      <c r="C429" s="51"/>
      <c r="D429" s="51"/>
      <c r="E429" s="51"/>
      <c r="F429" s="51"/>
      <c r="G429" s="51"/>
      <c r="H429" s="80"/>
      <c r="I429" s="51"/>
      <c r="J429" s="51"/>
      <c r="K429" s="51"/>
      <c r="L429" s="51"/>
      <c r="M429" s="51"/>
      <c r="N429" s="81"/>
      <c r="O429" s="51"/>
      <c r="P429" s="51"/>
      <c r="Q429" s="51"/>
      <c r="R429" s="51"/>
      <c r="S429" s="51"/>
      <c r="T429" s="51"/>
      <c r="U429" s="51"/>
      <c r="V429" s="51">
        <f t="shared" si="55"/>
        <v>0</v>
      </c>
      <c r="W429" s="2"/>
      <c r="Y429" s="74"/>
      <c r="AB429" s="74"/>
      <c r="AD429" s="74"/>
    </row>
    <row r="430" spans="1:30" s="1" customFormat="1" hidden="1" outlineLevel="1" x14ac:dyDescent="0.45">
      <c r="A430" s="2"/>
      <c r="B430" s="51"/>
      <c r="C430" s="51"/>
      <c r="D430" s="51"/>
      <c r="E430" s="51"/>
      <c r="F430" s="51"/>
      <c r="G430" s="51"/>
      <c r="H430" s="80"/>
      <c r="I430" s="51"/>
      <c r="J430" s="51"/>
      <c r="K430" s="51"/>
      <c r="L430" s="51"/>
      <c r="M430" s="51"/>
      <c r="N430" s="81"/>
      <c r="O430" s="51"/>
      <c r="P430" s="51"/>
      <c r="Q430" s="51"/>
      <c r="R430" s="51"/>
      <c r="S430" s="51"/>
      <c r="T430" s="51"/>
      <c r="U430" s="51"/>
      <c r="V430" s="51">
        <f t="shared" si="55"/>
        <v>0</v>
      </c>
      <c r="W430" s="2"/>
      <c r="Y430" s="74"/>
      <c r="AB430" s="74"/>
      <c r="AD430" s="74"/>
    </row>
    <row r="431" spans="1:30" s="1" customFormat="1" hidden="1" outlineLevel="1" x14ac:dyDescent="0.45">
      <c r="A431" s="2"/>
      <c r="B431" s="51"/>
      <c r="C431" s="51"/>
      <c r="D431" s="51"/>
      <c r="E431" s="51"/>
      <c r="F431" s="51"/>
      <c r="G431" s="51"/>
      <c r="H431" s="80"/>
      <c r="I431" s="51"/>
      <c r="J431" s="51"/>
      <c r="K431" s="51"/>
      <c r="L431" s="51"/>
      <c r="M431" s="51"/>
      <c r="N431" s="81"/>
      <c r="O431" s="51"/>
      <c r="P431" s="51"/>
      <c r="Q431" s="51"/>
      <c r="R431" s="51"/>
      <c r="S431" s="81"/>
      <c r="T431" s="51"/>
      <c r="U431" s="51"/>
      <c r="V431" s="51">
        <f t="shared" si="55"/>
        <v>0</v>
      </c>
      <c r="W431" s="2"/>
      <c r="Y431" s="74"/>
      <c r="AB431" s="74"/>
      <c r="AD431" s="74"/>
    </row>
    <row r="432" spans="1:30" s="1" customFormat="1" hidden="1" outlineLevel="1" x14ac:dyDescent="0.45">
      <c r="A432" s="2"/>
      <c r="B432" s="51"/>
      <c r="C432" s="51"/>
      <c r="D432" s="51"/>
      <c r="E432" s="51"/>
      <c r="F432" s="51"/>
      <c r="G432" s="51"/>
      <c r="H432" s="80"/>
      <c r="I432" s="51"/>
      <c r="J432" s="51"/>
      <c r="K432" s="51"/>
      <c r="L432" s="51"/>
      <c r="M432" s="51"/>
      <c r="N432" s="81"/>
      <c r="O432" s="51"/>
      <c r="P432" s="51"/>
      <c r="Q432" s="51"/>
      <c r="R432" s="51"/>
      <c r="S432" s="81"/>
      <c r="T432" s="51"/>
      <c r="U432" s="51"/>
      <c r="V432" s="51">
        <f t="shared" si="55"/>
        <v>0</v>
      </c>
      <c r="W432" s="2"/>
      <c r="Y432" s="74"/>
      <c r="AB432" s="74"/>
      <c r="AD432" s="74"/>
    </row>
    <row r="433" spans="1:39" s="1" customFormat="1" hidden="1" outlineLevel="1" x14ac:dyDescent="0.45">
      <c r="A433" s="2"/>
      <c r="B433" s="51"/>
      <c r="C433" s="51"/>
      <c r="D433" s="51"/>
      <c r="E433" s="51"/>
      <c r="F433" s="51"/>
      <c r="G433" s="51"/>
      <c r="H433" s="80"/>
      <c r="I433" s="51"/>
      <c r="J433" s="51"/>
      <c r="K433" s="51"/>
      <c r="L433" s="51"/>
      <c r="M433" s="51"/>
      <c r="N433" s="81"/>
      <c r="O433" s="51"/>
      <c r="P433" s="51"/>
      <c r="Q433" s="51"/>
      <c r="R433" s="51"/>
      <c r="S433" s="81"/>
      <c r="T433" s="51"/>
      <c r="U433" s="51"/>
      <c r="V433" s="51">
        <f t="shared" si="55"/>
        <v>0</v>
      </c>
      <c r="W433" s="2"/>
      <c r="Y433" s="74"/>
      <c r="AB433" s="74"/>
      <c r="AD433" s="74"/>
    </row>
    <row r="434" spans="1:39" s="1" customFormat="1" hidden="1" outlineLevel="1" x14ac:dyDescent="0.45">
      <c r="A434" s="2"/>
      <c r="B434" s="51"/>
      <c r="C434" s="51"/>
      <c r="D434" s="51"/>
      <c r="E434" s="51"/>
      <c r="F434" s="51"/>
      <c r="G434" s="51"/>
      <c r="H434" s="80"/>
      <c r="I434" s="51"/>
      <c r="J434" s="51"/>
      <c r="K434" s="51"/>
      <c r="L434" s="51"/>
      <c r="M434" s="51"/>
      <c r="N434" s="81"/>
      <c r="O434" s="51"/>
      <c r="P434" s="51"/>
      <c r="Q434" s="51"/>
      <c r="R434" s="51"/>
      <c r="S434" s="81"/>
      <c r="T434" s="51"/>
      <c r="U434" s="51"/>
      <c r="V434" s="51">
        <f t="shared" si="55"/>
        <v>0</v>
      </c>
      <c r="W434" s="2"/>
      <c r="Y434" s="74"/>
      <c r="AB434" s="74"/>
      <c r="AD434" s="74"/>
    </row>
    <row r="435" spans="1:39" s="1" customFormat="1" hidden="1" outlineLevel="1" x14ac:dyDescent="0.45">
      <c r="A435" s="2"/>
      <c r="B435" s="51"/>
      <c r="C435" s="51"/>
      <c r="D435" s="51"/>
      <c r="E435" s="51"/>
      <c r="F435" s="51"/>
      <c r="G435" s="51"/>
      <c r="H435" s="80"/>
      <c r="I435" s="51"/>
      <c r="J435" s="51"/>
      <c r="K435" s="51"/>
      <c r="L435" s="51"/>
      <c r="M435" s="51"/>
      <c r="N435" s="81"/>
      <c r="O435" s="51"/>
      <c r="P435" s="51"/>
      <c r="Q435" s="51"/>
      <c r="R435" s="51"/>
      <c r="S435" s="81"/>
      <c r="T435" s="51"/>
      <c r="U435" s="51"/>
      <c r="V435" s="51">
        <f t="shared" si="55"/>
        <v>0</v>
      </c>
      <c r="W435" s="2"/>
      <c r="Y435" s="74"/>
      <c r="AB435" s="74"/>
      <c r="AD435" s="74"/>
    </row>
    <row r="436" spans="1:39" s="1" customFormat="1" hidden="1" outlineLevel="1" x14ac:dyDescent="0.45">
      <c r="A436" s="2"/>
      <c r="B436" s="51"/>
      <c r="C436" s="51"/>
      <c r="D436" s="51"/>
      <c r="E436" s="51"/>
      <c r="F436" s="51"/>
      <c r="G436" s="51"/>
      <c r="H436" s="80"/>
      <c r="I436" s="51"/>
      <c r="J436" s="51"/>
      <c r="K436" s="51"/>
      <c r="L436" s="51"/>
      <c r="M436" s="51"/>
      <c r="N436" s="81"/>
      <c r="O436" s="51"/>
      <c r="P436" s="51"/>
      <c r="Q436" s="51"/>
      <c r="R436" s="51"/>
      <c r="S436" s="81"/>
      <c r="T436" s="51"/>
      <c r="U436" s="51"/>
      <c r="V436" s="51">
        <f t="shared" si="55"/>
        <v>0</v>
      </c>
      <c r="W436" s="2"/>
      <c r="Y436" s="74"/>
      <c r="AB436" s="74"/>
      <c r="AD436" s="74"/>
    </row>
    <row r="437" spans="1:39" s="1" customFormat="1" hidden="1" outlineLevel="1" x14ac:dyDescent="0.45">
      <c r="A437" s="2"/>
      <c r="B437" s="51"/>
      <c r="C437" s="51"/>
      <c r="D437" s="51"/>
      <c r="E437" s="51"/>
      <c r="F437" s="51"/>
      <c r="G437" s="51"/>
      <c r="H437" s="80"/>
      <c r="I437" s="51"/>
      <c r="J437" s="51"/>
      <c r="K437" s="51"/>
      <c r="L437" s="51"/>
      <c r="M437" s="51"/>
      <c r="N437" s="81"/>
      <c r="O437" s="51"/>
      <c r="P437" s="51"/>
      <c r="Q437" s="51"/>
      <c r="R437" s="51"/>
      <c r="S437" s="81"/>
      <c r="T437" s="51"/>
      <c r="U437" s="51"/>
      <c r="V437" s="51">
        <f t="shared" si="55"/>
        <v>0</v>
      </c>
      <c r="W437" s="2"/>
      <c r="Y437" s="74"/>
      <c r="AB437" s="74"/>
      <c r="AD437" s="74"/>
    </row>
    <row r="438" spans="1:39" s="1" customFormat="1" hidden="1" outlineLevel="1" x14ac:dyDescent="0.45">
      <c r="A438" s="2"/>
      <c r="B438" s="51"/>
      <c r="C438" s="51"/>
      <c r="D438" s="51"/>
      <c r="E438" s="51"/>
      <c r="F438" s="51"/>
      <c r="G438" s="51"/>
      <c r="H438" s="80"/>
      <c r="I438" s="51"/>
      <c r="J438" s="51"/>
      <c r="K438" s="51"/>
      <c r="L438" s="51"/>
      <c r="M438" s="51"/>
      <c r="N438" s="81"/>
      <c r="O438" s="51"/>
      <c r="P438" s="51"/>
      <c r="Q438" s="51"/>
      <c r="R438" s="51"/>
      <c r="S438" s="81"/>
      <c r="T438" s="51"/>
      <c r="U438" s="51"/>
      <c r="V438" s="51">
        <f t="shared" si="55"/>
        <v>0</v>
      </c>
      <c r="W438" s="2"/>
      <c r="Y438" s="74"/>
      <c r="AB438" s="74"/>
      <c r="AD438" s="74"/>
    </row>
    <row r="439" spans="1:39" s="1" customFormat="1" hidden="1" outlineLevel="1" x14ac:dyDescent="0.45">
      <c r="A439" s="2"/>
      <c r="B439" s="51"/>
      <c r="C439" s="51"/>
      <c r="D439" s="51"/>
      <c r="E439" s="51"/>
      <c r="F439" s="51"/>
      <c r="G439" s="51"/>
      <c r="H439" s="80"/>
      <c r="I439" s="51"/>
      <c r="J439" s="51"/>
      <c r="K439" s="51"/>
      <c r="L439" s="51"/>
      <c r="M439" s="51"/>
      <c r="N439" s="81"/>
      <c r="O439" s="51"/>
      <c r="P439" s="51"/>
      <c r="Q439" s="51"/>
      <c r="R439" s="51"/>
      <c r="S439" s="81"/>
      <c r="T439" s="51"/>
      <c r="U439" s="51"/>
      <c r="V439" s="51">
        <f t="shared" si="55"/>
        <v>0</v>
      </c>
      <c r="W439" s="2"/>
      <c r="Y439" s="74"/>
      <c r="AB439" s="74"/>
      <c r="AD439" s="74"/>
    </row>
    <row r="440" spans="1:39" s="1" customFormat="1" hidden="1" outlineLevel="1" x14ac:dyDescent="0.45">
      <c r="A440" s="2"/>
      <c r="B440" s="51"/>
      <c r="C440" s="51"/>
      <c r="D440" s="51"/>
      <c r="E440" s="51"/>
      <c r="F440" s="51"/>
      <c r="G440" s="51"/>
      <c r="H440" s="80"/>
      <c r="I440" s="51"/>
      <c r="J440" s="51"/>
      <c r="K440" s="51"/>
      <c r="L440" s="51"/>
      <c r="M440" s="51"/>
      <c r="N440" s="81"/>
      <c r="O440" s="51"/>
      <c r="P440" s="51"/>
      <c r="Q440" s="51"/>
      <c r="R440" s="51"/>
      <c r="S440" s="81"/>
      <c r="T440" s="51"/>
      <c r="U440" s="51"/>
      <c r="V440" s="51">
        <f t="shared" si="55"/>
        <v>0</v>
      </c>
      <c r="W440" s="2"/>
      <c r="Y440" s="74"/>
      <c r="AB440" s="74"/>
      <c r="AD440" s="74"/>
    </row>
    <row r="441" spans="1:39" s="1" customFormat="1" hidden="1" outlineLevel="1" x14ac:dyDescent="0.45">
      <c r="A441" s="2"/>
      <c r="B441" s="51"/>
      <c r="C441" s="51"/>
      <c r="D441" s="51"/>
      <c r="E441" s="51"/>
      <c r="F441" s="51"/>
      <c r="G441" s="51"/>
      <c r="H441" s="80"/>
      <c r="I441" s="51"/>
      <c r="J441" s="51"/>
      <c r="K441" s="51"/>
      <c r="L441" s="51"/>
      <c r="M441" s="51"/>
      <c r="N441" s="81"/>
      <c r="O441" s="51"/>
      <c r="P441" s="51"/>
      <c r="Q441" s="51"/>
      <c r="R441" s="51"/>
      <c r="S441" s="81"/>
      <c r="T441" s="51"/>
      <c r="U441" s="51"/>
      <c r="V441" s="51">
        <f t="shared" si="55"/>
        <v>0</v>
      </c>
      <c r="W441" s="2"/>
      <c r="Y441" s="74"/>
      <c r="AB441" s="74"/>
      <c r="AD441" s="74"/>
    </row>
    <row r="442" spans="1:39" ht="15.75" hidden="1" customHeight="1" outlineLevel="1" thickBot="1" x14ac:dyDescent="0.5">
      <c r="A442" s="2"/>
      <c r="B442" s="75"/>
      <c r="C442" s="75"/>
      <c r="D442" s="76"/>
      <c r="E442" s="76"/>
      <c r="F442" s="76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2"/>
      <c r="R442" s="77"/>
      <c r="S442" s="77"/>
      <c r="T442" s="77"/>
      <c r="U442" s="2"/>
      <c r="V442" s="77"/>
      <c r="W442" s="78"/>
      <c r="Y442" s="74"/>
      <c r="Z442" s="6"/>
      <c r="AA442" s="13"/>
      <c r="AB442" s="74"/>
      <c r="AC442" s="6"/>
      <c r="AD442" s="74"/>
      <c r="AE442" s="6"/>
      <c r="AF442" s="6"/>
      <c r="AG442" s="6"/>
      <c r="AH442" s="6"/>
      <c r="AI442" s="6"/>
      <c r="AM442" s="14"/>
    </row>
    <row r="443" spans="1:39" s="1" customFormat="1" ht="12.75" customHeight="1" x14ac:dyDescent="0.4">
      <c r="A443" s="126">
        <v>29</v>
      </c>
      <c r="B443" s="128" t="s">
        <v>219</v>
      </c>
      <c r="C443" s="128" t="s">
        <v>32</v>
      </c>
      <c r="D443" s="137" t="s">
        <v>34</v>
      </c>
      <c r="E443" s="90"/>
      <c r="F443" s="92"/>
      <c r="G443" s="72">
        <f t="shared" ref="G443:U443" si="56">SUM(G445:G454)</f>
        <v>0</v>
      </c>
      <c r="H443" s="72">
        <f t="shared" si="56"/>
        <v>0</v>
      </c>
      <c r="I443" s="72">
        <f t="shared" si="56"/>
        <v>0</v>
      </c>
      <c r="J443" s="72">
        <f t="shared" si="56"/>
        <v>0</v>
      </c>
      <c r="K443" s="72">
        <f t="shared" si="56"/>
        <v>0</v>
      </c>
      <c r="L443" s="72">
        <f t="shared" si="56"/>
        <v>0</v>
      </c>
      <c r="M443" s="72">
        <f t="shared" si="56"/>
        <v>0</v>
      </c>
      <c r="N443" s="72">
        <f t="shared" si="56"/>
        <v>0</v>
      </c>
      <c r="O443" s="72">
        <f t="shared" si="56"/>
        <v>0</v>
      </c>
      <c r="P443" s="72">
        <f t="shared" si="56"/>
        <v>0</v>
      </c>
      <c r="Q443" s="72">
        <f t="shared" si="56"/>
        <v>0</v>
      </c>
      <c r="R443" s="72">
        <f t="shared" si="56"/>
        <v>0</v>
      </c>
      <c r="S443" s="72">
        <f t="shared" si="56"/>
        <v>0</v>
      </c>
      <c r="T443" s="72">
        <f t="shared" si="56"/>
        <v>0</v>
      </c>
      <c r="U443" s="72">
        <f t="shared" si="56"/>
        <v>0</v>
      </c>
      <c r="V443" s="72">
        <f>SUM(V445:V454)</f>
        <v>0</v>
      </c>
      <c r="W443" s="149">
        <f>V443+V444</f>
        <v>0</v>
      </c>
      <c r="Y443" s="74"/>
      <c r="AB443" s="74"/>
      <c r="AD443" s="74"/>
    </row>
    <row r="444" spans="1:39" s="1" customFormat="1" ht="12.9" collapsed="1" thickBot="1" x14ac:dyDescent="0.45">
      <c r="A444" s="127"/>
      <c r="B444" s="129"/>
      <c r="C444" s="129"/>
      <c r="D444" s="138"/>
      <c r="E444" s="91"/>
      <c r="F444" s="93"/>
      <c r="G444" s="73">
        <f>SUM(G456:G473)</f>
        <v>0</v>
      </c>
      <c r="H444" s="79">
        <f>SUM(H456:H473)</f>
        <v>0</v>
      </c>
      <c r="I444" s="79">
        <f>SUM(I456:I473)</f>
        <v>0</v>
      </c>
      <c r="J444" s="73">
        <f t="shared" ref="J444:Q444" si="57">SUM(J456:J473)</f>
        <v>0</v>
      </c>
      <c r="K444" s="73">
        <f t="shared" si="57"/>
        <v>0</v>
      </c>
      <c r="L444" s="73">
        <f t="shared" si="57"/>
        <v>0</v>
      </c>
      <c r="M444" s="73">
        <f t="shared" si="57"/>
        <v>0</v>
      </c>
      <c r="N444" s="73">
        <f t="shared" si="57"/>
        <v>0</v>
      </c>
      <c r="O444" s="73">
        <f t="shared" si="57"/>
        <v>0</v>
      </c>
      <c r="P444" s="73">
        <f t="shared" si="57"/>
        <v>0</v>
      </c>
      <c r="Q444" s="73">
        <f t="shared" si="57"/>
        <v>0</v>
      </c>
      <c r="R444" s="73">
        <f>SUM(R456:R473)</f>
        <v>0</v>
      </c>
      <c r="S444" s="73">
        <f>SUM(S456:S473)</f>
        <v>0</v>
      </c>
      <c r="T444" s="73">
        <f>SUM(T456:T473)</f>
        <v>0</v>
      </c>
      <c r="U444" s="73">
        <f>SUM(U456:U473)</f>
        <v>0</v>
      </c>
      <c r="V444" s="73">
        <f>SUM(V456:V473)</f>
        <v>0</v>
      </c>
      <c r="W444" s="150"/>
      <c r="Y444" s="74"/>
      <c r="Z444" s="74"/>
      <c r="AB444" s="74"/>
      <c r="AD444" s="74"/>
    </row>
    <row r="445" spans="1:39" s="1" customFormat="1" hidden="1" outlineLevel="1" x14ac:dyDescent="0.45">
      <c r="A445" s="34"/>
      <c r="B445" s="42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51">
        <f>SUM(G445:U445)</f>
        <v>0</v>
      </c>
      <c r="W445" s="2"/>
      <c r="Y445" s="74"/>
      <c r="AB445" s="74"/>
      <c r="AD445" s="74"/>
    </row>
    <row r="446" spans="1:39" s="1" customFormat="1" hidden="1" outlineLevel="1" x14ac:dyDescent="0.45">
      <c r="A446" s="34"/>
      <c r="B446" s="42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51">
        <f>SUM(G446:U446)</f>
        <v>0</v>
      </c>
      <c r="W446" s="2"/>
      <c r="Y446" s="74"/>
      <c r="AB446" s="74"/>
      <c r="AD446" s="74"/>
    </row>
    <row r="447" spans="1:39" s="1" customFormat="1" hidden="1" outlineLevel="1" x14ac:dyDescent="0.45">
      <c r="A447" s="2"/>
      <c r="B447" s="82"/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>
        <f t="shared" ref="V447:V454" si="58">SUM(G447:U447)</f>
        <v>0</v>
      </c>
      <c r="W447" s="2"/>
      <c r="Y447" s="74"/>
      <c r="AB447" s="74"/>
      <c r="AD447" s="74"/>
    </row>
    <row r="448" spans="1:39" s="1" customFormat="1" hidden="1" outlineLevel="1" x14ac:dyDescent="0.45">
      <c r="A448" s="2"/>
      <c r="B448" s="82"/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>
        <f t="shared" si="58"/>
        <v>0</v>
      </c>
      <c r="W448" s="2"/>
      <c r="Y448" s="74"/>
      <c r="AB448" s="74"/>
      <c r="AD448" s="74"/>
    </row>
    <row r="449" spans="1:30" s="1" customFormat="1" hidden="1" outlineLevel="1" x14ac:dyDescent="0.45">
      <c r="A449" s="2"/>
      <c r="B449" s="82"/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>
        <f t="shared" si="58"/>
        <v>0</v>
      </c>
      <c r="W449" s="2"/>
      <c r="Y449" s="74"/>
      <c r="AB449" s="74"/>
      <c r="AD449" s="74"/>
    </row>
    <row r="450" spans="1:30" s="1" customFormat="1" hidden="1" outlineLevel="1" x14ac:dyDescent="0.45">
      <c r="A450" s="2"/>
      <c r="B450" s="82"/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>
        <f t="shared" si="58"/>
        <v>0</v>
      </c>
      <c r="W450" s="2"/>
      <c r="Y450" s="74"/>
      <c r="AB450" s="74"/>
      <c r="AD450" s="74"/>
    </row>
    <row r="451" spans="1:30" s="1" customFormat="1" hidden="1" outlineLevel="1" x14ac:dyDescent="0.45">
      <c r="A451" s="2"/>
      <c r="B451" s="82"/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>
        <f t="shared" si="58"/>
        <v>0</v>
      </c>
      <c r="W451" s="2"/>
      <c r="Y451" s="74"/>
      <c r="AB451" s="74"/>
      <c r="AD451" s="74"/>
    </row>
    <row r="452" spans="1:30" s="1" customFormat="1" hidden="1" outlineLevel="1" x14ac:dyDescent="0.45">
      <c r="A452" s="2"/>
      <c r="B452" s="82"/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>
        <f t="shared" si="58"/>
        <v>0</v>
      </c>
      <c r="W452" s="2"/>
      <c r="Y452" s="74"/>
      <c r="AB452" s="74"/>
      <c r="AD452" s="74"/>
    </row>
    <row r="453" spans="1:30" s="1" customFormat="1" hidden="1" outlineLevel="1" x14ac:dyDescent="0.45">
      <c r="A453" s="2"/>
      <c r="B453" s="82"/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>
        <f t="shared" si="58"/>
        <v>0</v>
      </c>
      <c r="W453" s="2"/>
      <c r="Y453" s="74"/>
      <c r="AB453" s="74"/>
      <c r="AD453" s="74"/>
    </row>
    <row r="454" spans="1:30" s="1" customFormat="1" hidden="1" outlineLevel="1" x14ac:dyDescent="0.45">
      <c r="A454" s="2"/>
      <c r="B454" s="82"/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>
        <f t="shared" si="58"/>
        <v>0</v>
      </c>
      <c r="W454" s="2"/>
      <c r="Y454" s="74"/>
      <c r="AB454" s="74"/>
      <c r="AD454" s="74"/>
    </row>
    <row r="455" spans="1:30" s="1" customFormat="1" hidden="1" outlineLevel="1" x14ac:dyDescent="0.45">
      <c r="A455" s="2"/>
      <c r="B455" s="166" t="s">
        <v>29</v>
      </c>
      <c r="C455" s="166"/>
      <c r="D455" s="166"/>
      <c r="E455" s="166"/>
      <c r="F455" s="166"/>
      <c r="G455" s="166"/>
      <c r="H455" s="166"/>
      <c r="I455" s="166"/>
      <c r="J455" s="166"/>
      <c r="K455" s="166"/>
      <c r="L455" s="166"/>
      <c r="M455" s="166"/>
      <c r="N455" s="166"/>
      <c r="O455" s="166"/>
      <c r="P455" s="166"/>
      <c r="Q455" s="166"/>
      <c r="R455" s="166"/>
      <c r="S455" s="166"/>
      <c r="T455" s="166"/>
      <c r="U455" s="166"/>
      <c r="V455" s="104"/>
      <c r="W455" s="2"/>
      <c r="Y455" s="74"/>
      <c r="AB455" s="74"/>
      <c r="AD455" s="74"/>
    </row>
    <row r="456" spans="1:30" s="1" customFormat="1" hidden="1" outlineLevel="1" x14ac:dyDescent="0.45">
      <c r="A456" s="34"/>
      <c r="B456" s="42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51">
        <f t="shared" ref="V456:V472" si="59">SUM(G456:U456)</f>
        <v>0</v>
      </c>
      <c r="W456" s="2"/>
      <c r="Y456" s="74"/>
      <c r="AB456" s="74"/>
      <c r="AD456" s="74"/>
    </row>
    <row r="457" spans="1:30" s="1" customFormat="1" hidden="1" outlineLevel="1" x14ac:dyDescent="0.45">
      <c r="A457" s="2"/>
      <c r="B457" s="82"/>
      <c r="C457" s="51"/>
      <c r="D457" s="51"/>
      <c r="E457" s="51"/>
      <c r="F457" s="51"/>
      <c r="G457" s="20"/>
      <c r="H457" s="21"/>
      <c r="I457" s="21"/>
      <c r="J457" s="106"/>
      <c r="K457" s="51"/>
      <c r="L457" s="32"/>
      <c r="M457" s="22"/>
      <c r="N457" s="51"/>
      <c r="O457" s="81"/>
      <c r="P457" s="22"/>
      <c r="Q457" s="51"/>
      <c r="R457" s="51"/>
      <c r="S457" s="51"/>
      <c r="T457" s="51"/>
      <c r="U457" s="51"/>
      <c r="V457" s="51">
        <f t="shared" si="59"/>
        <v>0</v>
      </c>
      <c r="W457" s="2"/>
      <c r="Y457" s="74"/>
      <c r="AB457" s="74"/>
      <c r="AD457" s="74"/>
    </row>
    <row r="458" spans="1:30" s="1" customFormat="1" hidden="1" outlineLevel="1" x14ac:dyDescent="0.45">
      <c r="A458" s="2"/>
      <c r="B458" s="82"/>
      <c r="C458" s="51"/>
      <c r="D458" s="51"/>
      <c r="E458" s="51"/>
      <c r="F458" s="51"/>
      <c r="G458" s="20"/>
      <c r="H458" s="21"/>
      <c r="I458" s="21"/>
      <c r="J458" s="102"/>
      <c r="K458" s="51"/>
      <c r="L458" s="32"/>
      <c r="M458" s="22"/>
      <c r="N458" s="51"/>
      <c r="O458" s="81"/>
      <c r="P458" s="22"/>
      <c r="Q458" s="51"/>
      <c r="R458" s="51"/>
      <c r="S458" s="51"/>
      <c r="T458" s="51"/>
      <c r="U458" s="51"/>
      <c r="V458" s="51">
        <f t="shared" si="59"/>
        <v>0</v>
      </c>
      <c r="W458" s="2"/>
      <c r="Y458" s="74"/>
      <c r="AB458" s="74"/>
      <c r="AD458" s="74"/>
    </row>
    <row r="459" spans="1:30" s="1" customFormat="1" hidden="1" outlineLevel="1" x14ac:dyDescent="0.45">
      <c r="A459" s="2"/>
      <c r="B459" s="82"/>
      <c r="C459" s="51"/>
      <c r="D459" s="51"/>
      <c r="E459" s="51"/>
      <c r="F459" s="51"/>
      <c r="G459" s="20"/>
      <c r="H459" s="21"/>
      <c r="I459" s="21"/>
      <c r="J459" s="102"/>
      <c r="K459" s="51"/>
      <c r="L459" s="32"/>
      <c r="M459" s="22"/>
      <c r="N459" s="51"/>
      <c r="O459" s="81"/>
      <c r="P459" s="22"/>
      <c r="Q459" s="51"/>
      <c r="R459" s="51"/>
      <c r="S459" s="51"/>
      <c r="T459" s="51"/>
      <c r="U459" s="51"/>
      <c r="V459" s="51">
        <f t="shared" si="59"/>
        <v>0</v>
      </c>
      <c r="W459" s="2"/>
      <c r="Y459" s="74"/>
      <c r="AB459" s="74"/>
      <c r="AD459" s="74"/>
    </row>
    <row r="460" spans="1:30" s="1" customFormat="1" hidden="1" outlineLevel="1" x14ac:dyDescent="0.45">
      <c r="A460" s="2"/>
      <c r="B460" s="51"/>
      <c r="C460" s="51"/>
      <c r="D460" s="51"/>
      <c r="E460" s="51"/>
      <c r="F460" s="51"/>
      <c r="G460" s="51"/>
      <c r="H460" s="80"/>
      <c r="I460" s="51"/>
      <c r="J460" s="51"/>
      <c r="K460" s="51"/>
      <c r="L460" s="51"/>
      <c r="M460" s="51"/>
      <c r="N460" s="81"/>
      <c r="O460" s="51"/>
      <c r="P460" s="51"/>
      <c r="Q460" s="51"/>
      <c r="R460" s="51"/>
      <c r="S460" s="51"/>
      <c r="T460" s="51"/>
      <c r="U460" s="51"/>
      <c r="V460" s="51">
        <f t="shared" si="59"/>
        <v>0</v>
      </c>
      <c r="W460" s="2"/>
      <c r="Y460" s="74"/>
      <c r="AB460" s="74"/>
      <c r="AD460" s="74"/>
    </row>
    <row r="461" spans="1:30" s="1" customFormat="1" hidden="1" outlineLevel="1" x14ac:dyDescent="0.45">
      <c r="A461" s="2"/>
      <c r="B461" s="51"/>
      <c r="C461" s="51"/>
      <c r="D461" s="51"/>
      <c r="E461" s="51"/>
      <c r="F461" s="51"/>
      <c r="G461" s="51"/>
      <c r="H461" s="80"/>
      <c r="I461" s="51"/>
      <c r="J461" s="51"/>
      <c r="K461" s="51"/>
      <c r="L461" s="51"/>
      <c r="M461" s="51"/>
      <c r="N461" s="81"/>
      <c r="O461" s="51"/>
      <c r="P461" s="51"/>
      <c r="Q461" s="51"/>
      <c r="R461" s="51"/>
      <c r="S461" s="51"/>
      <c r="T461" s="51"/>
      <c r="U461" s="51"/>
      <c r="V461" s="51">
        <f t="shared" si="59"/>
        <v>0</v>
      </c>
      <c r="W461" s="2"/>
      <c r="Y461" s="74"/>
      <c r="AB461" s="74"/>
      <c r="AD461" s="74"/>
    </row>
    <row r="462" spans="1:30" s="1" customFormat="1" hidden="1" outlineLevel="1" x14ac:dyDescent="0.45">
      <c r="A462" s="2"/>
      <c r="B462" s="51"/>
      <c r="C462" s="51"/>
      <c r="D462" s="51"/>
      <c r="E462" s="51"/>
      <c r="F462" s="51"/>
      <c r="G462" s="51"/>
      <c r="H462" s="80"/>
      <c r="I462" s="51"/>
      <c r="J462" s="51"/>
      <c r="K462" s="51"/>
      <c r="L462" s="51"/>
      <c r="M462" s="51"/>
      <c r="N462" s="81"/>
      <c r="O462" s="51"/>
      <c r="P462" s="51"/>
      <c r="Q462" s="51"/>
      <c r="R462" s="51"/>
      <c r="S462" s="81"/>
      <c r="T462" s="51"/>
      <c r="U462" s="51"/>
      <c r="V462" s="51">
        <f t="shared" si="59"/>
        <v>0</v>
      </c>
      <c r="W462" s="2"/>
      <c r="Y462" s="74"/>
      <c r="AB462" s="74"/>
      <c r="AD462" s="74"/>
    </row>
    <row r="463" spans="1:30" s="1" customFormat="1" hidden="1" outlineLevel="1" x14ac:dyDescent="0.45">
      <c r="A463" s="2"/>
      <c r="B463" s="51"/>
      <c r="C463" s="51"/>
      <c r="D463" s="51"/>
      <c r="E463" s="51"/>
      <c r="F463" s="51"/>
      <c r="G463" s="51"/>
      <c r="H463" s="80"/>
      <c r="I463" s="51"/>
      <c r="J463" s="51"/>
      <c r="K463" s="51"/>
      <c r="L463" s="51"/>
      <c r="M463" s="51"/>
      <c r="N463" s="81"/>
      <c r="O463" s="51"/>
      <c r="P463" s="51"/>
      <c r="Q463" s="51"/>
      <c r="R463" s="51"/>
      <c r="S463" s="81"/>
      <c r="T463" s="51"/>
      <c r="U463" s="51"/>
      <c r="V463" s="51">
        <f t="shared" si="59"/>
        <v>0</v>
      </c>
      <c r="W463" s="2"/>
      <c r="Y463" s="74"/>
      <c r="AB463" s="74"/>
      <c r="AD463" s="74"/>
    </row>
    <row r="464" spans="1:30" s="1" customFormat="1" hidden="1" outlineLevel="1" x14ac:dyDescent="0.45">
      <c r="A464" s="2"/>
      <c r="B464" s="51"/>
      <c r="C464" s="51"/>
      <c r="D464" s="51"/>
      <c r="E464" s="51"/>
      <c r="F464" s="51"/>
      <c r="G464" s="51"/>
      <c r="H464" s="80"/>
      <c r="I464" s="51"/>
      <c r="J464" s="51"/>
      <c r="K464" s="51"/>
      <c r="L464" s="51"/>
      <c r="M464" s="51"/>
      <c r="N464" s="81"/>
      <c r="O464" s="51"/>
      <c r="P464" s="51"/>
      <c r="Q464" s="51"/>
      <c r="R464" s="51"/>
      <c r="S464" s="81"/>
      <c r="T464" s="51"/>
      <c r="U464" s="51"/>
      <c r="V464" s="51">
        <f t="shared" si="59"/>
        <v>0</v>
      </c>
      <c r="W464" s="2"/>
      <c r="Y464" s="74"/>
      <c r="AB464" s="74"/>
      <c r="AD464" s="74"/>
    </row>
    <row r="465" spans="1:39" s="1" customFormat="1" hidden="1" outlineLevel="1" x14ac:dyDescent="0.45">
      <c r="A465" s="2"/>
      <c r="B465" s="51"/>
      <c r="C465" s="51"/>
      <c r="D465" s="51"/>
      <c r="E465" s="51"/>
      <c r="F465" s="51"/>
      <c r="G465" s="51"/>
      <c r="H465" s="80"/>
      <c r="I465" s="51"/>
      <c r="J465" s="51"/>
      <c r="K465" s="51"/>
      <c r="L465" s="51"/>
      <c r="M465" s="51"/>
      <c r="N465" s="81"/>
      <c r="O465" s="51"/>
      <c r="P465" s="51"/>
      <c r="Q465" s="51"/>
      <c r="R465" s="51"/>
      <c r="S465" s="81"/>
      <c r="T465" s="51"/>
      <c r="U465" s="51"/>
      <c r="V465" s="51">
        <f t="shared" si="59"/>
        <v>0</v>
      </c>
      <c r="W465" s="2"/>
      <c r="Y465" s="74"/>
      <c r="AB465" s="74"/>
      <c r="AD465" s="74"/>
    </row>
    <row r="466" spans="1:39" s="1" customFormat="1" hidden="1" outlineLevel="1" x14ac:dyDescent="0.45">
      <c r="A466" s="2"/>
      <c r="B466" s="51"/>
      <c r="C466" s="51"/>
      <c r="D466" s="51"/>
      <c r="E466" s="51"/>
      <c r="F466" s="51"/>
      <c r="G466" s="51"/>
      <c r="H466" s="80"/>
      <c r="I466" s="51"/>
      <c r="J466" s="51"/>
      <c r="K466" s="51"/>
      <c r="L466" s="51"/>
      <c r="M466" s="51"/>
      <c r="N466" s="81"/>
      <c r="O466" s="51"/>
      <c r="P466" s="51"/>
      <c r="Q466" s="51"/>
      <c r="R466" s="51"/>
      <c r="S466" s="81"/>
      <c r="T466" s="51"/>
      <c r="U466" s="51"/>
      <c r="V466" s="51">
        <f t="shared" si="59"/>
        <v>0</v>
      </c>
      <c r="W466" s="2"/>
      <c r="Y466" s="74"/>
      <c r="AB466" s="74"/>
      <c r="AD466" s="74"/>
    </row>
    <row r="467" spans="1:39" s="1" customFormat="1" hidden="1" outlineLevel="1" x14ac:dyDescent="0.45">
      <c r="A467" s="2"/>
      <c r="B467" s="51"/>
      <c r="C467" s="51"/>
      <c r="D467" s="51"/>
      <c r="E467" s="51"/>
      <c r="F467" s="51"/>
      <c r="G467" s="51"/>
      <c r="H467" s="80"/>
      <c r="I467" s="51"/>
      <c r="J467" s="51"/>
      <c r="K467" s="51"/>
      <c r="L467" s="51"/>
      <c r="M467" s="51"/>
      <c r="N467" s="81"/>
      <c r="O467" s="51"/>
      <c r="P467" s="51"/>
      <c r="Q467" s="51"/>
      <c r="R467" s="51"/>
      <c r="S467" s="81"/>
      <c r="T467" s="51"/>
      <c r="U467" s="51"/>
      <c r="V467" s="51">
        <f t="shared" si="59"/>
        <v>0</v>
      </c>
      <c r="W467" s="2"/>
      <c r="Y467" s="74"/>
      <c r="AB467" s="74"/>
      <c r="AD467" s="74"/>
    </row>
    <row r="468" spans="1:39" s="1" customFormat="1" hidden="1" outlineLevel="1" x14ac:dyDescent="0.45">
      <c r="A468" s="2"/>
      <c r="B468" s="51"/>
      <c r="C468" s="51"/>
      <c r="D468" s="51"/>
      <c r="E468" s="51"/>
      <c r="F468" s="51"/>
      <c r="G468" s="51"/>
      <c r="H468" s="80"/>
      <c r="I468" s="51"/>
      <c r="J468" s="51"/>
      <c r="K468" s="51"/>
      <c r="L468" s="51"/>
      <c r="M468" s="51"/>
      <c r="N468" s="81"/>
      <c r="O468" s="51"/>
      <c r="P468" s="51"/>
      <c r="Q468" s="51"/>
      <c r="R468" s="51"/>
      <c r="S468" s="81"/>
      <c r="T468" s="51"/>
      <c r="U468" s="51"/>
      <c r="V468" s="51">
        <f t="shared" si="59"/>
        <v>0</v>
      </c>
      <c r="W468" s="2"/>
      <c r="Y468" s="74"/>
      <c r="AB468" s="74"/>
      <c r="AD468" s="74"/>
    </row>
    <row r="469" spans="1:39" s="1" customFormat="1" hidden="1" outlineLevel="1" x14ac:dyDescent="0.45">
      <c r="A469" s="2"/>
      <c r="B469" s="51"/>
      <c r="C469" s="51"/>
      <c r="D469" s="51"/>
      <c r="E469" s="51"/>
      <c r="F469" s="51"/>
      <c r="G469" s="51"/>
      <c r="H469" s="80"/>
      <c r="I469" s="51"/>
      <c r="J469" s="51"/>
      <c r="K469" s="51"/>
      <c r="L469" s="51"/>
      <c r="M469" s="51"/>
      <c r="N469" s="81"/>
      <c r="O469" s="51"/>
      <c r="P469" s="51"/>
      <c r="Q469" s="51"/>
      <c r="R469" s="51"/>
      <c r="S469" s="81"/>
      <c r="T469" s="51"/>
      <c r="U469" s="51"/>
      <c r="V469" s="51">
        <f t="shared" si="59"/>
        <v>0</v>
      </c>
      <c r="W469" s="2"/>
      <c r="Y469" s="74"/>
      <c r="AB469" s="74"/>
      <c r="AD469" s="74"/>
    </row>
    <row r="470" spans="1:39" s="1" customFormat="1" hidden="1" outlineLevel="1" x14ac:dyDescent="0.45">
      <c r="A470" s="2"/>
      <c r="B470" s="51"/>
      <c r="C470" s="51"/>
      <c r="D470" s="51"/>
      <c r="E470" s="51"/>
      <c r="F470" s="51"/>
      <c r="G470" s="51"/>
      <c r="H470" s="80"/>
      <c r="I470" s="51"/>
      <c r="J470" s="51"/>
      <c r="K470" s="51"/>
      <c r="L470" s="51"/>
      <c r="M470" s="51"/>
      <c r="N470" s="81"/>
      <c r="O470" s="51"/>
      <c r="P470" s="51"/>
      <c r="Q470" s="51"/>
      <c r="R470" s="51"/>
      <c r="S470" s="81"/>
      <c r="T470" s="51"/>
      <c r="U470" s="51"/>
      <c r="V470" s="51">
        <f t="shared" si="59"/>
        <v>0</v>
      </c>
      <c r="W470" s="2"/>
      <c r="Y470" s="74"/>
      <c r="AB470" s="74"/>
      <c r="AD470" s="74"/>
    </row>
    <row r="471" spans="1:39" s="1" customFormat="1" hidden="1" outlineLevel="1" x14ac:dyDescent="0.45">
      <c r="A471" s="2"/>
      <c r="B471" s="51"/>
      <c r="C471" s="51"/>
      <c r="D471" s="51"/>
      <c r="E471" s="51"/>
      <c r="F471" s="51"/>
      <c r="G471" s="51"/>
      <c r="H471" s="80"/>
      <c r="I471" s="51"/>
      <c r="J471" s="51"/>
      <c r="K471" s="51"/>
      <c r="L471" s="51"/>
      <c r="M471" s="51"/>
      <c r="N471" s="81"/>
      <c r="O471" s="51"/>
      <c r="P471" s="51"/>
      <c r="Q471" s="51"/>
      <c r="R471" s="51"/>
      <c r="S471" s="81"/>
      <c r="T471" s="51"/>
      <c r="U471" s="51"/>
      <c r="V471" s="51">
        <f t="shared" si="59"/>
        <v>0</v>
      </c>
      <c r="W471" s="2"/>
      <c r="Y471" s="74"/>
      <c r="AB471" s="74"/>
      <c r="AD471" s="74"/>
    </row>
    <row r="472" spans="1:39" s="1" customFormat="1" hidden="1" outlineLevel="1" x14ac:dyDescent="0.45">
      <c r="A472" s="2"/>
      <c r="B472" s="51"/>
      <c r="C472" s="51"/>
      <c r="D472" s="51"/>
      <c r="E472" s="51"/>
      <c r="F472" s="51"/>
      <c r="G472" s="51"/>
      <c r="H472" s="80"/>
      <c r="I472" s="51"/>
      <c r="J472" s="51"/>
      <c r="K472" s="51"/>
      <c r="L472" s="51"/>
      <c r="M472" s="51"/>
      <c r="N472" s="81"/>
      <c r="O472" s="51"/>
      <c r="P472" s="51"/>
      <c r="Q472" s="51"/>
      <c r="R472" s="51"/>
      <c r="S472" s="81"/>
      <c r="T472" s="51"/>
      <c r="U472" s="51"/>
      <c r="V472" s="51">
        <f t="shared" si="59"/>
        <v>0</v>
      </c>
      <c r="W472" s="2"/>
      <c r="Y472" s="74"/>
      <c r="AB472" s="74"/>
      <c r="AD472" s="74"/>
    </row>
    <row r="473" spans="1:39" ht="15.75" hidden="1" customHeight="1" outlineLevel="1" thickBot="1" x14ac:dyDescent="0.5">
      <c r="A473" s="2"/>
      <c r="B473" s="75"/>
      <c r="C473" s="75"/>
      <c r="D473" s="76"/>
      <c r="E473" s="76"/>
      <c r="F473" s="76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2"/>
      <c r="R473" s="77"/>
      <c r="S473" s="77"/>
      <c r="T473" s="77"/>
      <c r="U473" s="2"/>
      <c r="V473" s="77"/>
      <c r="W473" s="78"/>
      <c r="Y473" s="74"/>
      <c r="Z473" s="6"/>
      <c r="AA473" s="13"/>
      <c r="AB473" s="74"/>
      <c r="AC473" s="6"/>
      <c r="AD473" s="74"/>
      <c r="AE473" s="6"/>
      <c r="AF473" s="6"/>
      <c r="AG473" s="6"/>
      <c r="AH473" s="6"/>
      <c r="AI473" s="6"/>
      <c r="AM473" s="14"/>
    </row>
    <row r="474" spans="1:39" s="1" customFormat="1" ht="12.75" customHeight="1" x14ac:dyDescent="0.4">
      <c r="A474" s="126">
        <v>31</v>
      </c>
      <c r="B474" s="128" t="s">
        <v>220</v>
      </c>
      <c r="C474" s="128" t="s">
        <v>32</v>
      </c>
      <c r="D474" s="137" t="s">
        <v>12</v>
      </c>
      <c r="E474" s="90"/>
      <c r="F474" s="92"/>
      <c r="G474" s="72">
        <f t="shared" ref="G474:U474" si="60">SUM(G476:G485)</f>
        <v>0</v>
      </c>
      <c r="H474" s="72">
        <f t="shared" si="60"/>
        <v>0</v>
      </c>
      <c r="I474" s="72">
        <f t="shared" si="60"/>
        <v>0</v>
      </c>
      <c r="J474" s="72">
        <f t="shared" si="60"/>
        <v>0</v>
      </c>
      <c r="K474" s="72">
        <f t="shared" si="60"/>
        <v>0</v>
      </c>
      <c r="L474" s="72">
        <f t="shared" si="60"/>
        <v>0</v>
      </c>
      <c r="M474" s="72">
        <f t="shared" si="60"/>
        <v>0</v>
      </c>
      <c r="N474" s="72">
        <f t="shared" si="60"/>
        <v>0</v>
      </c>
      <c r="O474" s="72">
        <f t="shared" si="60"/>
        <v>0</v>
      </c>
      <c r="P474" s="72">
        <f t="shared" si="60"/>
        <v>0</v>
      </c>
      <c r="Q474" s="72">
        <f t="shared" si="60"/>
        <v>0</v>
      </c>
      <c r="R474" s="72">
        <f t="shared" si="60"/>
        <v>0</v>
      </c>
      <c r="S474" s="72">
        <f t="shared" si="60"/>
        <v>0</v>
      </c>
      <c r="T474" s="72">
        <f t="shared" si="60"/>
        <v>0</v>
      </c>
      <c r="U474" s="72">
        <f t="shared" si="60"/>
        <v>0</v>
      </c>
      <c r="V474" s="72">
        <f>SUM(V476:V485)</f>
        <v>0</v>
      </c>
      <c r="W474" s="149">
        <f>V474+V475</f>
        <v>0</v>
      </c>
      <c r="Y474" s="74"/>
      <c r="AB474" s="74"/>
      <c r="AD474" s="74"/>
    </row>
    <row r="475" spans="1:39" s="1" customFormat="1" ht="12.9" collapsed="1" thickBot="1" x14ac:dyDescent="0.45">
      <c r="A475" s="127"/>
      <c r="B475" s="129"/>
      <c r="C475" s="129"/>
      <c r="D475" s="138"/>
      <c r="E475" s="91"/>
      <c r="F475" s="93"/>
      <c r="G475" s="73">
        <f>SUM(G487:G504)</f>
        <v>0</v>
      </c>
      <c r="H475" s="79">
        <f>SUM(H487:H504)</f>
        <v>0</v>
      </c>
      <c r="I475" s="79">
        <f>SUM(I487:I504)</f>
        <v>0</v>
      </c>
      <c r="J475" s="73">
        <f t="shared" ref="J475:Q475" si="61">SUM(J487:J504)</f>
        <v>0</v>
      </c>
      <c r="K475" s="73">
        <f t="shared" si="61"/>
        <v>0</v>
      </c>
      <c r="L475" s="73">
        <f t="shared" si="61"/>
        <v>0</v>
      </c>
      <c r="M475" s="73">
        <f t="shared" si="61"/>
        <v>0</v>
      </c>
      <c r="N475" s="73">
        <f t="shared" si="61"/>
        <v>0</v>
      </c>
      <c r="O475" s="73">
        <f t="shared" si="61"/>
        <v>0</v>
      </c>
      <c r="P475" s="73">
        <f t="shared" si="61"/>
        <v>0</v>
      </c>
      <c r="Q475" s="73">
        <f t="shared" si="61"/>
        <v>0</v>
      </c>
      <c r="R475" s="73">
        <f>SUM(R487:R504)</f>
        <v>0</v>
      </c>
      <c r="S475" s="73">
        <f>SUM(S487:S504)</f>
        <v>0</v>
      </c>
      <c r="T475" s="73">
        <f>SUM(T487:T504)</f>
        <v>0</v>
      </c>
      <c r="U475" s="73">
        <f>SUM(U487:U504)</f>
        <v>0</v>
      </c>
      <c r="V475" s="73">
        <f>SUM(V487:V504)</f>
        <v>0</v>
      </c>
      <c r="W475" s="150"/>
      <c r="Y475" s="74"/>
      <c r="Z475" s="74"/>
      <c r="AB475" s="74"/>
      <c r="AD475" s="74"/>
    </row>
    <row r="476" spans="1:39" s="1" customFormat="1" hidden="1" outlineLevel="1" x14ac:dyDescent="0.45">
      <c r="A476" s="2"/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>
        <f>SUM(G476:U476)</f>
        <v>0</v>
      </c>
      <c r="W476" s="2"/>
      <c r="Y476" s="74"/>
      <c r="AB476" s="74"/>
      <c r="AD476" s="74"/>
    </row>
    <row r="477" spans="1:39" s="1" customFormat="1" hidden="1" outlineLevel="1" x14ac:dyDescent="0.45">
      <c r="A477" s="2"/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>
        <f>SUM(G477:U477)</f>
        <v>0</v>
      </c>
      <c r="W477" s="2"/>
      <c r="Y477" s="74"/>
      <c r="AB477" s="74"/>
      <c r="AD477" s="74"/>
    </row>
    <row r="478" spans="1:39" s="1" customFormat="1" hidden="1" outlineLevel="1" x14ac:dyDescent="0.45">
      <c r="A478" s="2"/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>
        <f t="shared" ref="V478:V485" si="62">SUM(G478:U478)</f>
        <v>0</v>
      </c>
      <c r="W478" s="2"/>
      <c r="Y478" s="74"/>
      <c r="AB478" s="74"/>
      <c r="AD478" s="74"/>
    </row>
    <row r="479" spans="1:39" s="1" customFormat="1" hidden="1" outlineLevel="1" x14ac:dyDescent="0.45">
      <c r="A479" s="2"/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>
        <f t="shared" si="62"/>
        <v>0</v>
      </c>
      <c r="W479" s="2"/>
      <c r="Y479" s="74"/>
      <c r="AB479" s="74"/>
      <c r="AD479" s="74"/>
    </row>
    <row r="480" spans="1:39" s="1" customFormat="1" hidden="1" outlineLevel="1" x14ac:dyDescent="0.45">
      <c r="A480" s="2"/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>
        <f t="shared" si="62"/>
        <v>0</v>
      </c>
      <c r="W480" s="2"/>
      <c r="Y480" s="74"/>
      <c r="AB480" s="74"/>
      <c r="AD480" s="74"/>
    </row>
    <row r="481" spans="1:30" s="1" customFormat="1" hidden="1" outlineLevel="1" x14ac:dyDescent="0.45">
      <c r="A481" s="2"/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>
        <f t="shared" si="62"/>
        <v>0</v>
      </c>
      <c r="W481" s="2"/>
      <c r="Y481" s="74"/>
      <c r="AB481" s="74"/>
      <c r="AD481" s="74"/>
    </row>
    <row r="482" spans="1:30" s="1" customFormat="1" hidden="1" outlineLevel="1" x14ac:dyDescent="0.45">
      <c r="A482" s="2"/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>
        <f t="shared" si="62"/>
        <v>0</v>
      </c>
      <c r="W482" s="2"/>
      <c r="Y482" s="74"/>
      <c r="AB482" s="74"/>
      <c r="AD482" s="74"/>
    </row>
    <row r="483" spans="1:30" s="1" customFormat="1" hidden="1" outlineLevel="1" x14ac:dyDescent="0.45">
      <c r="A483" s="2"/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>
        <f t="shared" si="62"/>
        <v>0</v>
      </c>
      <c r="W483" s="2"/>
      <c r="Y483" s="74"/>
      <c r="AB483" s="74"/>
      <c r="AD483" s="74"/>
    </row>
    <row r="484" spans="1:30" s="1" customFormat="1" hidden="1" outlineLevel="1" x14ac:dyDescent="0.45">
      <c r="A484" s="2"/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>
        <f t="shared" si="62"/>
        <v>0</v>
      </c>
      <c r="W484" s="2"/>
      <c r="Y484" s="74"/>
      <c r="AB484" s="74"/>
      <c r="AD484" s="74"/>
    </row>
    <row r="485" spans="1:30" s="1" customFormat="1" hidden="1" outlineLevel="1" x14ac:dyDescent="0.45">
      <c r="A485" s="2"/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>
        <f t="shared" si="62"/>
        <v>0</v>
      </c>
      <c r="W485" s="2"/>
      <c r="Y485" s="74"/>
      <c r="AB485" s="74"/>
      <c r="AD485" s="74"/>
    </row>
    <row r="486" spans="1:30" s="1" customFormat="1" hidden="1" outlineLevel="1" x14ac:dyDescent="0.45">
      <c r="A486" s="2"/>
      <c r="B486" s="166" t="s">
        <v>29</v>
      </c>
      <c r="C486" s="166"/>
      <c r="D486" s="166"/>
      <c r="E486" s="166"/>
      <c r="F486" s="166"/>
      <c r="G486" s="166"/>
      <c r="H486" s="166"/>
      <c r="I486" s="166"/>
      <c r="J486" s="166"/>
      <c r="K486" s="166"/>
      <c r="L486" s="166"/>
      <c r="M486" s="166"/>
      <c r="N486" s="166"/>
      <c r="O486" s="166"/>
      <c r="P486" s="166"/>
      <c r="Q486" s="166"/>
      <c r="R486" s="166"/>
      <c r="S486" s="166"/>
      <c r="T486" s="166"/>
      <c r="U486" s="166"/>
      <c r="V486" s="104"/>
      <c r="W486" s="2"/>
      <c r="Y486" s="74"/>
      <c r="AB486" s="74"/>
      <c r="AD486" s="74"/>
    </row>
    <row r="487" spans="1:30" s="1" customFormat="1" hidden="1" outlineLevel="1" x14ac:dyDescent="0.45">
      <c r="A487" s="2"/>
      <c r="B487" s="82"/>
      <c r="C487" s="51"/>
      <c r="D487" s="51"/>
      <c r="E487" s="51"/>
      <c r="F487" s="51"/>
      <c r="G487" s="20"/>
      <c r="H487" s="21"/>
      <c r="I487" s="21"/>
      <c r="J487" s="102"/>
      <c r="K487" s="51"/>
      <c r="L487" s="32"/>
      <c r="M487" s="22"/>
      <c r="N487" s="51"/>
      <c r="O487" s="81"/>
      <c r="P487" s="22"/>
      <c r="Q487" s="51"/>
      <c r="R487" s="51"/>
      <c r="S487" s="51"/>
      <c r="T487" s="51"/>
      <c r="U487" s="51"/>
      <c r="V487" s="51">
        <f t="shared" ref="V487:V503" si="63">SUM(G487:U487)</f>
        <v>0</v>
      </c>
      <c r="W487" s="2"/>
      <c r="Y487" s="74"/>
      <c r="AB487" s="74"/>
      <c r="AD487" s="74"/>
    </row>
    <row r="488" spans="1:30" s="1" customFormat="1" hidden="1" outlineLevel="1" x14ac:dyDescent="0.45">
      <c r="A488" s="2"/>
      <c r="B488" s="82"/>
      <c r="C488" s="51"/>
      <c r="D488" s="51"/>
      <c r="E488" s="51"/>
      <c r="F488" s="51"/>
      <c r="G488" s="20"/>
      <c r="H488" s="21"/>
      <c r="I488" s="21"/>
      <c r="J488" s="102"/>
      <c r="K488" s="51"/>
      <c r="L488" s="32"/>
      <c r="M488" s="22"/>
      <c r="N488" s="51"/>
      <c r="O488" s="81"/>
      <c r="P488" s="22"/>
      <c r="Q488" s="51"/>
      <c r="R488" s="51"/>
      <c r="S488" s="51"/>
      <c r="T488" s="51"/>
      <c r="U488" s="51"/>
      <c r="V488" s="51">
        <f t="shared" si="63"/>
        <v>0</v>
      </c>
      <c r="W488" s="2"/>
      <c r="Y488" s="74"/>
      <c r="AB488" s="74"/>
      <c r="AD488" s="74"/>
    </row>
    <row r="489" spans="1:30" s="1" customFormat="1" hidden="1" outlineLevel="1" x14ac:dyDescent="0.45">
      <c r="A489" s="2"/>
      <c r="B489" s="82"/>
      <c r="C489" s="51"/>
      <c r="D489" s="51"/>
      <c r="E489" s="51"/>
      <c r="F489" s="51"/>
      <c r="G489" s="20"/>
      <c r="H489" s="21"/>
      <c r="I489" s="21"/>
      <c r="J489" s="102"/>
      <c r="K489" s="51"/>
      <c r="L489" s="32"/>
      <c r="M489" s="22"/>
      <c r="N489" s="51"/>
      <c r="O489" s="81"/>
      <c r="P489" s="22"/>
      <c r="Q489" s="51"/>
      <c r="R489" s="51"/>
      <c r="S489" s="51"/>
      <c r="T489" s="51"/>
      <c r="U489" s="51"/>
      <c r="V489" s="51">
        <f t="shared" si="63"/>
        <v>0</v>
      </c>
      <c r="W489" s="2"/>
      <c r="Y489" s="74"/>
      <c r="AB489" s="74"/>
      <c r="AD489" s="74"/>
    </row>
    <row r="490" spans="1:30" s="1" customFormat="1" hidden="1" outlineLevel="1" x14ac:dyDescent="0.4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 s="51">
        <f t="shared" si="63"/>
        <v>0</v>
      </c>
      <c r="W490" s="2"/>
      <c r="Y490" s="74"/>
      <c r="AB490" s="74"/>
      <c r="AD490" s="74"/>
    </row>
    <row r="491" spans="1:30" s="1" customFormat="1" hidden="1" outlineLevel="1" x14ac:dyDescent="0.45">
      <c r="A491" s="2"/>
      <c r="B491" s="51"/>
      <c r="C491" s="51"/>
      <c r="D491" s="51"/>
      <c r="E491" s="51"/>
      <c r="F491" s="51"/>
      <c r="G491" s="51"/>
      <c r="H491" s="80"/>
      <c r="I491" s="51"/>
      <c r="J491" s="51"/>
      <c r="K491" s="51"/>
      <c r="L491" s="51"/>
      <c r="M491" s="51"/>
      <c r="N491" s="81"/>
      <c r="O491" s="51"/>
      <c r="P491" s="51"/>
      <c r="Q491" s="51"/>
      <c r="R491" s="51"/>
      <c r="S491" s="51"/>
      <c r="T491" s="51"/>
      <c r="U491" s="51"/>
      <c r="V491" s="51">
        <f t="shared" si="63"/>
        <v>0</v>
      </c>
      <c r="W491" s="2"/>
      <c r="Y491" s="74"/>
      <c r="AB491" s="74"/>
      <c r="AD491" s="74"/>
    </row>
    <row r="492" spans="1:30" s="1" customFormat="1" hidden="1" outlineLevel="1" x14ac:dyDescent="0.45">
      <c r="A492" s="2"/>
      <c r="B492" s="51"/>
      <c r="C492" s="51"/>
      <c r="D492" s="51"/>
      <c r="E492" s="51"/>
      <c r="F492" s="51"/>
      <c r="G492" s="51"/>
      <c r="H492" s="80"/>
      <c r="I492" s="51"/>
      <c r="J492" s="51"/>
      <c r="K492" s="51"/>
      <c r="L492" s="51"/>
      <c r="M492" s="51"/>
      <c r="N492" s="81"/>
      <c r="O492" s="51"/>
      <c r="P492" s="51"/>
      <c r="Q492" s="51"/>
      <c r="R492" s="51"/>
      <c r="S492" s="51"/>
      <c r="T492" s="51"/>
      <c r="U492" s="51"/>
      <c r="V492" s="51">
        <f t="shared" si="63"/>
        <v>0</v>
      </c>
      <c r="W492" s="2"/>
      <c r="Y492" s="74"/>
      <c r="AB492" s="74"/>
      <c r="AD492" s="74"/>
    </row>
    <row r="493" spans="1:30" s="1" customFormat="1" hidden="1" outlineLevel="1" x14ac:dyDescent="0.45">
      <c r="A493" s="2"/>
      <c r="B493" s="51"/>
      <c r="C493" s="51"/>
      <c r="D493" s="51"/>
      <c r="E493" s="51"/>
      <c r="F493" s="51"/>
      <c r="G493" s="51"/>
      <c r="H493" s="80"/>
      <c r="I493" s="51"/>
      <c r="J493" s="51"/>
      <c r="K493" s="51"/>
      <c r="L493" s="51"/>
      <c r="M493" s="51"/>
      <c r="N493" s="81"/>
      <c r="O493" s="51"/>
      <c r="P493" s="51"/>
      <c r="Q493" s="51"/>
      <c r="R493" s="51"/>
      <c r="S493" s="81"/>
      <c r="T493" s="51"/>
      <c r="U493" s="51"/>
      <c r="V493" s="51">
        <f t="shared" si="63"/>
        <v>0</v>
      </c>
      <c r="W493" s="2"/>
      <c r="Y493" s="74"/>
      <c r="AB493" s="74"/>
      <c r="AD493" s="74"/>
    </row>
    <row r="494" spans="1:30" s="1" customFormat="1" hidden="1" outlineLevel="1" x14ac:dyDescent="0.45">
      <c r="A494" s="2"/>
      <c r="B494" s="51"/>
      <c r="C494" s="51"/>
      <c r="D494" s="51"/>
      <c r="E494" s="51"/>
      <c r="F494" s="51"/>
      <c r="G494" s="51"/>
      <c r="H494" s="80"/>
      <c r="I494" s="51"/>
      <c r="J494" s="51"/>
      <c r="K494" s="51"/>
      <c r="L494" s="51"/>
      <c r="M494" s="51"/>
      <c r="N494" s="81"/>
      <c r="O494" s="51"/>
      <c r="P494" s="51"/>
      <c r="Q494" s="51"/>
      <c r="R494" s="51"/>
      <c r="S494" s="81"/>
      <c r="T494" s="51"/>
      <c r="U494" s="51"/>
      <c r="V494" s="51">
        <f t="shared" si="63"/>
        <v>0</v>
      </c>
      <c r="W494" s="2"/>
      <c r="Y494" s="74"/>
      <c r="AB494" s="74"/>
      <c r="AD494" s="74"/>
    </row>
    <row r="495" spans="1:30" s="1" customFormat="1" hidden="1" outlineLevel="1" x14ac:dyDescent="0.45">
      <c r="A495" s="2"/>
      <c r="B495" s="51"/>
      <c r="C495" s="51"/>
      <c r="D495" s="51"/>
      <c r="E495" s="51"/>
      <c r="F495" s="51"/>
      <c r="G495" s="51"/>
      <c r="H495" s="80"/>
      <c r="I495" s="51"/>
      <c r="J495" s="51"/>
      <c r="K495" s="51"/>
      <c r="L495" s="51"/>
      <c r="M495" s="51"/>
      <c r="N495" s="81"/>
      <c r="O495" s="51"/>
      <c r="P495" s="51"/>
      <c r="Q495" s="51"/>
      <c r="R495" s="51"/>
      <c r="S495" s="81"/>
      <c r="T495" s="51"/>
      <c r="U495" s="51"/>
      <c r="V495" s="51">
        <f t="shared" si="63"/>
        <v>0</v>
      </c>
      <c r="W495" s="2"/>
      <c r="Y495" s="74"/>
      <c r="AB495" s="74"/>
      <c r="AD495" s="74"/>
    </row>
    <row r="496" spans="1:30" s="1" customFormat="1" hidden="1" outlineLevel="1" x14ac:dyDescent="0.45">
      <c r="A496" s="2"/>
      <c r="B496" s="51"/>
      <c r="C496" s="51"/>
      <c r="D496" s="51"/>
      <c r="E496" s="51"/>
      <c r="F496" s="51"/>
      <c r="G496" s="51"/>
      <c r="H496" s="80"/>
      <c r="I496" s="51"/>
      <c r="J496" s="51"/>
      <c r="K496" s="51"/>
      <c r="L496" s="51"/>
      <c r="M496" s="51"/>
      <c r="N496" s="81"/>
      <c r="O496" s="51"/>
      <c r="P496" s="51"/>
      <c r="Q496" s="51"/>
      <c r="R496" s="51"/>
      <c r="S496" s="81"/>
      <c r="T496" s="51"/>
      <c r="U496" s="51"/>
      <c r="V496" s="51">
        <f t="shared" si="63"/>
        <v>0</v>
      </c>
      <c r="W496" s="2"/>
      <c r="Y496" s="74"/>
      <c r="AB496" s="74"/>
      <c r="AD496" s="74"/>
    </row>
    <row r="497" spans="1:39" s="1" customFormat="1" hidden="1" outlineLevel="1" x14ac:dyDescent="0.45">
      <c r="A497" s="2"/>
      <c r="B497" s="51"/>
      <c r="C497" s="51"/>
      <c r="D497" s="51"/>
      <c r="E497" s="51"/>
      <c r="F497" s="51"/>
      <c r="G497" s="51"/>
      <c r="H497" s="80"/>
      <c r="I497" s="51"/>
      <c r="J497" s="51"/>
      <c r="K497" s="51"/>
      <c r="L497" s="51"/>
      <c r="M497" s="51"/>
      <c r="N497" s="81"/>
      <c r="O497" s="51"/>
      <c r="P497" s="51"/>
      <c r="Q497" s="51"/>
      <c r="R497" s="51"/>
      <c r="S497" s="81"/>
      <c r="T497" s="51"/>
      <c r="U497" s="51"/>
      <c r="V497" s="51">
        <f t="shared" si="63"/>
        <v>0</v>
      </c>
      <c r="W497" s="2"/>
      <c r="Y497" s="74"/>
      <c r="AB497" s="74"/>
      <c r="AD497" s="74"/>
    </row>
    <row r="498" spans="1:39" s="1" customFormat="1" hidden="1" outlineLevel="1" x14ac:dyDescent="0.45">
      <c r="A498" s="2"/>
      <c r="B498" s="51"/>
      <c r="C498" s="51"/>
      <c r="D498" s="51"/>
      <c r="E498" s="51"/>
      <c r="F498" s="51"/>
      <c r="G498" s="51"/>
      <c r="H498" s="80"/>
      <c r="I498" s="51"/>
      <c r="J498" s="51"/>
      <c r="K498" s="51"/>
      <c r="L498" s="51"/>
      <c r="M498" s="51"/>
      <c r="N498" s="81"/>
      <c r="O498" s="51"/>
      <c r="P498" s="51"/>
      <c r="Q498" s="51"/>
      <c r="R498" s="51"/>
      <c r="S498" s="81"/>
      <c r="T498" s="51"/>
      <c r="U498" s="51"/>
      <c r="V498" s="51">
        <f t="shared" si="63"/>
        <v>0</v>
      </c>
      <c r="W498" s="2"/>
      <c r="Y498" s="74"/>
      <c r="AB498" s="74"/>
      <c r="AD498" s="74"/>
    </row>
    <row r="499" spans="1:39" s="1" customFormat="1" hidden="1" outlineLevel="1" x14ac:dyDescent="0.45">
      <c r="A499" s="2"/>
      <c r="B499" s="51"/>
      <c r="C499" s="51"/>
      <c r="D499" s="51"/>
      <c r="E499" s="51"/>
      <c r="F499" s="51"/>
      <c r="G499" s="51"/>
      <c r="H499" s="80"/>
      <c r="I499" s="51"/>
      <c r="J499" s="51"/>
      <c r="K499" s="51"/>
      <c r="L499" s="51"/>
      <c r="M499" s="51"/>
      <c r="N499" s="81"/>
      <c r="O499" s="51"/>
      <c r="P499" s="51"/>
      <c r="Q499" s="51"/>
      <c r="R499" s="51"/>
      <c r="S499" s="81"/>
      <c r="T499" s="51"/>
      <c r="U499" s="51"/>
      <c r="V499" s="51">
        <f t="shared" si="63"/>
        <v>0</v>
      </c>
      <c r="W499" s="2"/>
      <c r="Y499" s="74"/>
      <c r="AB499" s="74"/>
      <c r="AD499" s="74"/>
    </row>
    <row r="500" spans="1:39" s="1" customFormat="1" hidden="1" outlineLevel="1" x14ac:dyDescent="0.45">
      <c r="A500" s="2"/>
      <c r="B500" s="51"/>
      <c r="C500" s="51"/>
      <c r="D500" s="51"/>
      <c r="E500" s="51"/>
      <c r="F500" s="51"/>
      <c r="G500" s="51"/>
      <c r="H500" s="80"/>
      <c r="I500" s="51"/>
      <c r="J500" s="51"/>
      <c r="K500" s="51"/>
      <c r="L500" s="51"/>
      <c r="M500" s="51"/>
      <c r="N500" s="81"/>
      <c r="O500" s="51"/>
      <c r="P500" s="51"/>
      <c r="Q500" s="51"/>
      <c r="R500" s="51"/>
      <c r="S500" s="81"/>
      <c r="T500" s="51"/>
      <c r="U500" s="51"/>
      <c r="V500" s="51">
        <f t="shared" si="63"/>
        <v>0</v>
      </c>
      <c r="W500" s="2"/>
      <c r="Y500" s="74"/>
      <c r="AB500" s="74"/>
      <c r="AD500" s="74"/>
    </row>
    <row r="501" spans="1:39" s="1" customFormat="1" hidden="1" outlineLevel="1" x14ac:dyDescent="0.45">
      <c r="A501" s="2"/>
      <c r="B501" s="51"/>
      <c r="C501" s="51"/>
      <c r="D501" s="51"/>
      <c r="E501" s="51"/>
      <c r="F501" s="51"/>
      <c r="G501" s="51"/>
      <c r="H501" s="80"/>
      <c r="I501" s="51"/>
      <c r="J501" s="51"/>
      <c r="K501" s="51"/>
      <c r="L501" s="51"/>
      <c r="M501" s="51"/>
      <c r="N501" s="81"/>
      <c r="O501" s="51"/>
      <c r="P501" s="51"/>
      <c r="Q501" s="51"/>
      <c r="R501" s="51"/>
      <c r="S501" s="81"/>
      <c r="T501" s="51"/>
      <c r="U501" s="51"/>
      <c r="V501" s="51">
        <f t="shared" si="63"/>
        <v>0</v>
      </c>
      <c r="W501" s="2"/>
      <c r="Y501" s="74"/>
      <c r="AB501" s="74"/>
      <c r="AD501" s="74"/>
    </row>
    <row r="502" spans="1:39" s="1" customFormat="1" hidden="1" outlineLevel="1" x14ac:dyDescent="0.45">
      <c r="A502" s="2"/>
      <c r="B502" s="51"/>
      <c r="C502" s="51"/>
      <c r="D502" s="51"/>
      <c r="E502" s="51"/>
      <c r="F502" s="51"/>
      <c r="G502" s="51"/>
      <c r="H502" s="80"/>
      <c r="I502" s="51"/>
      <c r="J502" s="51"/>
      <c r="K502" s="51"/>
      <c r="L502" s="51"/>
      <c r="M502" s="51"/>
      <c r="N502" s="81"/>
      <c r="O502" s="51"/>
      <c r="P502" s="51"/>
      <c r="Q502" s="51"/>
      <c r="R502" s="51"/>
      <c r="S502" s="81"/>
      <c r="T502" s="51"/>
      <c r="U502" s="51"/>
      <c r="V502" s="51">
        <f t="shared" si="63"/>
        <v>0</v>
      </c>
      <c r="W502" s="2"/>
      <c r="Y502" s="74"/>
      <c r="AB502" s="74"/>
      <c r="AD502" s="74"/>
    </row>
    <row r="503" spans="1:39" s="1" customFormat="1" hidden="1" outlineLevel="1" x14ac:dyDescent="0.45">
      <c r="A503" s="2"/>
      <c r="B503" s="51"/>
      <c r="C503" s="51"/>
      <c r="D503" s="51"/>
      <c r="E503" s="51"/>
      <c r="F503" s="51"/>
      <c r="G503" s="51"/>
      <c r="H503" s="80"/>
      <c r="I503" s="51"/>
      <c r="J503" s="51"/>
      <c r="K503" s="51"/>
      <c r="L503" s="51"/>
      <c r="M503" s="51"/>
      <c r="N503" s="81"/>
      <c r="O503" s="51"/>
      <c r="P503" s="51"/>
      <c r="Q503" s="51"/>
      <c r="R503" s="51"/>
      <c r="S503" s="81"/>
      <c r="T503" s="51"/>
      <c r="U503" s="51"/>
      <c r="V503" s="51">
        <f t="shared" si="63"/>
        <v>0</v>
      </c>
      <c r="W503" s="2"/>
      <c r="Y503" s="74"/>
      <c r="AB503" s="74"/>
      <c r="AD503" s="74"/>
    </row>
    <row r="504" spans="1:39" ht="15.75" hidden="1" customHeight="1" outlineLevel="1" thickBot="1" x14ac:dyDescent="0.5">
      <c r="A504" s="2"/>
      <c r="B504" s="75"/>
      <c r="C504" s="75"/>
      <c r="D504" s="76"/>
      <c r="E504" s="76"/>
      <c r="F504" s="76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2"/>
      <c r="R504" s="77"/>
      <c r="S504" s="77"/>
      <c r="T504" s="77"/>
      <c r="U504" s="2"/>
      <c r="V504" s="77"/>
      <c r="W504" s="78"/>
      <c r="Y504" s="74"/>
      <c r="Z504" s="6"/>
      <c r="AA504" s="13"/>
      <c r="AB504" s="74"/>
      <c r="AC504" s="6"/>
      <c r="AD504" s="74"/>
      <c r="AE504" s="6"/>
      <c r="AF504" s="6"/>
      <c r="AG504" s="6"/>
      <c r="AH504" s="6"/>
      <c r="AI504" s="6"/>
      <c r="AM504" s="14"/>
    </row>
    <row r="505" spans="1:39" s="1" customFormat="1" ht="12.75" customHeight="1" x14ac:dyDescent="0.4">
      <c r="A505" s="126">
        <v>32</v>
      </c>
      <c r="B505" s="128" t="s">
        <v>221</v>
      </c>
      <c r="C505" s="128" t="s">
        <v>60</v>
      </c>
      <c r="D505" s="137" t="s">
        <v>34</v>
      </c>
      <c r="E505" s="90"/>
      <c r="F505" s="92"/>
      <c r="G505" s="72">
        <f t="shared" ref="G505:U505" si="64">SUM(G507:G516)</f>
        <v>0</v>
      </c>
      <c r="H505" s="72">
        <f t="shared" si="64"/>
        <v>0</v>
      </c>
      <c r="I505" s="72">
        <f t="shared" si="64"/>
        <v>0</v>
      </c>
      <c r="J505" s="72">
        <f t="shared" si="64"/>
        <v>0</v>
      </c>
      <c r="K505" s="72">
        <f t="shared" si="64"/>
        <v>0</v>
      </c>
      <c r="L505" s="72">
        <f t="shared" si="64"/>
        <v>0</v>
      </c>
      <c r="M505" s="72">
        <f t="shared" si="64"/>
        <v>0</v>
      </c>
      <c r="N505" s="72">
        <f t="shared" si="64"/>
        <v>0</v>
      </c>
      <c r="O505" s="72">
        <f t="shared" si="64"/>
        <v>0</v>
      </c>
      <c r="P505" s="72">
        <f t="shared" si="64"/>
        <v>0</v>
      </c>
      <c r="Q505" s="72">
        <f t="shared" si="64"/>
        <v>0</v>
      </c>
      <c r="R505" s="72">
        <f t="shared" si="64"/>
        <v>0</v>
      </c>
      <c r="S505" s="72">
        <f t="shared" si="64"/>
        <v>0</v>
      </c>
      <c r="T505" s="72">
        <f t="shared" si="64"/>
        <v>0</v>
      </c>
      <c r="U505" s="72">
        <f t="shared" si="64"/>
        <v>0</v>
      </c>
      <c r="V505" s="72">
        <f>SUM(V507:V516)</f>
        <v>0</v>
      </c>
      <c r="W505" s="149">
        <f>V505+V506</f>
        <v>0</v>
      </c>
      <c r="Y505" s="74"/>
      <c r="AB505" s="74"/>
      <c r="AD505" s="74"/>
    </row>
    <row r="506" spans="1:39" s="1" customFormat="1" ht="12.9" collapsed="1" thickBot="1" x14ac:dyDescent="0.45">
      <c r="A506" s="127"/>
      <c r="B506" s="129"/>
      <c r="C506" s="129"/>
      <c r="D506" s="138"/>
      <c r="E506" s="91"/>
      <c r="F506" s="93"/>
      <c r="G506" s="73">
        <f>SUM(G518:G535)</f>
        <v>0</v>
      </c>
      <c r="H506" s="79">
        <f>SUM(H518:H535)</f>
        <v>0</v>
      </c>
      <c r="I506" s="79">
        <f>SUM(I518:I535)</f>
        <v>0</v>
      </c>
      <c r="J506" s="73">
        <f t="shared" ref="J506:Q506" si="65">SUM(J518:J535)</f>
        <v>0</v>
      </c>
      <c r="K506" s="73">
        <f t="shared" si="65"/>
        <v>0</v>
      </c>
      <c r="L506" s="73">
        <f t="shared" si="65"/>
        <v>0</v>
      </c>
      <c r="M506" s="73">
        <f t="shared" si="65"/>
        <v>0</v>
      </c>
      <c r="N506" s="73">
        <f t="shared" si="65"/>
        <v>0</v>
      </c>
      <c r="O506" s="73">
        <f t="shared" si="65"/>
        <v>0</v>
      </c>
      <c r="P506" s="73">
        <f t="shared" si="65"/>
        <v>0</v>
      </c>
      <c r="Q506" s="73">
        <f t="shared" si="65"/>
        <v>0</v>
      </c>
      <c r="R506" s="73">
        <f>SUM(R518:R535)</f>
        <v>0</v>
      </c>
      <c r="S506" s="73">
        <f>SUM(S518:S535)</f>
        <v>0</v>
      </c>
      <c r="T506" s="73">
        <f>SUM(T518:T535)</f>
        <v>0</v>
      </c>
      <c r="U506" s="73">
        <f>SUM(U518:U535)</f>
        <v>0</v>
      </c>
      <c r="V506" s="73">
        <f>SUM(V518:V535)</f>
        <v>0</v>
      </c>
      <c r="W506" s="150"/>
      <c r="Y506" s="74"/>
      <c r="Z506" s="74"/>
      <c r="AB506" s="74"/>
      <c r="AD506" s="74"/>
    </row>
    <row r="507" spans="1:39" s="1" customFormat="1" hidden="1" outlineLevel="1" x14ac:dyDescent="0.45">
      <c r="A507" s="2"/>
      <c r="B507" s="51"/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>
        <f>SUM(G507:U507)</f>
        <v>0</v>
      </c>
      <c r="W507" s="2"/>
      <c r="Y507" s="74"/>
      <c r="AB507" s="74"/>
      <c r="AD507" s="74"/>
    </row>
    <row r="508" spans="1:39" s="1" customFormat="1" hidden="1" outlineLevel="1" x14ac:dyDescent="0.45">
      <c r="A508" s="2"/>
      <c r="B508" s="51"/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>
        <f>SUM(G508:U508)</f>
        <v>0</v>
      </c>
      <c r="W508" s="2"/>
      <c r="Y508" s="74"/>
      <c r="AB508" s="74"/>
      <c r="AD508" s="74"/>
    </row>
    <row r="509" spans="1:39" s="1" customFormat="1" hidden="1" outlineLevel="1" x14ac:dyDescent="0.45">
      <c r="A509" s="2"/>
      <c r="B509" s="51"/>
      <c r="C509" s="51"/>
      <c r="D509" s="51"/>
      <c r="E509" s="51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>
        <f t="shared" ref="V509:V516" si="66">SUM(G509:U509)</f>
        <v>0</v>
      </c>
      <c r="W509" s="2"/>
      <c r="Y509" s="74"/>
      <c r="AB509" s="74"/>
      <c r="AD509" s="74"/>
    </row>
    <row r="510" spans="1:39" s="1" customFormat="1" hidden="1" outlineLevel="1" x14ac:dyDescent="0.45">
      <c r="A510" s="2"/>
      <c r="B510" s="51"/>
      <c r="C510" s="51"/>
      <c r="D510" s="51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>
        <f t="shared" si="66"/>
        <v>0</v>
      </c>
      <c r="W510" s="2"/>
      <c r="Y510" s="74"/>
      <c r="AB510" s="74"/>
      <c r="AD510" s="74"/>
    </row>
    <row r="511" spans="1:39" s="1" customFormat="1" hidden="1" outlineLevel="1" x14ac:dyDescent="0.45">
      <c r="A511" s="2"/>
      <c r="B511" s="51"/>
      <c r="C511" s="51"/>
      <c r="D511" s="51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>
        <f t="shared" si="66"/>
        <v>0</v>
      </c>
      <c r="W511" s="2"/>
      <c r="Y511" s="74"/>
      <c r="AB511" s="74"/>
      <c r="AD511" s="74"/>
    </row>
    <row r="512" spans="1:39" s="1" customFormat="1" hidden="1" outlineLevel="1" x14ac:dyDescent="0.45">
      <c r="A512" s="2"/>
      <c r="B512" s="51"/>
      <c r="C512" s="51"/>
      <c r="D512" s="51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>
        <f t="shared" si="66"/>
        <v>0</v>
      </c>
      <c r="W512" s="2"/>
      <c r="Y512" s="74"/>
      <c r="AB512" s="74"/>
      <c r="AD512" s="74"/>
    </row>
    <row r="513" spans="1:30" s="1" customFormat="1" hidden="1" outlineLevel="1" x14ac:dyDescent="0.45">
      <c r="A513" s="2"/>
      <c r="B513" s="51"/>
      <c r="C513" s="51"/>
      <c r="D513" s="51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>
        <f t="shared" si="66"/>
        <v>0</v>
      </c>
      <c r="W513" s="2"/>
      <c r="Y513" s="74"/>
      <c r="AB513" s="74"/>
      <c r="AD513" s="74"/>
    </row>
    <row r="514" spans="1:30" s="1" customFormat="1" hidden="1" outlineLevel="1" x14ac:dyDescent="0.45">
      <c r="A514" s="2"/>
      <c r="B514" s="51"/>
      <c r="C514" s="51"/>
      <c r="D514" s="51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>
        <f t="shared" si="66"/>
        <v>0</v>
      </c>
      <c r="W514" s="2"/>
      <c r="Y514" s="74"/>
      <c r="AB514" s="74"/>
      <c r="AD514" s="74"/>
    </row>
    <row r="515" spans="1:30" s="1" customFormat="1" hidden="1" outlineLevel="1" x14ac:dyDescent="0.45">
      <c r="A515" s="2"/>
      <c r="B515" s="51"/>
      <c r="C515" s="51"/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>
        <f t="shared" si="66"/>
        <v>0</v>
      </c>
      <c r="W515" s="2"/>
      <c r="Y515" s="74"/>
      <c r="AB515" s="74"/>
      <c r="AD515" s="74"/>
    </row>
    <row r="516" spans="1:30" s="1" customFormat="1" hidden="1" outlineLevel="1" x14ac:dyDescent="0.45">
      <c r="A516" s="2"/>
      <c r="B516" s="51"/>
      <c r="C516" s="51"/>
      <c r="D516" s="51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>
        <f t="shared" si="66"/>
        <v>0</v>
      </c>
      <c r="W516" s="2"/>
      <c r="Y516" s="74"/>
      <c r="AB516" s="74"/>
      <c r="AD516" s="74"/>
    </row>
    <row r="517" spans="1:30" s="1" customFormat="1" hidden="1" outlineLevel="1" x14ac:dyDescent="0.45">
      <c r="A517" s="2"/>
      <c r="B517" s="166" t="s">
        <v>29</v>
      </c>
      <c r="C517" s="166"/>
      <c r="D517" s="166"/>
      <c r="E517" s="166"/>
      <c r="F517" s="166"/>
      <c r="G517" s="166"/>
      <c r="H517" s="166"/>
      <c r="I517" s="166"/>
      <c r="J517" s="166"/>
      <c r="K517" s="166"/>
      <c r="L517" s="166"/>
      <c r="M517" s="166"/>
      <c r="N517" s="166"/>
      <c r="O517" s="166"/>
      <c r="P517" s="166"/>
      <c r="Q517" s="166"/>
      <c r="R517" s="166"/>
      <c r="S517" s="166"/>
      <c r="T517" s="166"/>
      <c r="U517" s="166"/>
      <c r="V517" s="104"/>
      <c r="W517" s="2"/>
      <c r="Y517" s="74"/>
      <c r="AB517" s="74"/>
      <c r="AD517" s="74"/>
    </row>
    <row r="518" spans="1:30" s="1" customFormat="1" hidden="1" outlineLevel="1" x14ac:dyDescent="0.45">
      <c r="A518" s="2"/>
      <c r="B518" s="82"/>
      <c r="C518" s="51"/>
      <c r="D518" s="51"/>
      <c r="E518" s="51"/>
      <c r="F518" s="51"/>
      <c r="G518" s="20"/>
      <c r="H518" s="21"/>
      <c r="I518" s="21"/>
      <c r="J518" s="102"/>
      <c r="K518" s="51"/>
      <c r="L518" s="32"/>
      <c r="M518" s="22"/>
      <c r="N518" s="51"/>
      <c r="O518" s="81"/>
      <c r="P518" s="22"/>
      <c r="Q518" s="51"/>
      <c r="R518" s="51"/>
      <c r="S518" s="51"/>
      <c r="T518" s="51"/>
      <c r="U518" s="51"/>
      <c r="V518" s="51">
        <f t="shared" ref="V518:V534" si="67">SUM(G518:U518)</f>
        <v>0</v>
      </c>
      <c r="W518" s="2"/>
      <c r="Y518" s="74"/>
      <c r="AB518" s="74"/>
      <c r="AD518" s="74"/>
    </row>
    <row r="519" spans="1:30" s="1" customFormat="1" hidden="1" outlineLevel="1" x14ac:dyDescent="0.45">
      <c r="A519" s="2"/>
      <c r="B519" s="82"/>
      <c r="C519" s="51"/>
      <c r="D519" s="51"/>
      <c r="E519" s="51"/>
      <c r="F519" s="51"/>
      <c r="G519" s="20"/>
      <c r="H519" s="21"/>
      <c r="I519" s="21"/>
      <c r="J519" s="102"/>
      <c r="K519" s="51"/>
      <c r="L519" s="32"/>
      <c r="M519" s="22"/>
      <c r="N519" s="51"/>
      <c r="O519" s="81"/>
      <c r="P519" s="22"/>
      <c r="Q519" s="51"/>
      <c r="R519" s="51"/>
      <c r="S519" s="51"/>
      <c r="T519" s="51"/>
      <c r="U519" s="51"/>
      <c r="V519" s="51">
        <f t="shared" si="67"/>
        <v>0</v>
      </c>
      <c r="W519" s="2"/>
      <c r="Y519" s="74"/>
      <c r="AB519" s="74"/>
      <c r="AD519" s="74"/>
    </row>
    <row r="520" spans="1:30" s="1" customFormat="1" hidden="1" outlineLevel="1" x14ac:dyDescent="0.45">
      <c r="A520" s="2"/>
      <c r="B520" s="82"/>
      <c r="C520" s="51"/>
      <c r="D520" s="51"/>
      <c r="E520" s="51"/>
      <c r="F520" s="51"/>
      <c r="G520" s="20"/>
      <c r="H520" s="21"/>
      <c r="I520" s="21"/>
      <c r="J520" s="102"/>
      <c r="K520" s="51"/>
      <c r="L520" s="32"/>
      <c r="M520" s="22"/>
      <c r="N520" s="51"/>
      <c r="O520" s="81"/>
      <c r="P520" s="22"/>
      <c r="Q520" s="51"/>
      <c r="R520" s="51"/>
      <c r="S520" s="51"/>
      <c r="T520" s="51"/>
      <c r="U520" s="51"/>
      <c r="V520" s="51">
        <f t="shared" si="67"/>
        <v>0</v>
      </c>
      <c r="W520" s="2"/>
      <c r="Y520" s="74"/>
      <c r="AB520" s="74"/>
      <c r="AD520" s="74"/>
    </row>
    <row r="521" spans="1:30" s="1" customFormat="1" hidden="1" outlineLevel="1" x14ac:dyDescent="0.45">
      <c r="A521" s="2"/>
      <c r="B521" s="82"/>
      <c r="C521" s="51"/>
      <c r="D521" s="51"/>
      <c r="E521" s="51"/>
      <c r="F521" s="51"/>
      <c r="G521" s="20"/>
      <c r="H521" s="21"/>
      <c r="I521" s="21"/>
      <c r="J521" s="102"/>
      <c r="K521" s="51"/>
      <c r="L521" s="32"/>
      <c r="M521" s="22"/>
      <c r="N521" s="51"/>
      <c r="O521" s="81"/>
      <c r="P521" s="22"/>
      <c r="Q521" s="51"/>
      <c r="R521" s="51"/>
      <c r="S521" s="51"/>
      <c r="T521" s="51"/>
      <c r="U521" s="51"/>
      <c r="V521" s="51">
        <f t="shared" si="67"/>
        <v>0</v>
      </c>
      <c r="W521" s="2"/>
      <c r="Y521" s="74"/>
      <c r="AB521" s="74"/>
      <c r="AD521" s="74"/>
    </row>
    <row r="522" spans="1:30" s="1" customFormat="1" hidden="1" outlineLevel="1" x14ac:dyDescent="0.45">
      <c r="A522" s="2"/>
      <c r="B522" s="51"/>
      <c r="C522" s="51"/>
      <c r="D522" s="51"/>
      <c r="E522" s="51"/>
      <c r="F522" s="51"/>
      <c r="G522" s="51"/>
      <c r="H522" s="80"/>
      <c r="I522" s="51"/>
      <c r="J522" s="51"/>
      <c r="K522" s="51"/>
      <c r="L522" s="51"/>
      <c r="M522" s="51"/>
      <c r="N522" s="81"/>
      <c r="O522" s="51"/>
      <c r="P522" s="51"/>
      <c r="Q522" s="51"/>
      <c r="R522" s="51"/>
      <c r="S522" s="51"/>
      <c r="T522" s="51"/>
      <c r="U522" s="51"/>
      <c r="V522" s="51">
        <f t="shared" si="67"/>
        <v>0</v>
      </c>
      <c r="W522" s="2"/>
      <c r="Y522" s="74"/>
      <c r="AB522" s="74"/>
      <c r="AD522" s="74"/>
    </row>
    <row r="523" spans="1:30" s="1" customFormat="1" hidden="1" outlineLevel="1" x14ac:dyDescent="0.45">
      <c r="A523" s="2"/>
      <c r="B523" s="51"/>
      <c r="C523" s="51"/>
      <c r="D523" s="51"/>
      <c r="E523" s="51"/>
      <c r="F523" s="51"/>
      <c r="G523" s="51"/>
      <c r="H523" s="80"/>
      <c r="I523" s="51"/>
      <c r="J523" s="51"/>
      <c r="K523" s="51"/>
      <c r="L523" s="51"/>
      <c r="M523" s="51"/>
      <c r="N523" s="81"/>
      <c r="O523" s="51"/>
      <c r="P523" s="51"/>
      <c r="Q523" s="51"/>
      <c r="R523" s="51"/>
      <c r="S523" s="51"/>
      <c r="T523" s="51"/>
      <c r="U523" s="51"/>
      <c r="V523" s="51">
        <f t="shared" si="67"/>
        <v>0</v>
      </c>
      <c r="W523" s="2"/>
      <c r="Y523" s="74"/>
      <c r="AB523" s="74"/>
      <c r="AD523" s="74"/>
    </row>
    <row r="524" spans="1:30" s="1" customFormat="1" hidden="1" outlineLevel="1" x14ac:dyDescent="0.45">
      <c r="A524" s="2"/>
      <c r="B524" s="51"/>
      <c r="C524" s="51"/>
      <c r="D524" s="51"/>
      <c r="E524" s="51"/>
      <c r="F524" s="51"/>
      <c r="G524" s="51"/>
      <c r="H524" s="80"/>
      <c r="I524" s="51"/>
      <c r="J524" s="51"/>
      <c r="K524" s="51"/>
      <c r="L524" s="51"/>
      <c r="M524" s="51"/>
      <c r="N524" s="81"/>
      <c r="O524" s="51"/>
      <c r="P524" s="51"/>
      <c r="Q524" s="51"/>
      <c r="R524" s="51"/>
      <c r="S524" s="81"/>
      <c r="T524" s="51"/>
      <c r="U524" s="51"/>
      <c r="V524" s="51">
        <f t="shared" si="67"/>
        <v>0</v>
      </c>
      <c r="W524" s="2"/>
      <c r="Y524" s="74"/>
      <c r="AB524" s="74"/>
      <c r="AD524" s="74"/>
    </row>
    <row r="525" spans="1:30" s="1" customFormat="1" hidden="1" outlineLevel="1" x14ac:dyDescent="0.45">
      <c r="A525" s="2"/>
      <c r="B525" s="51"/>
      <c r="C525" s="51"/>
      <c r="D525" s="51"/>
      <c r="E525" s="51"/>
      <c r="F525" s="51"/>
      <c r="G525" s="51"/>
      <c r="H525" s="80"/>
      <c r="I525" s="51"/>
      <c r="J525" s="51"/>
      <c r="K525" s="51"/>
      <c r="L525" s="51"/>
      <c r="M525" s="51"/>
      <c r="N525" s="81"/>
      <c r="O525" s="51"/>
      <c r="P525" s="51"/>
      <c r="Q525" s="51"/>
      <c r="R525" s="51"/>
      <c r="S525" s="81"/>
      <c r="T525" s="51"/>
      <c r="U525" s="51"/>
      <c r="V525" s="51">
        <f t="shared" si="67"/>
        <v>0</v>
      </c>
      <c r="W525" s="2"/>
      <c r="Y525" s="74"/>
      <c r="AB525" s="74"/>
      <c r="AD525" s="74"/>
    </row>
    <row r="526" spans="1:30" s="1" customFormat="1" hidden="1" outlineLevel="1" x14ac:dyDescent="0.45">
      <c r="A526" s="2"/>
      <c r="B526" s="51"/>
      <c r="C526" s="51"/>
      <c r="D526" s="51"/>
      <c r="E526" s="51"/>
      <c r="F526" s="51"/>
      <c r="G526" s="51"/>
      <c r="H526" s="80"/>
      <c r="I526" s="51"/>
      <c r="J526" s="51"/>
      <c r="K526" s="51"/>
      <c r="L526" s="51"/>
      <c r="M526" s="51"/>
      <c r="N526" s="81"/>
      <c r="O526" s="51"/>
      <c r="P526" s="51"/>
      <c r="Q526" s="51"/>
      <c r="R526" s="51"/>
      <c r="S526" s="81"/>
      <c r="T526" s="51"/>
      <c r="U526" s="51"/>
      <c r="V526" s="51">
        <f t="shared" si="67"/>
        <v>0</v>
      </c>
      <c r="W526" s="2"/>
      <c r="Y526" s="74"/>
      <c r="AB526" s="74"/>
      <c r="AD526" s="74"/>
    </row>
    <row r="527" spans="1:30" s="1" customFormat="1" hidden="1" outlineLevel="1" x14ac:dyDescent="0.45">
      <c r="A527" s="2"/>
      <c r="B527" s="51"/>
      <c r="C527" s="51"/>
      <c r="D527" s="51"/>
      <c r="E527" s="51"/>
      <c r="F527" s="51"/>
      <c r="G527" s="51"/>
      <c r="H527" s="80"/>
      <c r="I527" s="51"/>
      <c r="J527" s="51"/>
      <c r="K527" s="51"/>
      <c r="L527" s="51"/>
      <c r="M527" s="51"/>
      <c r="N527" s="81"/>
      <c r="O527" s="51"/>
      <c r="P527" s="51"/>
      <c r="Q527" s="51"/>
      <c r="R527" s="51"/>
      <c r="S527" s="81"/>
      <c r="T527" s="51"/>
      <c r="U527" s="51"/>
      <c r="V527" s="51">
        <f t="shared" si="67"/>
        <v>0</v>
      </c>
      <c r="W527" s="2"/>
      <c r="Y527" s="74"/>
      <c r="AB527" s="74"/>
      <c r="AD527" s="74"/>
    </row>
    <row r="528" spans="1:30" s="1" customFormat="1" hidden="1" outlineLevel="1" x14ac:dyDescent="0.45">
      <c r="A528" s="2"/>
      <c r="B528" s="51"/>
      <c r="C528" s="51"/>
      <c r="D528" s="51"/>
      <c r="E528" s="51"/>
      <c r="F528" s="51"/>
      <c r="G528" s="51"/>
      <c r="H528" s="80"/>
      <c r="I528" s="51"/>
      <c r="J528" s="51"/>
      <c r="K528" s="51"/>
      <c r="L528" s="51"/>
      <c r="M528" s="51"/>
      <c r="N528" s="81"/>
      <c r="O528" s="51"/>
      <c r="P528" s="51"/>
      <c r="Q528" s="51"/>
      <c r="R528" s="51"/>
      <c r="S528" s="81"/>
      <c r="T528" s="51"/>
      <c r="U528" s="51"/>
      <c r="V528" s="51">
        <f t="shared" si="67"/>
        <v>0</v>
      </c>
      <c r="W528" s="2"/>
      <c r="Y528" s="74"/>
      <c r="AB528" s="74"/>
      <c r="AD528" s="74"/>
    </row>
    <row r="529" spans="1:39" s="1" customFormat="1" hidden="1" outlineLevel="1" x14ac:dyDescent="0.45">
      <c r="A529" s="2"/>
      <c r="B529" s="51"/>
      <c r="C529" s="51"/>
      <c r="D529" s="51"/>
      <c r="E529" s="51"/>
      <c r="F529" s="51"/>
      <c r="G529" s="51"/>
      <c r="H529" s="80"/>
      <c r="I529" s="51"/>
      <c r="J529" s="51"/>
      <c r="K529" s="51"/>
      <c r="L529" s="51"/>
      <c r="M529" s="51"/>
      <c r="N529" s="81"/>
      <c r="O529" s="51"/>
      <c r="P529" s="51"/>
      <c r="Q529" s="51"/>
      <c r="R529" s="51"/>
      <c r="S529" s="81"/>
      <c r="T529" s="51"/>
      <c r="U529" s="51"/>
      <c r="V529" s="51">
        <f t="shared" si="67"/>
        <v>0</v>
      </c>
      <c r="W529" s="2"/>
      <c r="Y529" s="74"/>
      <c r="AB529" s="74"/>
      <c r="AD529" s="74"/>
    </row>
    <row r="530" spans="1:39" s="1" customFormat="1" hidden="1" outlineLevel="1" x14ac:dyDescent="0.45">
      <c r="A530" s="2"/>
      <c r="B530" s="51"/>
      <c r="C530" s="51"/>
      <c r="D530" s="51"/>
      <c r="E530" s="51"/>
      <c r="F530" s="51"/>
      <c r="G530" s="51"/>
      <c r="H530" s="80"/>
      <c r="I530" s="51"/>
      <c r="J530" s="51"/>
      <c r="K530" s="51"/>
      <c r="L530" s="51"/>
      <c r="M530" s="51"/>
      <c r="N530" s="81"/>
      <c r="O530" s="51"/>
      <c r="P530" s="51"/>
      <c r="Q530" s="51"/>
      <c r="R530" s="51"/>
      <c r="S530" s="81"/>
      <c r="T530" s="51"/>
      <c r="U530" s="51"/>
      <c r="V530" s="51">
        <f t="shared" si="67"/>
        <v>0</v>
      </c>
      <c r="W530" s="2"/>
      <c r="Y530" s="74"/>
      <c r="AB530" s="74"/>
      <c r="AD530" s="74"/>
    </row>
    <row r="531" spans="1:39" s="1" customFormat="1" hidden="1" outlineLevel="1" x14ac:dyDescent="0.45">
      <c r="A531" s="2"/>
      <c r="B531" s="51"/>
      <c r="C531" s="51"/>
      <c r="D531" s="51"/>
      <c r="E531" s="51"/>
      <c r="F531" s="51"/>
      <c r="G531" s="51"/>
      <c r="H531" s="80"/>
      <c r="I531" s="51"/>
      <c r="J531" s="51"/>
      <c r="K531" s="51"/>
      <c r="L531" s="51"/>
      <c r="M531" s="51"/>
      <c r="N531" s="81"/>
      <c r="O531" s="51"/>
      <c r="P531" s="51"/>
      <c r="Q531" s="51"/>
      <c r="R531" s="51"/>
      <c r="S531" s="81"/>
      <c r="T531" s="51"/>
      <c r="U531" s="51"/>
      <c r="V531" s="51">
        <f t="shared" si="67"/>
        <v>0</v>
      </c>
      <c r="W531" s="2"/>
      <c r="Y531" s="74"/>
      <c r="AB531" s="74"/>
      <c r="AD531" s="74"/>
    </row>
    <row r="532" spans="1:39" s="1" customFormat="1" hidden="1" outlineLevel="1" x14ac:dyDescent="0.45">
      <c r="A532" s="2"/>
      <c r="B532" s="51"/>
      <c r="C532" s="51"/>
      <c r="D532" s="51"/>
      <c r="E532" s="51"/>
      <c r="F532" s="51"/>
      <c r="G532" s="51"/>
      <c r="H532" s="80"/>
      <c r="I532" s="51"/>
      <c r="J532" s="51"/>
      <c r="K532" s="51"/>
      <c r="L532" s="51"/>
      <c r="M532" s="51"/>
      <c r="N532" s="81"/>
      <c r="O532" s="51"/>
      <c r="P532" s="51"/>
      <c r="Q532" s="51"/>
      <c r="R532" s="51"/>
      <c r="S532" s="81"/>
      <c r="T532" s="51"/>
      <c r="U532" s="51"/>
      <c r="V532" s="51">
        <f t="shared" si="67"/>
        <v>0</v>
      </c>
      <c r="W532" s="2"/>
      <c r="Y532" s="74"/>
      <c r="AB532" s="74"/>
      <c r="AD532" s="74"/>
    </row>
    <row r="533" spans="1:39" s="1" customFormat="1" hidden="1" outlineLevel="1" x14ac:dyDescent="0.45">
      <c r="A533" s="2"/>
      <c r="B533" s="51"/>
      <c r="C533" s="51"/>
      <c r="D533" s="51"/>
      <c r="E533" s="51"/>
      <c r="F533" s="51"/>
      <c r="G533" s="51"/>
      <c r="H533" s="80"/>
      <c r="I533" s="51"/>
      <c r="J533" s="51"/>
      <c r="K533" s="51"/>
      <c r="L533" s="51"/>
      <c r="M533" s="51"/>
      <c r="N533" s="81"/>
      <c r="O533" s="51"/>
      <c r="P533" s="51"/>
      <c r="Q533" s="51"/>
      <c r="R533" s="51"/>
      <c r="S533" s="81"/>
      <c r="T533" s="51"/>
      <c r="U533" s="51"/>
      <c r="V533" s="51">
        <f t="shared" si="67"/>
        <v>0</v>
      </c>
      <c r="W533" s="2"/>
      <c r="Y533" s="74"/>
      <c r="AB533" s="74"/>
      <c r="AD533" s="74"/>
    </row>
    <row r="534" spans="1:39" s="1" customFormat="1" hidden="1" outlineLevel="1" x14ac:dyDescent="0.45">
      <c r="A534" s="2"/>
      <c r="B534" s="51"/>
      <c r="C534" s="51"/>
      <c r="D534" s="51"/>
      <c r="E534" s="51"/>
      <c r="F534" s="51"/>
      <c r="G534" s="51"/>
      <c r="H534" s="80"/>
      <c r="I534" s="51"/>
      <c r="J534" s="51"/>
      <c r="K534" s="51"/>
      <c r="L534" s="51"/>
      <c r="M534" s="51"/>
      <c r="N534" s="81"/>
      <c r="O534" s="51"/>
      <c r="P534" s="51"/>
      <c r="Q534" s="51"/>
      <c r="R534" s="51"/>
      <c r="S534" s="81"/>
      <c r="T534" s="51"/>
      <c r="U534" s="51"/>
      <c r="V534" s="51">
        <f t="shared" si="67"/>
        <v>0</v>
      </c>
      <c r="W534" s="2"/>
      <c r="Y534" s="74"/>
      <c r="AB534" s="74"/>
      <c r="AD534" s="74"/>
    </row>
    <row r="535" spans="1:39" ht="15.75" hidden="1" customHeight="1" outlineLevel="1" thickBot="1" x14ac:dyDescent="0.5">
      <c r="A535" s="2"/>
      <c r="B535" s="75"/>
      <c r="C535" s="75"/>
      <c r="D535" s="76"/>
      <c r="E535" s="76"/>
      <c r="F535" s="76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2"/>
      <c r="R535" s="77"/>
      <c r="S535" s="77"/>
      <c r="T535" s="77"/>
      <c r="U535" s="2"/>
      <c r="V535" s="77"/>
      <c r="W535" s="78"/>
      <c r="Y535" s="74"/>
      <c r="Z535" s="6"/>
      <c r="AA535" s="13"/>
      <c r="AB535" s="74"/>
      <c r="AC535" s="6"/>
      <c r="AD535" s="74"/>
      <c r="AE535" s="6"/>
      <c r="AF535" s="6"/>
      <c r="AG535" s="6"/>
      <c r="AH535" s="6"/>
      <c r="AI535" s="6"/>
      <c r="AM535" s="14"/>
    </row>
    <row r="536" spans="1:39" s="1" customFormat="1" ht="12.75" customHeight="1" x14ac:dyDescent="0.4">
      <c r="A536" s="126">
        <v>33</v>
      </c>
      <c r="B536" s="128" t="s">
        <v>222</v>
      </c>
      <c r="C536" s="128" t="s">
        <v>9</v>
      </c>
      <c r="D536" s="137" t="s">
        <v>34</v>
      </c>
      <c r="E536" s="90" t="s">
        <v>15</v>
      </c>
      <c r="F536" s="92"/>
      <c r="G536" s="72">
        <f t="shared" ref="G536:U536" si="68">SUM(G538:G547)</f>
        <v>0</v>
      </c>
      <c r="H536" s="72">
        <f t="shared" si="68"/>
        <v>0</v>
      </c>
      <c r="I536" s="72">
        <f t="shared" si="68"/>
        <v>0</v>
      </c>
      <c r="J536" s="72">
        <f t="shared" si="68"/>
        <v>0</v>
      </c>
      <c r="K536" s="72">
        <f t="shared" si="68"/>
        <v>0</v>
      </c>
      <c r="L536" s="72">
        <f t="shared" si="68"/>
        <v>0</v>
      </c>
      <c r="M536" s="72">
        <f t="shared" si="68"/>
        <v>0</v>
      </c>
      <c r="N536" s="72">
        <f t="shared" si="68"/>
        <v>0</v>
      </c>
      <c r="O536" s="72">
        <f t="shared" si="68"/>
        <v>0</v>
      </c>
      <c r="P536" s="72">
        <f t="shared" si="68"/>
        <v>0</v>
      </c>
      <c r="Q536" s="72">
        <f t="shared" si="68"/>
        <v>0</v>
      </c>
      <c r="R536" s="72">
        <f t="shared" si="68"/>
        <v>0</v>
      </c>
      <c r="S536" s="72">
        <f t="shared" si="68"/>
        <v>0</v>
      </c>
      <c r="T536" s="72">
        <f t="shared" si="68"/>
        <v>0</v>
      </c>
      <c r="U536" s="72">
        <f t="shared" si="68"/>
        <v>0</v>
      </c>
      <c r="V536" s="72">
        <f>SUM(V538:V547)</f>
        <v>0</v>
      </c>
      <c r="W536" s="149">
        <f>V536+V537</f>
        <v>0</v>
      </c>
      <c r="Y536" s="74"/>
      <c r="AB536" s="74"/>
      <c r="AD536" s="74"/>
    </row>
    <row r="537" spans="1:39" s="1" customFormat="1" ht="12.9" collapsed="1" thickBot="1" x14ac:dyDescent="0.45">
      <c r="A537" s="127"/>
      <c r="B537" s="129"/>
      <c r="C537" s="129"/>
      <c r="D537" s="138"/>
      <c r="E537" s="91"/>
      <c r="F537" s="93"/>
      <c r="G537" s="73">
        <f>SUM(G549:G566)</f>
        <v>0</v>
      </c>
      <c r="H537" s="79">
        <f>SUM(H549:H566)</f>
        <v>0</v>
      </c>
      <c r="I537" s="79">
        <f>SUM(I549:I566)</f>
        <v>0</v>
      </c>
      <c r="J537" s="73">
        <f t="shared" ref="J537:Q537" si="69">SUM(J549:J566)</f>
        <v>0</v>
      </c>
      <c r="K537" s="73">
        <f t="shared" si="69"/>
        <v>0</v>
      </c>
      <c r="L537" s="73">
        <f t="shared" si="69"/>
        <v>0</v>
      </c>
      <c r="M537" s="73">
        <f t="shared" si="69"/>
        <v>0</v>
      </c>
      <c r="N537" s="73">
        <f t="shared" si="69"/>
        <v>0</v>
      </c>
      <c r="O537" s="73">
        <f t="shared" si="69"/>
        <v>0</v>
      </c>
      <c r="P537" s="73">
        <f t="shared" si="69"/>
        <v>0</v>
      </c>
      <c r="Q537" s="73">
        <f t="shared" si="69"/>
        <v>0</v>
      </c>
      <c r="R537" s="73">
        <f>SUM(R549:R566)</f>
        <v>0</v>
      </c>
      <c r="S537" s="73">
        <f>SUM(S549:S566)</f>
        <v>0</v>
      </c>
      <c r="T537" s="73">
        <f>SUM(T549:T566)</f>
        <v>0</v>
      </c>
      <c r="U537" s="73">
        <f>SUM(U549:U566)</f>
        <v>0</v>
      </c>
      <c r="V537" s="73">
        <f>SUM(V549:V566)</f>
        <v>0</v>
      </c>
      <c r="W537" s="150"/>
      <c r="Y537" s="74"/>
      <c r="Z537" s="74"/>
      <c r="AB537" s="74"/>
      <c r="AD537" s="74"/>
    </row>
    <row r="538" spans="1:39" s="1" customFormat="1" hidden="1" outlineLevel="1" x14ac:dyDescent="0.45">
      <c r="A538" s="2"/>
      <c r="B538" s="51"/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>
        <f>SUM(G538:U538)</f>
        <v>0</v>
      </c>
      <c r="W538" s="2"/>
      <c r="Y538" s="74"/>
      <c r="AB538" s="74"/>
      <c r="AD538" s="74"/>
    </row>
    <row r="539" spans="1:39" s="1" customFormat="1" hidden="1" outlineLevel="1" x14ac:dyDescent="0.45">
      <c r="A539" s="2"/>
      <c r="B539" s="51"/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51">
        <f>SUM(G539:U539)</f>
        <v>0</v>
      </c>
      <c r="W539" s="2"/>
      <c r="Y539" s="74"/>
      <c r="AB539" s="74"/>
      <c r="AD539" s="74"/>
    </row>
    <row r="540" spans="1:39" s="1" customFormat="1" hidden="1" outlineLevel="1" x14ac:dyDescent="0.45">
      <c r="A540" s="2"/>
      <c r="B540" s="51"/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51">
        <f t="shared" ref="V540:V547" si="70">SUM(G540:U540)</f>
        <v>0</v>
      </c>
      <c r="W540" s="2"/>
      <c r="Y540" s="74"/>
      <c r="AB540" s="74"/>
      <c r="AD540" s="74"/>
    </row>
    <row r="541" spans="1:39" s="1" customFormat="1" hidden="1" outlineLevel="1" x14ac:dyDescent="0.45">
      <c r="A541" s="2"/>
      <c r="B541" s="51"/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51">
        <f t="shared" si="70"/>
        <v>0</v>
      </c>
      <c r="W541" s="2"/>
      <c r="Y541" s="74"/>
      <c r="AB541" s="74"/>
      <c r="AD541" s="74"/>
    </row>
    <row r="542" spans="1:39" s="1" customFormat="1" hidden="1" outlineLevel="1" x14ac:dyDescent="0.45">
      <c r="A542" s="2"/>
      <c r="B542" s="51"/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51">
        <f t="shared" si="70"/>
        <v>0</v>
      </c>
      <c r="W542" s="2"/>
      <c r="Y542" s="74"/>
      <c r="AB542" s="74"/>
      <c r="AD542" s="74"/>
    </row>
    <row r="543" spans="1:39" s="1" customFormat="1" hidden="1" outlineLevel="1" x14ac:dyDescent="0.45">
      <c r="A543" s="2"/>
      <c r="B543" s="51"/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51">
        <f t="shared" si="70"/>
        <v>0</v>
      </c>
      <c r="W543" s="2"/>
      <c r="Y543" s="74"/>
      <c r="AB543" s="74"/>
      <c r="AD543" s="74"/>
    </row>
    <row r="544" spans="1:39" s="1" customFormat="1" hidden="1" outlineLevel="1" x14ac:dyDescent="0.45">
      <c r="A544" s="2"/>
      <c r="B544" s="51"/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>
        <f t="shared" si="70"/>
        <v>0</v>
      </c>
      <c r="W544" s="2"/>
      <c r="Y544" s="74"/>
      <c r="AB544" s="74"/>
      <c r="AD544" s="74"/>
    </row>
    <row r="545" spans="1:30" s="1" customFormat="1" hidden="1" outlineLevel="1" x14ac:dyDescent="0.45">
      <c r="A545" s="2"/>
      <c r="B545" s="51"/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>
        <f t="shared" si="70"/>
        <v>0</v>
      </c>
      <c r="W545" s="2"/>
      <c r="Y545" s="74"/>
      <c r="AB545" s="74"/>
      <c r="AD545" s="74"/>
    </row>
    <row r="546" spans="1:30" s="1" customFormat="1" hidden="1" outlineLevel="1" x14ac:dyDescent="0.45">
      <c r="A546" s="2"/>
      <c r="B546" s="51"/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51">
        <f t="shared" si="70"/>
        <v>0</v>
      </c>
      <c r="W546" s="2"/>
      <c r="Y546" s="74"/>
      <c r="AB546" s="74"/>
      <c r="AD546" s="74"/>
    </row>
    <row r="547" spans="1:30" s="1" customFormat="1" hidden="1" outlineLevel="1" x14ac:dyDescent="0.45">
      <c r="A547" s="2"/>
      <c r="B547" s="51"/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>
        <f t="shared" si="70"/>
        <v>0</v>
      </c>
      <c r="W547" s="2"/>
      <c r="Y547" s="74"/>
      <c r="AB547" s="74"/>
      <c r="AD547" s="74"/>
    </row>
    <row r="548" spans="1:30" s="1" customFormat="1" hidden="1" outlineLevel="1" x14ac:dyDescent="0.45">
      <c r="A548" s="2"/>
      <c r="B548" s="166" t="s">
        <v>29</v>
      </c>
      <c r="C548" s="166"/>
      <c r="D548" s="166"/>
      <c r="E548" s="166"/>
      <c r="F548" s="166"/>
      <c r="G548" s="166"/>
      <c r="H548" s="166"/>
      <c r="I548" s="166"/>
      <c r="J548" s="166"/>
      <c r="K548" s="166"/>
      <c r="L548" s="166"/>
      <c r="M548" s="166"/>
      <c r="N548" s="166"/>
      <c r="O548" s="166"/>
      <c r="P548" s="166"/>
      <c r="Q548" s="166"/>
      <c r="R548" s="166"/>
      <c r="S548" s="166"/>
      <c r="T548" s="166"/>
      <c r="U548" s="166"/>
      <c r="V548" s="104"/>
      <c r="W548" s="2"/>
      <c r="Y548" s="74"/>
      <c r="AB548" s="74"/>
      <c r="AD548" s="74"/>
    </row>
    <row r="549" spans="1:30" s="1" customFormat="1" hidden="1" outlineLevel="1" x14ac:dyDescent="0.45">
      <c r="A549" s="2"/>
      <c r="B549" s="82"/>
      <c r="C549" s="51"/>
      <c r="D549" s="51"/>
      <c r="E549" s="51"/>
      <c r="F549" s="51"/>
      <c r="G549" s="20"/>
      <c r="H549" s="21"/>
      <c r="I549" s="21"/>
      <c r="J549" s="102"/>
      <c r="K549" s="51"/>
      <c r="L549" s="32"/>
      <c r="M549" s="22"/>
      <c r="N549" s="51"/>
      <c r="O549" s="81"/>
      <c r="P549" s="22"/>
      <c r="Q549" s="51"/>
      <c r="R549" s="51"/>
      <c r="S549" s="51"/>
      <c r="T549" s="51"/>
      <c r="U549" s="51"/>
      <c r="V549" s="51">
        <f t="shared" ref="V549:V565" si="71">SUM(G549:U549)</f>
        <v>0</v>
      </c>
      <c r="W549" s="2"/>
      <c r="Y549" s="74"/>
      <c r="AB549" s="74"/>
      <c r="AD549" s="74"/>
    </row>
    <row r="550" spans="1:30" s="1" customFormat="1" hidden="1" outlineLevel="1" x14ac:dyDescent="0.45">
      <c r="A550" s="2"/>
      <c r="B550" s="82"/>
      <c r="C550" s="51"/>
      <c r="D550" s="51"/>
      <c r="E550" s="51"/>
      <c r="F550" s="51"/>
      <c r="G550" s="20"/>
      <c r="H550" s="21"/>
      <c r="I550" s="21"/>
      <c r="J550" s="102"/>
      <c r="K550" s="51"/>
      <c r="L550" s="32"/>
      <c r="M550" s="22"/>
      <c r="N550" s="51"/>
      <c r="O550" s="81"/>
      <c r="P550" s="22"/>
      <c r="Q550" s="51"/>
      <c r="R550" s="51"/>
      <c r="S550" s="51"/>
      <c r="T550" s="51"/>
      <c r="U550" s="51"/>
      <c r="V550" s="51">
        <f t="shared" si="71"/>
        <v>0</v>
      </c>
      <c r="W550" s="2"/>
      <c r="Y550" s="74"/>
      <c r="AB550" s="74"/>
      <c r="AD550" s="74"/>
    </row>
    <row r="551" spans="1:30" s="1" customFormat="1" hidden="1" outlineLevel="1" x14ac:dyDescent="0.45">
      <c r="A551" s="2"/>
      <c r="B551" s="82"/>
      <c r="C551" s="51"/>
      <c r="D551" s="51"/>
      <c r="E551" s="51"/>
      <c r="F551" s="51"/>
      <c r="G551" s="20"/>
      <c r="H551" s="21"/>
      <c r="I551" s="21"/>
      <c r="J551" s="102"/>
      <c r="K551" s="51"/>
      <c r="L551" s="32"/>
      <c r="M551" s="22"/>
      <c r="N551" s="51"/>
      <c r="O551" s="81"/>
      <c r="P551" s="22"/>
      <c r="Q551" s="51"/>
      <c r="R551" s="51"/>
      <c r="S551" s="51"/>
      <c r="T551" s="51"/>
      <c r="U551" s="51"/>
      <c r="V551" s="51">
        <f t="shared" si="71"/>
        <v>0</v>
      </c>
      <c r="W551" s="2"/>
      <c r="Y551" s="74"/>
      <c r="AB551" s="74"/>
      <c r="AD551" s="74"/>
    </row>
    <row r="552" spans="1:30" s="1" customFormat="1" hidden="1" outlineLevel="1" x14ac:dyDescent="0.45">
      <c r="A552" s="2"/>
      <c r="B552" s="82"/>
      <c r="C552" s="51"/>
      <c r="D552" s="51"/>
      <c r="E552" s="51"/>
      <c r="F552" s="51"/>
      <c r="G552" s="20"/>
      <c r="H552" s="21"/>
      <c r="I552" s="21"/>
      <c r="J552" s="102"/>
      <c r="K552" s="51"/>
      <c r="L552" s="32"/>
      <c r="M552" s="22"/>
      <c r="N552" s="51"/>
      <c r="O552" s="81"/>
      <c r="P552" s="22"/>
      <c r="Q552" s="51"/>
      <c r="R552" s="51"/>
      <c r="S552" s="51"/>
      <c r="T552" s="51"/>
      <c r="U552" s="51"/>
      <c r="V552" s="51">
        <f t="shared" si="71"/>
        <v>0</v>
      </c>
      <c r="W552" s="2"/>
      <c r="Y552" s="74"/>
      <c r="AB552" s="74"/>
      <c r="AD552" s="74"/>
    </row>
    <row r="553" spans="1:30" s="1" customFormat="1" hidden="1" outlineLevel="1" x14ac:dyDescent="0.45">
      <c r="A553" s="2"/>
      <c r="B553" s="51"/>
      <c r="C553" s="51"/>
      <c r="D553" s="51"/>
      <c r="E553" s="51"/>
      <c r="F553" s="51"/>
      <c r="G553" s="51"/>
      <c r="H553" s="80"/>
      <c r="I553" s="51"/>
      <c r="J553" s="51"/>
      <c r="K553" s="51"/>
      <c r="L553" s="51"/>
      <c r="M553" s="51"/>
      <c r="N553" s="81"/>
      <c r="O553" s="51"/>
      <c r="P553" s="51"/>
      <c r="Q553" s="51"/>
      <c r="R553" s="51"/>
      <c r="S553" s="51"/>
      <c r="T553" s="51"/>
      <c r="U553" s="51"/>
      <c r="V553" s="51">
        <f t="shared" si="71"/>
        <v>0</v>
      </c>
      <c r="W553" s="2"/>
      <c r="Y553" s="74"/>
      <c r="AB553" s="74"/>
      <c r="AD553" s="74"/>
    </row>
    <row r="554" spans="1:30" s="1" customFormat="1" hidden="1" outlineLevel="1" x14ac:dyDescent="0.45">
      <c r="A554" s="2"/>
      <c r="B554" s="51"/>
      <c r="C554" s="51"/>
      <c r="D554" s="51"/>
      <c r="E554" s="51"/>
      <c r="F554" s="51"/>
      <c r="G554" s="51"/>
      <c r="H554" s="80"/>
      <c r="I554" s="51"/>
      <c r="J554" s="51"/>
      <c r="K554" s="51"/>
      <c r="L554" s="51"/>
      <c r="M554" s="51"/>
      <c r="N554" s="81"/>
      <c r="O554" s="51"/>
      <c r="P554" s="51"/>
      <c r="Q554" s="51"/>
      <c r="R554" s="51"/>
      <c r="S554" s="51"/>
      <c r="T554" s="51"/>
      <c r="U554" s="51"/>
      <c r="V554" s="51">
        <f t="shared" si="71"/>
        <v>0</v>
      </c>
      <c r="W554" s="2"/>
      <c r="Y554" s="74"/>
      <c r="AB554" s="74"/>
      <c r="AD554" s="74"/>
    </row>
    <row r="555" spans="1:30" s="1" customFormat="1" hidden="1" outlineLevel="1" x14ac:dyDescent="0.45">
      <c r="A555" s="2"/>
      <c r="B555" s="51"/>
      <c r="C555" s="51"/>
      <c r="D555" s="51"/>
      <c r="E555" s="51"/>
      <c r="F555" s="51"/>
      <c r="G555" s="51"/>
      <c r="H555" s="80"/>
      <c r="I555" s="51"/>
      <c r="J555" s="51"/>
      <c r="K555" s="51"/>
      <c r="L555" s="51"/>
      <c r="M555" s="51"/>
      <c r="N555" s="81"/>
      <c r="O555" s="51"/>
      <c r="P555" s="51"/>
      <c r="Q555" s="51"/>
      <c r="R555" s="51"/>
      <c r="S555" s="81"/>
      <c r="T555" s="51"/>
      <c r="U555" s="51"/>
      <c r="V555" s="51">
        <f t="shared" si="71"/>
        <v>0</v>
      </c>
      <c r="W555" s="2"/>
      <c r="Y555" s="74"/>
      <c r="AB555" s="74"/>
      <c r="AD555" s="74"/>
    </row>
    <row r="556" spans="1:30" s="1" customFormat="1" hidden="1" outlineLevel="1" x14ac:dyDescent="0.45">
      <c r="A556" s="2"/>
      <c r="B556" s="51"/>
      <c r="C556" s="51"/>
      <c r="D556" s="51"/>
      <c r="E556" s="51"/>
      <c r="F556" s="51"/>
      <c r="G556" s="51"/>
      <c r="H556" s="80"/>
      <c r="I556" s="51"/>
      <c r="J556" s="51"/>
      <c r="K556" s="51"/>
      <c r="L556" s="51"/>
      <c r="M556" s="51"/>
      <c r="N556" s="81"/>
      <c r="O556" s="51"/>
      <c r="P556" s="51"/>
      <c r="Q556" s="51"/>
      <c r="R556" s="51"/>
      <c r="S556" s="81"/>
      <c r="T556" s="51"/>
      <c r="U556" s="51"/>
      <c r="V556" s="51">
        <f t="shared" si="71"/>
        <v>0</v>
      </c>
      <c r="W556" s="2"/>
      <c r="Y556" s="74"/>
      <c r="AB556" s="74"/>
      <c r="AD556" s="74"/>
    </row>
    <row r="557" spans="1:30" s="1" customFormat="1" hidden="1" outlineLevel="1" x14ac:dyDescent="0.45">
      <c r="A557" s="2"/>
      <c r="B557" s="51"/>
      <c r="C557" s="51"/>
      <c r="D557" s="51"/>
      <c r="E557" s="51"/>
      <c r="F557" s="51"/>
      <c r="G557" s="51"/>
      <c r="H557" s="80"/>
      <c r="I557" s="51"/>
      <c r="J557" s="51"/>
      <c r="K557" s="51"/>
      <c r="L557" s="51"/>
      <c r="M557" s="51"/>
      <c r="N557" s="81"/>
      <c r="O557" s="51"/>
      <c r="P557" s="51"/>
      <c r="Q557" s="51"/>
      <c r="R557" s="51"/>
      <c r="S557" s="81"/>
      <c r="T557" s="51"/>
      <c r="U557" s="51"/>
      <c r="V557" s="51">
        <f t="shared" si="71"/>
        <v>0</v>
      </c>
      <c r="W557" s="2"/>
      <c r="Y557" s="74"/>
      <c r="AB557" s="74"/>
      <c r="AD557" s="74"/>
    </row>
    <row r="558" spans="1:30" s="1" customFormat="1" hidden="1" outlineLevel="1" x14ac:dyDescent="0.45">
      <c r="A558" s="2"/>
      <c r="B558" s="51"/>
      <c r="C558" s="51"/>
      <c r="D558" s="51"/>
      <c r="E558" s="51"/>
      <c r="F558" s="51"/>
      <c r="G558" s="51"/>
      <c r="H558" s="80"/>
      <c r="I558" s="51"/>
      <c r="J558" s="51"/>
      <c r="K558" s="51"/>
      <c r="L558" s="51"/>
      <c r="M558" s="51"/>
      <c r="N558" s="81"/>
      <c r="O558" s="51"/>
      <c r="P558" s="51"/>
      <c r="Q558" s="51"/>
      <c r="R558" s="51"/>
      <c r="S558" s="81"/>
      <c r="T558" s="51"/>
      <c r="U558" s="51"/>
      <c r="V558" s="51">
        <f t="shared" si="71"/>
        <v>0</v>
      </c>
      <c r="W558" s="2"/>
      <c r="Y558" s="74"/>
      <c r="AB558" s="74"/>
      <c r="AD558" s="74"/>
    </row>
    <row r="559" spans="1:30" s="1" customFormat="1" hidden="1" outlineLevel="1" x14ac:dyDescent="0.45">
      <c r="A559" s="2"/>
      <c r="B559" s="51"/>
      <c r="C559" s="51"/>
      <c r="D559" s="51"/>
      <c r="E559" s="51"/>
      <c r="F559" s="51"/>
      <c r="G559" s="51"/>
      <c r="H559" s="80"/>
      <c r="I559" s="51"/>
      <c r="J559" s="51"/>
      <c r="K559" s="51"/>
      <c r="L559" s="51"/>
      <c r="M559" s="51"/>
      <c r="N559" s="81"/>
      <c r="O559" s="51"/>
      <c r="P559" s="51"/>
      <c r="Q559" s="51"/>
      <c r="R559" s="51"/>
      <c r="S559" s="81"/>
      <c r="T559" s="51"/>
      <c r="U559" s="51"/>
      <c r="V559" s="51">
        <f t="shared" si="71"/>
        <v>0</v>
      </c>
      <c r="W559" s="2"/>
      <c r="Y559" s="74"/>
      <c r="AB559" s="74"/>
      <c r="AD559" s="74"/>
    </row>
    <row r="560" spans="1:30" s="1" customFormat="1" hidden="1" outlineLevel="1" x14ac:dyDescent="0.45">
      <c r="A560" s="2"/>
      <c r="B560" s="51"/>
      <c r="C560" s="51"/>
      <c r="D560" s="51"/>
      <c r="E560" s="51"/>
      <c r="F560" s="51"/>
      <c r="G560" s="51"/>
      <c r="H560" s="80"/>
      <c r="I560" s="51"/>
      <c r="J560" s="51"/>
      <c r="K560" s="51"/>
      <c r="L560" s="51"/>
      <c r="M560" s="51"/>
      <c r="N560" s="81"/>
      <c r="O560" s="51"/>
      <c r="P560" s="51"/>
      <c r="Q560" s="51"/>
      <c r="R560" s="51"/>
      <c r="S560" s="81"/>
      <c r="T560" s="51"/>
      <c r="U560" s="51"/>
      <c r="V560" s="51">
        <f t="shared" si="71"/>
        <v>0</v>
      </c>
      <c r="W560" s="2"/>
      <c r="Y560" s="74"/>
      <c r="AB560" s="74"/>
      <c r="AD560" s="74"/>
    </row>
    <row r="561" spans="1:39" s="1" customFormat="1" hidden="1" outlineLevel="1" x14ac:dyDescent="0.45">
      <c r="A561" s="2"/>
      <c r="B561" s="51"/>
      <c r="C561" s="51"/>
      <c r="D561" s="51"/>
      <c r="E561" s="51"/>
      <c r="F561" s="51"/>
      <c r="G561" s="51"/>
      <c r="H561" s="80"/>
      <c r="I561" s="51"/>
      <c r="J561" s="51"/>
      <c r="K561" s="51"/>
      <c r="L561" s="51"/>
      <c r="M561" s="51"/>
      <c r="N561" s="81"/>
      <c r="O561" s="51"/>
      <c r="P561" s="51"/>
      <c r="Q561" s="51"/>
      <c r="R561" s="51"/>
      <c r="S561" s="81"/>
      <c r="T561" s="51"/>
      <c r="U561" s="51"/>
      <c r="V561" s="51">
        <f t="shared" si="71"/>
        <v>0</v>
      </c>
      <c r="W561" s="2"/>
      <c r="Y561" s="74"/>
      <c r="AB561" s="74"/>
      <c r="AD561" s="74"/>
    </row>
    <row r="562" spans="1:39" s="1" customFormat="1" hidden="1" outlineLevel="1" x14ac:dyDescent="0.45">
      <c r="A562" s="2"/>
      <c r="B562" s="51"/>
      <c r="C562" s="51"/>
      <c r="D562" s="51"/>
      <c r="E562" s="51"/>
      <c r="F562" s="51"/>
      <c r="G562" s="51"/>
      <c r="H562" s="80"/>
      <c r="I562" s="51"/>
      <c r="J562" s="51"/>
      <c r="K562" s="51"/>
      <c r="L562" s="51"/>
      <c r="M562" s="51"/>
      <c r="N562" s="81"/>
      <c r="O562" s="51"/>
      <c r="P562" s="51"/>
      <c r="Q562" s="51"/>
      <c r="R562" s="51"/>
      <c r="S562" s="81"/>
      <c r="T562" s="51"/>
      <c r="U562" s="51"/>
      <c r="V562" s="51">
        <f t="shared" si="71"/>
        <v>0</v>
      </c>
      <c r="W562" s="2"/>
      <c r="Y562" s="74"/>
      <c r="AB562" s="74"/>
      <c r="AD562" s="74"/>
    </row>
    <row r="563" spans="1:39" s="1" customFormat="1" hidden="1" outlineLevel="1" x14ac:dyDescent="0.45">
      <c r="A563" s="2"/>
      <c r="B563" s="51"/>
      <c r="C563" s="51"/>
      <c r="D563" s="51"/>
      <c r="E563" s="51"/>
      <c r="F563" s="51"/>
      <c r="G563" s="51"/>
      <c r="H563" s="80"/>
      <c r="I563" s="51"/>
      <c r="J563" s="51"/>
      <c r="K563" s="51"/>
      <c r="L563" s="51"/>
      <c r="M563" s="51"/>
      <c r="N563" s="81"/>
      <c r="O563" s="51"/>
      <c r="P563" s="51"/>
      <c r="Q563" s="51"/>
      <c r="R563" s="51"/>
      <c r="S563" s="81"/>
      <c r="T563" s="51"/>
      <c r="U563" s="51"/>
      <c r="V563" s="51">
        <f t="shared" si="71"/>
        <v>0</v>
      </c>
      <c r="W563" s="2"/>
      <c r="Y563" s="74"/>
      <c r="AB563" s="74"/>
      <c r="AD563" s="74"/>
    </row>
    <row r="564" spans="1:39" s="1" customFormat="1" hidden="1" outlineLevel="1" x14ac:dyDescent="0.45">
      <c r="A564" s="2"/>
      <c r="B564" s="51"/>
      <c r="C564" s="51"/>
      <c r="D564" s="51"/>
      <c r="E564" s="51"/>
      <c r="F564" s="51"/>
      <c r="G564" s="51"/>
      <c r="H564" s="80"/>
      <c r="I564" s="51"/>
      <c r="J564" s="51"/>
      <c r="K564" s="51"/>
      <c r="L564" s="51"/>
      <c r="M564" s="51"/>
      <c r="N564" s="81"/>
      <c r="O564" s="51"/>
      <c r="P564" s="51"/>
      <c r="Q564" s="51"/>
      <c r="R564" s="51"/>
      <c r="S564" s="81"/>
      <c r="T564" s="51"/>
      <c r="U564" s="51"/>
      <c r="V564" s="51">
        <f t="shared" si="71"/>
        <v>0</v>
      </c>
      <c r="W564" s="2"/>
      <c r="Y564" s="74"/>
      <c r="AB564" s="74"/>
      <c r="AD564" s="74"/>
    </row>
    <row r="565" spans="1:39" s="1" customFormat="1" hidden="1" outlineLevel="1" x14ac:dyDescent="0.45">
      <c r="A565" s="2"/>
      <c r="B565" s="51"/>
      <c r="C565" s="51"/>
      <c r="D565" s="51"/>
      <c r="E565" s="51"/>
      <c r="F565" s="51"/>
      <c r="G565" s="51"/>
      <c r="H565" s="80"/>
      <c r="I565" s="51"/>
      <c r="J565" s="51"/>
      <c r="K565" s="51"/>
      <c r="L565" s="51"/>
      <c r="M565" s="51"/>
      <c r="N565" s="81"/>
      <c r="O565" s="51"/>
      <c r="P565" s="51"/>
      <c r="Q565" s="51"/>
      <c r="R565" s="51"/>
      <c r="S565" s="81"/>
      <c r="T565" s="51"/>
      <c r="U565" s="51"/>
      <c r="V565" s="51">
        <f t="shared" si="71"/>
        <v>0</v>
      </c>
      <c r="W565" s="2"/>
      <c r="Y565" s="74"/>
      <c r="AB565" s="74"/>
      <c r="AD565" s="74"/>
    </row>
    <row r="566" spans="1:39" ht="15.75" hidden="1" customHeight="1" outlineLevel="1" thickBot="1" x14ac:dyDescent="0.5">
      <c r="A566" s="2"/>
      <c r="B566" s="75"/>
      <c r="C566" s="75"/>
      <c r="D566" s="76"/>
      <c r="E566" s="76"/>
      <c r="F566" s="76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2"/>
      <c r="R566" s="77"/>
      <c r="S566" s="77"/>
      <c r="T566" s="77"/>
      <c r="U566" s="2"/>
      <c r="V566" s="77"/>
      <c r="W566" s="78"/>
      <c r="Y566" s="74"/>
      <c r="Z566" s="6"/>
      <c r="AA566" s="13"/>
      <c r="AB566" s="74"/>
      <c r="AC566" s="6"/>
      <c r="AD566" s="74"/>
      <c r="AE566" s="6"/>
      <c r="AF566" s="6"/>
      <c r="AG566" s="6"/>
      <c r="AH566" s="6"/>
      <c r="AI566" s="6"/>
      <c r="AM566" s="14"/>
    </row>
    <row r="567" spans="1:39" s="1" customFormat="1" x14ac:dyDescent="0.4">
      <c r="A567" s="145">
        <v>35</v>
      </c>
      <c r="B567" s="134"/>
      <c r="C567" s="134"/>
      <c r="D567" s="137"/>
      <c r="E567" s="90"/>
      <c r="F567" s="92"/>
      <c r="G567" s="72">
        <f t="shared" ref="G567:U567" si="72">SUM(G569:G578)</f>
        <v>0</v>
      </c>
      <c r="H567" s="72">
        <f t="shared" si="72"/>
        <v>0</v>
      </c>
      <c r="I567" s="72">
        <f t="shared" si="72"/>
        <v>0</v>
      </c>
      <c r="J567" s="72">
        <f t="shared" si="72"/>
        <v>0</v>
      </c>
      <c r="K567" s="72">
        <f t="shared" si="72"/>
        <v>0</v>
      </c>
      <c r="L567" s="72">
        <f t="shared" si="72"/>
        <v>0</v>
      </c>
      <c r="M567" s="72">
        <f t="shared" si="72"/>
        <v>0</v>
      </c>
      <c r="N567" s="72">
        <f t="shared" si="72"/>
        <v>0</v>
      </c>
      <c r="O567" s="72">
        <f t="shared" si="72"/>
        <v>0</v>
      </c>
      <c r="P567" s="72">
        <f t="shared" si="72"/>
        <v>0</v>
      </c>
      <c r="Q567" s="72">
        <f t="shared" si="72"/>
        <v>0</v>
      </c>
      <c r="R567" s="72">
        <f t="shared" si="72"/>
        <v>0</v>
      </c>
      <c r="S567" s="72">
        <f t="shared" si="72"/>
        <v>0</v>
      </c>
      <c r="T567" s="72">
        <f t="shared" si="72"/>
        <v>0</v>
      </c>
      <c r="U567" s="72">
        <f t="shared" si="72"/>
        <v>0</v>
      </c>
      <c r="V567" s="72">
        <f>SUM(V569:V578)</f>
        <v>0</v>
      </c>
      <c r="W567" s="149">
        <f>V567+V568</f>
        <v>0</v>
      </c>
      <c r="Y567" s="74"/>
      <c r="AB567" s="74"/>
      <c r="AD567" s="74"/>
    </row>
    <row r="568" spans="1:39" s="1" customFormat="1" ht="12.9" collapsed="1" thickBot="1" x14ac:dyDescent="0.45">
      <c r="A568" s="146"/>
      <c r="B568" s="135"/>
      <c r="C568" s="135"/>
      <c r="D568" s="138"/>
      <c r="E568" s="91"/>
      <c r="F568" s="93"/>
      <c r="G568" s="73">
        <f>SUM(G580:G597)</f>
        <v>0</v>
      </c>
      <c r="H568" s="79">
        <f>SUM(H580:H597)</f>
        <v>0</v>
      </c>
      <c r="I568" s="79">
        <f>SUM(I580:I597)</f>
        <v>0</v>
      </c>
      <c r="J568" s="73">
        <f t="shared" ref="J568:Q568" si="73">SUM(J580:J597)</f>
        <v>0</v>
      </c>
      <c r="K568" s="73">
        <f t="shared" si="73"/>
        <v>0</v>
      </c>
      <c r="L568" s="73">
        <f t="shared" si="73"/>
        <v>0</v>
      </c>
      <c r="M568" s="73">
        <f t="shared" si="73"/>
        <v>0</v>
      </c>
      <c r="N568" s="73">
        <f t="shared" si="73"/>
        <v>0</v>
      </c>
      <c r="O568" s="73">
        <f t="shared" si="73"/>
        <v>0</v>
      </c>
      <c r="P568" s="73">
        <f t="shared" si="73"/>
        <v>0</v>
      </c>
      <c r="Q568" s="73">
        <f t="shared" si="73"/>
        <v>0</v>
      </c>
      <c r="R568" s="73">
        <f>SUM(R580:R597)</f>
        <v>0</v>
      </c>
      <c r="S568" s="73">
        <f>SUM(S580:S597)</f>
        <v>0</v>
      </c>
      <c r="T568" s="73">
        <f>SUM(T580:T597)</f>
        <v>0</v>
      </c>
      <c r="U568" s="73">
        <f>SUM(U580:U597)</f>
        <v>0</v>
      </c>
      <c r="V568" s="73">
        <f>SUM(V580:V597)</f>
        <v>0</v>
      </c>
      <c r="W568" s="150"/>
      <c r="Y568" s="74"/>
      <c r="Z568" s="74"/>
      <c r="AB568" s="74"/>
      <c r="AD568" s="74"/>
    </row>
    <row r="569" spans="1:39" s="1" customFormat="1" hidden="1" outlineLevel="1" x14ac:dyDescent="0.45">
      <c r="A569" s="2"/>
      <c r="B569" s="51"/>
      <c r="C569" s="51"/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>
        <f>SUM(G569:U569)</f>
        <v>0</v>
      </c>
      <c r="W569" s="2"/>
      <c r="Y569" s="74"/>
      <c r="AB569" s="74"/>
      <c r="AD569" s="74"/>
    </row>
    <row r="570" spans="1:39" s="1" customFormat="1" hidden="1" outlineLevel="1" x14ac:dyDescent="0.45">
      <c r="A570" s="2"/>
      <c r="B570" s="51"/>
      <c r="C570" s="51"/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>
        <f>SUM(G570:U570)</f>
        <v>0</v>
      </c>
      <c r="W570" s="2"/>
      <c r="Y570" s="74"/>
      <c r="AB570" s="74"/>
      <c r="AD570" s="74"/>
    </row>
    <row r="571" spans="1:39" s="1" customFormat="1" hidden="1" outlineLevel="1" x14ac:dyDescent="0.45">
      <c r="A571" s="2"/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>
        <f t="shared" ref="V571:V578" si="74">SUM(G571:U571)</f>
        <v>0</v>
      </c>
      <c r="W571" s="2"/>
      <c r="Y571" s="74"/>
      <c r="AB571" s="74"/>
      <c r="AD571" s="74"/>
    </row>
    <row r="572" spans="1:39" s="1" customFormat="1" hidden="1" outlineLevel="1" x14ac:dyDescent="0.45">
      <c r="A572" s="2"/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>
        <f t="shared" si="74"/>
        <v>0</v>
      </c>
      <c r="W572" s="2"/>
      <c r="Y572" s="74"/>
      <c r="AB572" s="74"/>
      <c r="AD572" s="74"/>
    </row>
    <row r="573" spans="1:39" s="1" customFormat="1" hidden="1" outlineLevel="1" x14ac:dyDescent="0.45">
      <c r="A573" s="2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>
        <f t="shared" si="74"/>
        <v>0</v>
      </c>
      <c r="W573" s="2"/>
      <c r="Y573" s="74"/>
      <c r="AB573" s="74"/>
      <c r="AD573" s="74"/>
    </row>
    <row r="574" spans="1:39" s="1" customFormat="1" hidden="1" outlineLevel="1" x14ac:dyDescent="0.45">
      <c r="A574" s="2"/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>
        <f t="shared" si="74"/>
        <v>0</v>
      </c>
      <c r="W574" s="2"/>
      <c r="Y574" s="74"/>
      <c r="AB574" s="74"/>
      <c r="AD574" s="74"/>
    </row>
    <row r="575" spans="1:39" s="1" customFormat="1" hidden="1" outlineLevel="1" x14ac:dyDescent="0.45">
      <c r="A575" s="2"/>
      <c r="B575" s="51"/>
      <c r="C575" s="51"/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>
        <f t="shared" si="74"/>
        <v>0</v>
      </c>
      <c r="W575" s="2"/>
      <c r="Y575" s="74"/>
      <c r="AB575" s="74"/>
      <c r="AD575" s="74"/>
    </row>
    <row r="576" spans="1:39" s="1" customFormat="1" hidden="1" outlineLevel="1" x14ac:dyDescent="0.45">
      <c r="A576" s="2"/>
      <c r="B576" s="51"/>
      <c r="C576" s="51"/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>
        <f t="shared" si="74"/>
        <v>0</v>
      </c>
      <c r="W576" s="2"/>
      <c r="Y576" s="74"/>
      <c r="AB576" s="74"/>
      <c r="AD576" s="74"/>
    </row>
    <row r="577" spans="1:30" s="1" customFormat="1" hidden="1" outlineLevel="1" x14ac:dyDescent="0.45">
      <c r="A577" s="2"/>
      <c r="B577" s="51"/>
      <c r="C577" s="51"/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>
        <f t="shared" si="74"/>
        <v>0</v>
      </c>
      <c r="W577" s="2"/>
      <c r="Y577" s="74"/>
      <c r="AB577" s="74"/>
      <c r="AD577" s="74"/>
    </row>
    <row r="578" spans="1:30" s="1" customFormat="1" hidden="1" outlineLevel="1" x14ac:dyDescent="0.45">
      <c r="A578" s="2"/>
      <c r="B578" s="51"/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>
        <f t="shared" si="74"/>
        <v>0</v>
      </c>
      <c r="W578" s="2"/>
      <c r="Y578" s="74"/>
      <c r="AB578" s="74"/>
      <c r="AD578" s="74"/>
    </row>
    <row r="579" spans="1:30" s="1" customFormat="1" hidden="1" outlineLevel="1" x14ac:dyDescent="0.45">
      <c r="A579" s="2"/>
      <c r="B579" s="166" t="s">
        <v>29</v>
      </c>
      <c r="C579" s="166"/>
      <c r="D579" s="166"/>
      <c r="E579" s="166"/>
      <c r="F579" s="166"/>
      <c r="G579" s="166"/>
      <c r="H579" s="166"/>
      <c r="I579" s="166"/>
      <c r="J579" s="166"/>
      <c r="K579" s="166"/>
      <c r="L579" s="166"/>
      <c r="M579" s="166"/>
      <c r="N579" s="166"/>
      <c r="O579" s="166"/>
      <c r="P579" s="166"/>
      <c r="Q579" s="166"/>
      <c r="R579" s="166"/>
      <c r="S579" s="166"/>
      <c r="T579" s="166"/>
      <c r="U579" s="166"/>
      <c r="V579" s="87"/>
      <c r="W579" s="2"/>
      <c r="Y579" s="74"/>
      <c r="AB579" s="74"/>
      <c r="AD579" s="74"/>
    </row>
    <row r="580" spans="1:30" s="1" customFormat="1" hidden="1" outlineLevel="1" x14ac:dyDescent="0.45">
      <c r="A580" s="2"/>
      <c r="B580" s="82"/>
      <c r="C580" s="51"/>
      <c r="D580" s="51"/>
      <c r="E580" s="51"/>
      <c r="F580" s="51"/>
      <c r="G580" s="20"/>
      <c r="H580" s="21"/>
      <c r="I580" s="21"/>
      <c r="J580" s="23"/>
      <c r="K580" s="51"/>
      <c r="L580" s="32"/>
      <c r="M580" s="22"/>
      <c r="N580" s="51"/>
      <c r="O580" s="81"/>
      <c r="P580" s="22"/>
      <c r="Q580" s="51"/>
      <c r="R580" s="51"/>
      <c r="S580" s="51"/>
      <c r="T580" s="51"/>
      <c r="U580" s="51"/>
      <c r="V580" s="51">
        <f t="shared" ref="V580:V596" si="75">SUM(G580:U580)</f>
        <v>0</v>
      </c>
      <c r="W580" s="2"/>
      <c r="Y580" s="74"/>
      <c r="AB580" s="74"/>
      <c r="AD580" s="74"/>
    </row>
    <row r="581" spans="1:30" s="1" customFormat="1" hidden="1" outlineLevel="1" x14ac:dyDescent="0.45">
      <c r="A581" s="2"/>
      <c r="B581" s="82"/>
      <c r="C581" s="51"/>
      <c r="D581" s="51"/>
      <c r="E581" s="51"/>
      <c r="F581" s="51"/>
      <c r="G581" s="20"/>
      <c r="H581" s="21"/>
      <c r="I581" s="21"/>
      <c r="J581" s="23"/>
      <c r="K581" s="51"/>
      <c r="L581" s="32"/>
      <c r="M581" s="22"/>
      <c r="N581" s="51"/>
      <c r="O581" s="81"/>
      <c r="P581" s="22"/>
      <c r="Q581" s="51"/>
      <c r="R581" s="51"/>
      <c r="S581" s="51"/>
      <c r="T581" s="51"/>
      <c r="U581" s="51"/>
      <c r="V581" s="51">
        <f t="shared" si="75"/>
        <v>0</v>
      </c>
      <c r="W581" s="2"/>
      <c r="Y581" s="74"/>
      <c r="AB581" s="74"/>
      <c r="AD581" s="74"/>
    </row>
    <row r="582" spans="1:30" s="1" customFormat="1" hidden="1" outlineLevel="1" x14ac:dyDescent="0.45">
      <c r="A582" s="2"/>
      <c r="B582" s="82"/>
      <c r="C582" s="51"/>
      <c r="D582" s="51"/>
      <c r="E582" s="51"/>
      <c r="F582" s="51"/>
      <c r="G582" s="20"/>
      <c r="H582" s="21"/>
      <c r="I582" s="21"/>
      <c r="J582" s="23"/>
      <c r="K582" s="51"/>
      <c r="L582" s="32"/>
      <c r="M582" s="22"/>
      <c r="N582" s="51"/>
      <c r="O582" s="81"/>
      <c r="P582" s="22"/>
      <c r="Q582" s="51"/>
      <c r="R582" s="51"/>
      <c r="S582" s="51"/>
      <c r="T582" s="51"/>
      <c r="U582" s="51"/>
      <c r="V582" s="51">
        <f t="shared" si="75"/>
        <v>0</v>
      </c>
      <c r="W582" s="2"/>
      <c r="Y582" s="74"/>
      <c r="AB582" s="74"/>
      <c r="AD582" s="74"/>
    </row>
    <row r="583" spans="1:30" s="1" customFormat="1" hidden="1" outlineLevel="1" x14ac:dyDescent="0.45">
      <c r="A583" s="2"/>
      <c r="B583" s="82"/>
      <c r="C583" s="51"/>
      <c r="D583" s="51"/>
      <c r="E583" s="51"/>
      <c r="F583" s="51"/>
      <c r="G583" s="20"/>
      <c r="H583" s="21"/>
      <c r="I583" s="21"/>
      <c r="J583" s="23"/>
      <c r="K583" s="51"/>
      <c r="L583" s="32"/>
      <c r="M583" s="22"/>
      <c r="N583" s="51"/>
      <c r="O583" s="81"/>
      <c r="P583" s="22"/>
      <c r="Q583" s="51"/>
      <c r="R583" s="51"/>
      <c r="S583" s="51"/>
      <c r="T583" s="51"/>
      <c r="U583" s="51"/>
      <c r="V583" s="51">
        <f t="shared" si="75"/>
        <v>0</v>
      </c>
      <c r="W583" s="2"/>
      <c r="Y583" s="74"/>
      <c r="AB583" s="74"/>
      <c r="AD583" s="74"/>
    </row>
    <row r="584" spans="1:30" s="1" customFormat="1" hidden="1" outlineLevel="1" x14ac:dyDescent="0.45">
      <c r="A584" s="2"/>
      <c r="B584" s="51"/>
      <c r="C584" s="51"/>
      <c r="D584" s="51"/>
      <c r="E584" s="51"/>
      <c r="F584" s="51"/>
      <c r="G584" s="51"/>
      <c r="H584" s="80"/>
      <c r="I584" s="51"/>
      <c r="J584" s="51"/>
      <c r="K584" s="51"/>
      <c r="L584" s="51"/>
      <c r="M584" s="51"/>
      <c r="N584" s="81"/>
      <c r="O584" s="51"/>
      <c r="P584" s="51"/>
      <c r="Q584" s="51"/>
      <c r="R584" s="51"/>
      <c r="S584" s="51"/>
      <c r="T584" s="51"/>
      <c r="U584" s="51"/>
      <c r="V584" s="51">
        <f t="shared" si="75"/>
        <v>0</v>
      </c>
      <c r="W584" s="2"/>
      <c r="Y584" s="74"/>
      <c r="AB584" s="74"/>
      <c r="AD584" s="74"/>
    </row>
    <row r="585" spans="1:30" s="1" customFormat="1" hidden="1" outlineLevel="1" x14ac:dyDescent="0.45">
      <c r="A585" s="2"/>
      <c r="B585" s="51"/>
      <c r="C585" s="51"/>
      <c r="D585" s="51"/>
      <c r="E585" s="51"/>
      <c r="F585" s="51"/>
      <c r="G585" s="51"/>
      <c r="H585" s="80"/>
      <c r="I585" s="51"/>
      <c r="J585" s="51"/>
      <c r="K585" s="51"/>
      <c r="L585" s="51"/>
      <c r="M585" s="51"/>
      <c r="N585" s="81"/>
      <c r="O585" s="51"/>
      <c r="P585" s="51"/>
      <c r="Q585" s="51"/>
      <c r="R585" s="51"/>
      <c r="S585" s="51"/>
      <c r="T585" s="51"/>
      <c r="U585" s="51"/>
      <c r="V585" s="51">
        <f t="shared" si="75"/>
        <v>0</v>
      </c>
      <c r="W585" s="2"/>
      <c r="Y585" s="74"/>
      <c r="AB585" s="74"/>
      <c r="AD585" s="74"/>
    </row>
    <row r="586" spans="1:30" s="1" customFormat="1" hidden="1" outlineLevel="1" x14ac:dyDescent="0.45">
      <c r="A586" s="2"/>
      <c r="B586" s="51"/>
      <c r="C586" s="51"/>
      <c r="D586" s="51"/>
      <c r="E586" s="51"/>
      <c r="F586" s="51"/>
      <c r="G586" s="51"/>
      <c r="H586" s="80"/>
      <c r="I586" s="51"/>
      <c r="J586" s="51"/>
      <c r="K586" s="51"/>
      <c r="L586" s="51"/>
      <c r="M586" s="51"/>
      <c r="N586" s="81"/>
      <c r="O586" s="51"/>
      <c r="P586" s="51"/>
      <c r="Q586" s="51"/>
      <c r="R586" s="51"/>
      <c r="S586" s="81"/>
      <c r="T586" s="51"/>
      <c r="U586" s="51"/>
      <c r="V586" s="51">
        <f t="shared" si="75"/>
        <v>0</v>
      </c>
      <c r="W586" s="2"/>
      <c r="Y586" s="74"/>
      <c r="AB586" s="74"/>
      <c r="AD586" s="74"/>
    </row>
    <row r="587" spans="1:30" s="1" customFormat="1" hidden="1" outlineLevel="1" x14ac:dyDescent="0.45">
      <c r="A587" s="2"/>
      <c r="B587" s="51"/>
      <c r="C587" s="51"/>
      <c r="D587" s="51"/>
      <c r="E587" s="51"/>
      <c r="F587" s="51"/>
      <c r="G587" s="51"/>
      <c r="H587" s="80"/>
      <c r="I587" s="51"/>
      <c r="J587" s="51"/>
      <c r="K587" s="51"/>
      <c r="L587" s="51"/>
      <c r="M587" s="51"/>
      <c r="N587" s="81"/>
      <c r="O587" s="51"/>
      <c r="P587" s="51"/>
      <c r="Q587" s="51"/>
      <c r="R587" s="51"/>
      <c r="S587" s="81"/>
      <c r="T587" s="51"/>
      <c r="U587" s="51"/>
      <c r="V587" s="51">
        <f t="shared" si="75"/>
        <v>0</v>
      </c>
      <c r="W587" s="2"/>
      <c r="Y587" s="74"/>
      <c r="AB587" s="74"/>
      <c r="AD587" s="74"/>
    </row>
    <row r="588" spans="1:30" s="1" customFormat="1" hidden="1" outlineLevel="1" x14ac:dyDescent="0.45">
      <c r="A588" s="2"/>
      <c r="B588" s="51"/>
      <c r="C588" s="51"/>
      <c r="D588" s="51"/>
      <c r="E588" s="51"/>
      <c r="F588" s="51"/>
      <c r="G588" s="51"/>
      <c r="H588" s="80"/>
      <c r="I588" s="51"/>
      <c r="J588" s="51"/>
      <c r="K588" s="51"/>
      <c r="L588" s="51"/>
      <c r="M588" s="51"/>
      <c r="N588" s="81"/>
      <c r="O588" s="51"/>
      <c r="P588" s="51"/>
      <c r="Q588" s="51"/>
      <c r="R588" s="51"/>
      <c r="S588" s="81"/>
      <c r="T588" s="51"/>
      <c r="U588" s="51"/>
      <c r="V588" s="51">
        <f t="shared" si="75"/>
        <v>0</v>
      </c>
      <c r="W588" s="2"/>
      <c r="Y588" s="74"/>
      <c r="AB588" s="74"/>
      <c r="AD588" s="74"/>
    </row>
    <row r="589" spans="1:30" s="1" customFormat="1" hidden="1" outlineLevel="1" x14ac:dyDescent="0.45">
      <c r="A589" s="2"/>
      <c r="B589" s="51"/>
      <c r="C589" s="51"/>
      <c r="D589" s="51"/>
      <c r="E589" s="51"/>
      <c r="F589" s="51"/>
      <c r="G589" s="51"/>
      <c r="H589" s="80"/>
      <c r="I589" s="51"/>
      <c r="J589" s="51"/>
      <c r="K589" s="51"/>
      <c r="L589" s="51"/>
      <c r="M589" s="51"/>
      <c r="N589" s="81"/>
      <c r="O589" s="51"/>
      <c r="P589" s="51"/>
      <c r="Q589" s="51"/>
      <c r="R589" s="51"/>
      <c r="S589" s="81"/>
      <c r="T589" s="51"/>
      <c r="U589" s="51"/>
      <c r="V589" s="51">
        <f t="shared" si="75"/>
        <v>0</v>
      </c>
      <c r="W589" s="2"/>
      <c r="Y589" s="74"/>
      <c r="AB589" s="74"/>
      <c r="AD589" s="74"/>
    </row>
    <row r="590" spans="1:30" s="1" customFormat="1" hidden="1" outlineLevel="1" x14ac:dyDescent="0.45">
      <c r="A590" s="2"/>
      <c r="B590" s="51"/>
      <c r="C590" s="51"/>
      <c r="D590" s="51"/>
      <c r="E590" s="51"/>
      <c r="F590" s="51"/>
      <c r="G590" s="51"/>
      <c r="H590" s="80"/>
      <c r="I590" s="51"/>
      <c r="J590" s="51"/>
      <c r="K590" s="51"/>
      <c r="L590" s="51"/>
      <c r="M590" s="51"/>
      <c r="N590" s="81"/>
      <c r="O590" s="51"/>
      <c r="P590" s="51"/>
      <c r="Q590" s="51"/>
      <c r="R590" s="51"/>
      <c r="S590" s="81"/>
      <c r="T590" s="51"/>
      <c r="U590" s="51"/>
      <c r="V590" s="51">
        <f t="shared" si="75"/>
        <v>0</v>
      </c>
      <c r="W590" s="2"/>
      <c r="Y590" s="74"/>
      <c r="AB590" s="74"/>
      <c r="AD590" s="74"/>
    </row>
    <row r="591" spans="1:30" s="1" customFormat="1" hidden="1" outlineLevel="1" x14ac:dyDescent="0.45">
      <c r="A591" s="2"/>
      <c r="B591" s="51"/>
      <c r="C591" s="51"/>
      <c r="D591" s="51"/>
      <c r="E591" s="51"/>
      <c r="F591" s="51"/>
      <c r="G591" s="51"/>
      <c r="H591" s="80"/>
      <c r="I591" s="51"/>
      <c r="J591" s="51"/>
      <c r="K591" s="51"/>
      <c r="L591" s="51"/>
      <c r="M591" s="51"/>
      <c r="N591" s="81"/>
      <c r="O591" s="51"/>
      <c r="P591" s="51"/>
      <c r="Q591" s="51"/>
      <c r="R591" s="51"/>
      <c r="S591" s="81"/>
      <c r="T591" s="51"/>
      <c r="U591" s="51"/>
      <c r="V591" s="51">
        <f t="shared" si="75"/>
        <v>0</v>
      </c>
      <c r="W591" s="2"/>
      <c r="Y591" s="74"/>
      <c r="AB591" s="74"/>
      <c r="AD591" s="74"/>
    </row>
    <row r="592" spans="1:30" s="1" customFormat="1" hidden="1" outlineLevel="1" x14ac:dyDescent="0.45">
      <c r="A592" s="2"/>
      <c r="B592" s="51"/>
      <c r="C592" s="51"/>
      <c r="D592" s="51"/>
      <c r="E592" s="51"/>
      <c r="F592" s="51"/>
      <c r="G592" s="51"/>
      <c r="H592" s="80"/>
      <c r="I592" s="51"/>
      <c r="J592" s="51"/>
      <c r="K592" s="51"/>
      <c r="L592" s="51"/>
      <c r="M592" s="51"/>
      <c r="N592" s="81"/>
      <c r="O592" s="51"/>
      <c r="P592" s="51"/>
      <c r="Q592" s="51"/>
      <c r="R592" s="51"/>
      <c r="S592" s="81"/>
      <c r="T592" s="51"/>
      <c r="U592" s="51"/>
      <c r="V592" s="51">
        <f t="shared" si="75"/>
        <v>0</v>
      </c>
      <c r="W592" s="2"/>
      <c r="Y592" s="74"/>
      <c r="AB592" s="74"/>
      <c r="AD592" s="74"/>
    </row>
    <row r="593" spans="1:39" s="1" customFormat="1" hidden="1" outlineLevel="1" x14ac:dyDescent="0.45">
      <c r="A593" s="2"/>
      <c r="B593" s="51"/>
      <c r="C593" s="51"/>
      <c r="D593" s="51"/>
      <c r="E593" s="51"/>
      <c r="F593" s="51"/>
      <c r="G593" s="51"/>
      <c r="H593" s="80"/>
      <c r="I593" s="51"/>
      <c r="J593" s="51"/>
      <c r="K593" s="51"/>
      <c r="L593" s="51"/>
      <c r="M593" s="51"/>
      <c r="N593" s="81"/>
      <c r="O593" s="51"/>
      <c r="P593" s="51"/>
      <c r="Q593" s="51"/>
      <c r="R593" s="51"/>
      <c r="S593" s="81"/>
      <c r="T593" s="51"/>
      <c r="U593" s="51"/>
      <c r="V593" s="51">
        <f t="shared" si="75"/>
        <v>0</v>
      </c>
      <c r="W593" s="2"/>
      <c r="Y593" s="74"/>
      <c r="AB593" s="74"/>
      <c r="AD593" s="74"/>
    </row>
    <row r="594" spans="1:39" s="1" customFormat="1" hidden="1" outlineLevel="1" x14ac:dyDescent="0.45">
      <c r="A594" s="2"/>
      <c r="B594" s="51"/>
      <c r="C594" s="51"/>
      <c r="D594" s="51"/>
      <c r="E594" s="51"/>
      <c r="F594" s="51"/>
      <c r="G594" s="51"/>
      <c r="H594" s="80"/>
      <c r="I594" s="51"/>
      <c r="J594" s="51"/>
      <c r="K594" s="51"/>
      <c r="L594" s="51"/>
      <c r="M594" s="51"/>
      <c r="N594" s="81"/>
      <c r="O594" s="51"/>
      <c r="P594" s="51"/>
      <c r="Q594" s="51"/>
      <c r="R594" s="51"/>
      <c r="S594" s="81"/>
      <c r="T594" s="51"/>
      <c r="U594" s="51"/>
      <c r="V594" s="51">
        <f t="shared" si="75"/>
        <v>0</v>
      </c>
      <c r="W594" s="2"/>
      <c r="Y594" s="74"/>
      <c r="AB594" s="74"/>
      <c r="AD594" s="74"/>
    </row>
    <row r="595" spans="1:39" s="1" customFormat="1" hidden="1" outlineLevel="1" x14ac:dyDescent="0.45">
      <c r="A595" s="2"/>
      <c r="B595" s="51"/>
      <c r="C595" s="51"/>
      <c r="D595" s="51"/>
      <c r="E595" s="51"/>
      <c r="F595" s="51"/>
      <c r="G595" s="51"/>
      <c r="H595" s="80"/>
      <c r="I595" s="51"/>
      <c r="J595" s="51"/>
      <c r="K595" s="51"/>
      <c r="L595" s="51"/>
      <c r="M595" s="51"/>
      <c r="N595" s="81"/>
      <c r="O595" s="51"/>
      <c r="P595" s="51"/>
      <c r="Q595" s="51"/>
      <c r="R595" s="51"/>
      <c r="S595" s="81"/>
      <c r="T595" s="51"/>
      <c r="U595" s="51"/>
      <c r="V595" s="51">
        <f t="shared" si="75"/>
        <v>0</v>
      </c>
      <c r="W595" s="2"/>
      <c r="Y595" s="74"/>
      <c r="AB595" s="74"/>
      <c r="AD595" s="74"/>
    </row>
    <row r="596" spans="1:39" s="1" customFormat="1" hidden="1" outlineLevel="1" x14ac:dyDescent="0.45">
      <c r="A596" s="2"/>
      <c r="B596" s="51"/>
      <c r="C596" s="51"/>
      <c r="D596" s="51"/>
      <c r="E596" s="51"/>
      <c r="F596" s="51"/>
      <c r="G596" s="51"/>
      <c r="H596" s="80"/>
      <c r="I596" s="51"/>
      <c r="J596" s="51"/>
      <c r="K596" s="51"/>
      <c r="L596" s="51"/>
      <c r="M596" s="51"/>
      <c r="N596" s="81"/>
      <c r="O596" s="51"/>
      <c r="P596" s="51"/>
      <c r="Q596" s="51"/>
      <c r="R596" s="51"/>
      <c r="S596" s="81"/>
      <c r="T596" s="51"/>
      <c r="U596" s="51"/>
      <c r="V596" s="51">
        <f t="shared" si="75"/>
        <v>0</v>
      </c>
      <c r="W596" s="2"/>
      <c r="Y596" s="74"/>
      <c r="AB596" s="74"/>
      <c r="AD596" s="74"/>
    </row>
    <row r="597" spans="1:39" ht="15.75" hidden="1" customHeight="1" outlineLevel="1" thickBot="1" x14ac:dyDescent="0.5">
      <c r="A597" s="2"/>
      <c r="B597" s="75"/>
      <c r="C597" s="75"/>
      <c r="D597" s="76"/>
      <c r="E597" s="76"/>
      <c r="F597" s="76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2"/>
      <c r="R597" s="77"/>
      <c r="S597" s="77"/>
      <c r="T597" s="77"/>
      <c r="U597" s="2"/>
      <c r="V597" s="77"/>
      <c r="W597" s="78"/>
      <c r="Y597" s="74"/>
      <c r="Z597" s="6"/>
      <c r="AA597" s="13"/>
      <c r="AB597" s="74"/>
      <c r="AC597" s="6"/>
      <c r="AD597" s="74"/>
      <c r="AE597" s="6"/>
      <c r="AF597" s="6"/>
      <c r="AG597" s="6"/>
      <c r="AH597" s="6"/>
      <c r="AI597" s="6"/>
      <c r="AM597" s="14"/>
    </row>
    <row r="598" spans="1:39" s="1" customFormat="1" x14ac:dyDescent="0.4">
      <c r="A598" s="145">
        <v>1</v>
      </c>
      <c r="B598" s="134"/>
      <c r="C598" s="134"/>
      <c r="D598" s="137"/>
      <c r="E598" s="90"/>
      <c r="F598" s="92"/>
      <c r="G598" s="72">
        <f t="shared" ref="G598:U598" si="76">SUM(G600:G609)</f>
        <v>0</v>
      </c>
      <c r="H598" s="72">
        <f t="shared" si="76"/>
        <v>0</v>
      </c>
      <c r="I598" s="72">
        <f t="shared" si="76"/>
        <v>0</v>
      </c>
      <c r="J598" s="72">
        <f t="shared" si="76"/>
        <v>0</v>
      </c>
      <c r="K598" s="72">
        <f t="shared" si="76"/>
        <v>0</v>
      </c>
      <c r="L598" s="72">
        <f t="shared" si="76"/>
        <v>0</v>
      </c>
      <c r="M598" s="72">
        <f t="shared" si="76"/>
        <v>0</v>
      </c>
      <c r="N598" s="72">
        <f t="shared" si="76"/>
        <v>0</v>
      </c>
      <c r="O598" s="72">
        <f t="shared" si="76"/>
        <v>0</v>
      </c>
      <c r="P598" s="72">
        <f t="shared" si="76"/>
        <v>0</v>
      </c>
      <c r="Q598" s="72">
        <f t="shared" si="76"/>
        <v>0</v>
      </c>
      <c r="R598" s="72">
        <f t="shared" si="76"/>
        <v>0</v>
      </c>
      <c r="S598" s="72">
        <f t="shared" si="76"/>
        <v>0</v>
      </c>
      <c r="T598" s="72">
        <f t="shared" si="76"/>
        <v>0</v>
      </c>
      <c r="U598" s="72">
        <f t="shared" si="76"/>
        <v>0</v>
      </c>
      <c r="V598" s="72">
        <f>SUM(V600:V609)</f>
        <v>0</v>
      </c>
      <c r="W598" s="149">
        <f>V598+V599</f>
        <v>0</v>
      </c>
      <c r="Y598" s="74"/>
      <c r="AB598" s="74"/>
      <c r="AD598" s="74"/>
    </row>
    <row r="599" spans="1:39" s="1" customFormat="1" ht="12.9" collapsed="1" thickBot="1" x14ac:dyDescent="0.45">
      <c r="A599" s="146"/>
      <c r="B599" s="135"/>
      <c r="C599" s="135"/>
      <c r="D599" s="138"/>
      <c r="E599" s="91"/>
      <c r="F599" s="93"/>
      <c r="G599" s="73">
        <f>SUM(G611:G628)</f>
        <v>0</v>
      </c>
      <c r="H599" s="79">
        <f>SUM(H611:H628)</f>
        <v>0</v>
      </c>
      <c r="I599" s="79">
        <f>SUM(I611:I628)</f>
        <v>0</v>
      </c>
      <c r="J599" s="73">
        <f t="shared" ref="J599:Q599" si="77">SUM(J611:J628)</f>
        <v>0</v>
      </c>
      <c r="K599" s="73">
        <f t="shared" si="77"/>
        <v>0</v>
      </c>
      <c r="L599" s="73">
        <f t="shared" si="77"/>
        <v>0</v>
      </c>
      <c r="M599" s="73">
        <f t="shared" si="77"/>
        <v>0</v>
      </c>
      <c r="N599" s="73">
        <f t="shared" si="77"/>
        <v>0</v>
      </c>
      <c r="O599" s="73">
        <f t="shared" si="77"/>
        <v>0</v>
      </c>
      <c r="P599" s="73">
        <f t="shared" si="77"/>
        <v>0</v>
      </c>
      <c r="Q599" s="73">
        <f t="shared" si="77"/>
        <v>0</v>
      </c>
      <c r="R599" s="73">
        <f>SUM(R611:R628)</f>
        <v>0</v>
      </c>
      <c r="S599" s="73">
        <f>SUM(S611:S628)</f>
        <v>0</v>
      </c>
      <c r="T599" s="73">
        <f>SUM(T611:T628)</f>
        <v>0</v>
      </c>
      <c r="U599" s="73">
        <f>SUM(U611:U628)</f>
        <v>0</v>
      </c>
      <c r="V599" s="73">
        <f>SUM(V611:V628)</f>
        <v>0</v>
      </c>
      <c r="W599" s="150"/>
      <c r="Y599" s="74"/>
      <c r="Z599" s="74"/>
      <c r="AB599" s="74"/>
      <c r="AD599" s="74"/>
    </row>
    <row r="600" spans="1:39" s="1" customFormat="1" hidden="1" outlineLevel="1" x14ac:dyDescent="0.45">
      <c r="A600" s="2"/>
      <c r="B600" s="51"/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>
        <f>SUM(G600:U600)</f>
        <v>0</v>
      </c>
      <c r="W600" s="2"/>
      <c r="Y600" s="74"/>
      <c r="AB600" s="74"/>
      <c r="AD600" s="74"/>
    </row>
    <row r="601" spans="1:39" s="1" customFormat="1" hidden="1" outlineLevel="1" x14ac:dyDescent="0.45">
      <c r="A601" s="2"/>
      <c r="B601" s="51"/>
      <c r="C601" s="51"/>
      <c r="D601" s="51"/>
      <c r="E601" s="51"/>
      <c r="F601" s="51"/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>
        <f>SUM(G601:U601)</f>
        <v>0</v>
      </c>
      <c r="W601" s="2"/>
      <c r="Y601" s="74"/>
      <c r="AB601" s="74"/>
      <c r="AD601" s="74"/>
    </row>
    <row r="602" spans="1:39" s="1" customFormat="1" hidden="1" outlineLevel="1" x14ac:dyDescent="0.45">
      <c r="A602" s="2"/>
      <c r="B602" s="51"/>
      <c r="C602" s="51"/>
      <c r="D602" s="51"/>
      <c r="E602" s="51"/>
      <c r="F602" s="51"/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>
        <f t="shared" ref="V602:V609" si="78">SUM(G602:U602)</f>
        <v>0</v>
      </c>
      <c r="W602" s="2"/>
      <c r="Y602" s="74"/>
      <c r="AB602" s="74"/>
      <c r="AD602" s="74"/>
    </row>
    <row r="603" spans="1:39" s="1" customFormat="1" hidden="1" outlineLevel="1" x14ac:dyDescent="0.45">
      <c r="A603" s="2"/>
      <c r="B603" s="51"/>
      <c r="C603" s="51"/>
      <c r="D603" s="51"/>
      <c r="E603" s="51"/>
      <c r="F603" s="51"/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>
        <f t="shared" si="78"/>
        <v>0</v>
      </c>
      <c r="W603" s="2"/>
      <c r="Y603" s="74"/>
      <c r="AB603" s="74"/>
      <c r="AD603" s="74"/>
    </row>
    <row r="604" spans="1:39" s="1" customFormat="1" hidden="1" outlineLevel="1" x14ac:dyDescent="0.45">
      <c r="A604" s="2"/>
      <c r="B604" s="51"/>
      <c r="C604" s="51"/>
      <c r="D604" s="51"/>
      <c r="E604" s="51"/>
      <c r="F604" s="51"/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>
        <f t="shared" si="78"/>
        <v>0</v>
      </c>
      <c r="W604" s="2"/>
      <c r="Y604" s="74"/>
      <c r="AB604" s="74"/>
      <c r="AD604" s="74"/>
    </row>
    <row r="605" spans="1:39" s="1" customFormat="1" hidden="1" outlineLevel="1" x14ac:dyDescent="0.45">
      <c r="A605" s="2"/>
      <c r="B605" s="51"/>
      <c r="C605" s="51"/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>
        <f t="shared" si="78"/>
        <v>0</v>
      </c>
      <c r="W605" s="2"/>
      <c r="Y605" s="74"/>
      <c r="AB605" s="74"/>
      <c r="AD605" s="74"/>
    </row>
    <row r="606" spans="1:39" s="1" customFormat="1" hidden="1" outlineLevel="1" x14ac:dyDescent="0.45">
      <c r="A606" s="2"/>
      <c r="B606" s="51"/>
      <c r="C606" s="51"/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>
        <f t="shared" si="78"/>
        <v>0</v>
      </c>
      <c r="W606" s="2"/>
      <c r="Y606" s="74"/>
      <c r="AB606" s="74"/>
      <c r="AD606" s="74"/>
    </row>
    <row r="607" spans="1:39" s="1" customFormat="1" hidden="1" outlineLevel="1" x14ac:dyDescent="0.45">
      <c r="A607" s="2"/>
      <c r="B607" s="51"/>
      <c r="C607" s="51"/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>
        <f t="shared" si="78"/>
        <v>0</v>
      </c>
      <c r="W607" s="2"/>
      <c r="Y607" s="74"/>
      <c r="AB607" s="74"/>
      <c r="AD607" s="74"/>
    </row>
    <row r="608" spans="1:39" s="1" customFormat="1" hidden="1" outlineLevel="1" x14ac:dyDescent="0.45">
      <c r="A608" s="2"/>
      <c r="B608" s="51"/>
      <c r="C608" s="51"/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>
        <f t="shared" si="78"/>
        <v>0</v>
      </c>
      <c r="W608" s="2"/>
      <c r="Y608" s="74"/>
      <c r="AB608" s="74"/>
      <c r="AD608" s="74"/>
    </row>
    <row r="609" spans="1:30" s="1" customFormat="1" hidden="1" outlineLevel="1" x14ac:dyDescent="0.45">
      <c r="A609" s="2"/>
      <c r="B609" s="51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>
        <f t="shared" si="78"/>
        <v>0</v>
      </c>
      <c r="W609" s="2"/>
      <c r="Y609" s="74"/>
      <c r="AB609" s="74"/>
      <c r="AD609" s="74"/>
    </row>
    <row r="610" spans="1:30" s="1" customFormat="1" hidden="1" outlineLevel="1" x14ac:dyDescent="0.45">
      <c r="A610" s="2"/>
      <c r="B610" s="166" t="s">
        <v>29</v>
      </c>
      <c r="C610" s="166"/>
      <c r="D610" s="166"/>
      <c r="E610" s="166"/>
      <c r="F610" s="166"/>
      <c r="G610" s="166"/>
      <c r="H610" s="166"/>
      <c r="I610" s="166"/>
      <c r="J610" s="166"/>
      <c r="K610" s="166"/>
      <c r="L610" s="166"/>
      <c r="M610" s="166"/>
      <c r="N610" s="166"/>
      <c r="O610" s="166"/>
      <c r="P610" s="166"/>
      <c r="Q610" s="166"/>
      <c r="R610" s="166"/>
      <c r="S610" s="166"/>
      <c r="T610" s="166"/>
      <c r="U610" s="166"/>
      <c r="V610" s="87"/>
      <c r="W610" s="2"/>
      <c r="Y610" s="74"/>
      <c r="AB610" s="74"/>
      <c r="AD610" s="74"/>
    </row>
    <row r="611" spans="1:30" s="1" customFormat="1" hidden="1" outlineLevel="1" x14ac:dyDescent="0.45">
      <c r="A611" s="2"/>
      <c r="B611" s="82"/>
      <c r="C611" s="51"/>
      <c r="D611" s="51"/>
      <c r="E611" s="51"/>
      <c r="F611" s="51"/>
      <c r="G611" s="20"/>
      <c r="H611" s="21"/>
      <c r="I611" s="21"/>
      <c r="J611" s="23"/>
      <c r="K611" s="51"/>
      <c r="L611" s="32"/>
      <c r="M611" s="22"/>
      <c r="N611" s="51"/>
      <c r="O611" s="81"/>
      <c r="P611" s="22"/>
      <c r="Q611" s="51"/>
      <c r="R611" s="51"/>
      <c r="S611" s="51"/>
      <c r="T611" s="51"/>
      <c r="U611" s="51"/>
      <c r="V611" s="51">
        <f>SUM(G611:U611)</f>
        <v>0</v>
      </c>
      <c r="W611" s="2"/>
      <c r="Y611" s="74"/>
      <c r="AB611" s="74"/>
      <c r="AD611" s="74"/>
    </row>
    <row r="612" spans="1:30" s="1" customFormat="1" hidden="1" outlineLevel="1" x14ac:dyDescent="0.45">
      <c r="A612" s="2"/>
      <c r="B612" s="82"/>
      <c r="C612" s="51"/>
      <c r="D612" s="51"/>
      <c r="E612" s="51"/>
      <c r="F612" s="51"/>
      <c r="G612" s="20"/>
      <c r="H612" s="21"/>
      <c r="I612" s="21"/>
      <c r="J612" s="23"/>
      <c r="K612" s="51"/>
      <c r="L612" s="32"/>
      <c r="M612" s="22"/>
      <c r="N612" s="51"/>
      <c r="O612" s="81"/>
      <c r="P612" s="22"/>
      <c r="Q612" s="51"/>
      <c r="R612" s="51"/>
      <c r="S612" s="51"/>
      <c r="T612" s="51"/>
      <c r="U612" s="51"/>
      <c r="V612" s="51">
        <f>SUM(G612:U612)</f>
        <v>0</v>
      </c>
      <c r="W612" s="2"/>
      <c r="Y612" s="74"/>
      <c r="AB612" s="74"/>
      <c r="AD612" s="74"/>
    </row>
    <row r="613" spans="1:30" s="1" customFormat="1" hidden="1" outlineLevel="1" x14ac:dyDescent="0.45">
      <c r="V613" s="51">
        <f t="shared" ref="V613:V627" si="79">SUM(G613:U613)</f>
        <v>0</v>
      </c>
      <c r="W613" s="2"/>
      <c r="Y613" s="74"/>
      <c r="AB613" s="74"/>
      <c r="AD613" s="74"/>
    </row>
    <row r="614" spans="1:30" s="1" customFormat="1" hidden="1" outlineLevel="1" x14ac:dyDescent="0.45">
      <c r="A614" s="2"/>
      <c r="B614" s="82"/>
      <c r="C614" s="51"/>
      <c r="D614" s="51"/>
      <c r="E614" s="51"/>
      <c r="F614" s="51"/>
      <c r="G614" s="20"/>
      <c r="H614" s="21"/>
      <c r="I614" s="21"/>
      <c r="J614" s="23"/>
      <c r="K614" s="51"/>
      <c r="L614" s="32"/>
      <c r="M614" s="22"/>
      <c r="N614" s="51"/>
      <c r="O614" s="81"/>
      <c r="P614" s="22"/>
      <c r="Q614" s="51"/>
      <c r="R614" s="51"/>
      <c r="S614" s="51"/>
      <c r="T614" s="51"/>
      <c r="U614" s="51"/>
      <c r="V614" s="51">
        <f t="shared" si="79"/>
        <v>0</v>
      </c>
      <c r="W614" s="2"/>
      <c r="Y614" s="74"/>
      <c r="AB614" s="74"/>
      <c r="AD614" s="74"/>
    </row>
    <row r="615" spans="1:30" s="1" customFormat="1" hidden="1" outlineLevel="1" x14ac:dyDescent="0.45">
      <c r="A615" s="2"/>
      <c r="B615" s="51"/>
      <c r="C615" s="51"/>
      <c r="D615" s="51"/>
      <c r="E615" s="51"/>
      <c r="F615" s="51"/>
      <c r="G615" s="51"/>
      <c r="H615" s="80"/>
      <c r="I615" s="51"/>
      <c r="J615" s="51"/>
      <c r="K615" s="51"/>
      <c r="L615" s="51"/>
      <c r="M615" s="51"/>
      <c r="N615" s="81"/>
      <c r="O615" s="51"/>
      <c r="P615" s="51"/>
      <c r="Q615" s="51"/>
      <c r="R615" s="51"/>
      <c r="S615" s="51"/>
      <c r="T615" s="51"/>
      <c r="U615" s="51"/>
      <c r="V615" s="51">
        <f t="shared" si="79"/>
        <v>0</v>
      </c>
      <c r="W615" s="2"/>
      <c r="Y615" s="74"/>
      <c r="AB615" s="74"/>
      <c r="AD615" s="74"/>
    </row>
    <row r="616" spans="1:30" s="1" customFormat="1" hidden="1" outlineLevel="1" x14ac:dyDescent="0.45">
      <c r="A616" s="2"/>
      <c r="B616" s="51"/>
      <c r="C616" s="51"/>
      <c r="D616" s="51"/>
      <c r="E616" s="51"/>
      <c r="F616" s="51"/>
      <c r="G616" s="51"/>
      <c r="H616" s="80"/>
      <c r="I616" s="51"/>
      <c r="J616" s="51"/>
      <c r="K616" s="51"/>
      <c r="L616" s="51"/>
      <c r="M616" s="51"/>
      <c r="N616" s="81"/>
      <c r="O616" s="51"/>
      <c r="P616" s="51"/>
      <c r="Q616" s="51"/>
      <c r="R616" s="51"/>
      <c r="S616" s="51"/>
      <c r="T616" s="51"/>
      <c r="U616" s="51"/>
      <c r="V616" s="51">
        <f t="shared" si="79"/>
        <v>0</v>
      </c>
      <c r="W616" s="2"/>
      <c r="Y616" s="74"/>
      <c r="AB616" s="74"/>
      <c r="AD616" s="74"/>
    </row>
    <row r="617" spans="1:30" s="1" customFormat="1" hidden="1" outlineLevel="1" x14ac:dyDescent="0.45">
      <c r="A617" s="2"/>
      <c r="B617" s="51"/>
      <c r="C617" s="51"/>
      <c r="D617" s="51"/>
      <c r="E617" s="51"/>
      <c r="F617" s="51"/>
      <c r="G617" s="51"/>
      <c r="H617" s="80"/>
      <c r="I617" s="51"/>
      <c r="J617" s="51"/>
      <c r="K617" s="51"/>
      <c r="L617" s="51"/>
      <c r="M617" s="51"/>
      <c r="N617" s="81"/>
      <c r="O617" s="51"/>
      <c r="P617" s="51"/>
      <c r="Q617" s="51"/>
      <c r="R617" s="51"/>
      <c r="S617" s="81"/>
      <c r="T617" s="51"/>
      <c r="U617" s="51"/>
      <c r="V617" s="51">
        <f t="shared" si="79"/>
        <v>0</v>
      </c>
      <c r="W617" s="2"/>
      <c r="Y617" s="74"/>
      <c r="AB617" s="74"/>
      <c r="AD617" s="74"/>
    </row>
    <row r="618" spans="1:30" s="1" customFormat="1" hidden="1" outlineLevel="1" x14ac:dyDescent="0.45">
      <c r="A618" s="2"/>
      <c r="B618" s="51"/>
      <c r="C618" s="51"/>
      <c r="D618" s="51"/>
      <c r="E618" s="51"/>
      <c r="F618" s="51"/>
      <c r="G618" s="51"/>
      <c r="H618" s="80"/>
      <c r="I618" s="51"/>
      <c r="J618" s="51"/>
      <c r="K618" s="51"/>
      <c r="L618" s="51"/>
      <c r="M618" s="51"/>
      <c r="N618" s="81"/>
      <c r="O618" s="51"/>
      <c r="P618" s="51"/>
      <c r="Q618" s="51"/>
      <c r="R618" s="51"/>
      <c r="S618" s="81"/>
      <c r="T618" s="51"/>
      <c r="U618" s="51"/>
      <c r="V618" s="51">
        <f t="shared" si="79"/>
        <v>0</v>
      </c>
      <c r="W618" s="2"/>
      <c r="Y618" s="74"/>
      <c r="AB618" s="74"/>
      <c r="AD618" s="74"/>
    </row>
    <row r="619" spans="1:30" s="1" customFormat="1" hidden="1" outlineLevel="1" x14ac:dyDescent="0.45">
      <c r="A619" s="2"/>
      <c r="B619" s="51"/>
      <c r="C619" s="51"/>
      <c r="D619" s="51"/>
      <c r="E619" s="51"/>
      <c r="F619" s="51"/>
      <c r="G619" s="51"/>
      <c r="H619" s="80"/>
      <c r="I619" s="51"/>
      <c r="J619" s="51"/>
      <c r="K619" s="51"/>
      <c r="L619" s="51"/>
      <c r="M619" s="51"/>
      <c r="N619" s="81"/>
      <c r="O619" s="51"/>
      <c r="P619" s="51"/>
      <c r="Q619" s="51"/>
      <c r="R619" s="51"/>
      <c r="S619" s="81"/>
      <c r="T619" s="51"/>
      <c r="U619" s="51"/>
      <c r="V619" s="51">
        <f t="shared" si="79"/>
        <v>0</v>
      </c>
      <c r="W619" s="2"/>
      <c r="Y619" s="74"/>
      <c r="AB619" s="74"/>
      <c r="AD619" s="74"/>
    </row>
    <row r="620" spans="1:30" s="1" customFormat="1" hidden="1" outlineLevel="1" x14ac:dyDescent="0.45">
      <c r="A620" s="2"/>
      <c r="B620" s="51"/>
      <c r="C620" s="51"/>
      <c r="D620" s="51"/>
      <c r="E620" s="51"/>
      <c r="F620" s="51"/>
      <c r="G620" s="51"/>
      <c r="H620" s="80"/>
      <c r="I620" s="51"/>
      <c r="J620" s="51"/>
      <c r="K620" s="51"/>
      <c r="L620" s="51"/>
      <c r="M620" s="51"/>
      <c r="N620" s="81"/>
      <c r="O620" s="51"/>
      <c r="P620" s="51"/>
      <c r="Q620" s="51"/>
      <c r="R620" s="51"/>
      <c r="S620" s="81"/>
      <c r="T620" s="51"/>
      <c r="U620" s="51"/>
      <c r="V620" s="51">
        <f t="shared" si="79"/>
        <v>0</v>
      </c>
      <c r="W620" s="2"/>
      <c r="Y620" s="74"/>
      <c r="AB620" s="74"/>
      <c r="AD620" s="74"/>
    </row>
    <row r="621" spans="1:30" s="1" customFormat="1" hidden="1" outlineLevel="1" x14ac:dyDescent="0.45">
      <c r="A621" s="2"/>
      <c r="B621" s="51"/>
      <c r="C621" s="51"/>
      <c r="D621" s="51"/>
      <c r="E621" s="51"/>
      <c r="F621" s="51"/>
      <c r="G621" s="51"/>
      <c r="H621" s="80"/>
      <c r="I621" s="51"/>
      <c r="J621" s="51"/>
      <c r="K621" s="51"/>
      <c r="L621" s="51"/>
      <c r="M621" s="51"/>
      <c r="N621" s="81"/>
      <c r="O621" s="51"/>
      <c r="P621" s="51"/>
      <c r="Q621" s="51"/>
      <c r="R621" s="51"/>
      <c r="S621" s="81"/>
      <c r="T621" s="51"/>
      <c r="U621" s="51"/>
      <c r="V621" s="51">
        <f t="shared" si="79"/>
        <v>0</v>
      </c>
      <c r="W621" s="2"/>
      <c r="Y621" s="74"/>
      <c r="AB621" s="74"/>
      <c r="AD621" s="74"/>
    </row>
    <row r="622" spans="1:30" s="1" customFormat="1" hidden="1" outlineLevel="1" x14ac:dyDescent="0.45">
      <c r="A622" s="2"/>
      <c r="B622" s="51"/>
      <c r="C622" s="51"/>
      <c r="D622" s="51"/>
      <c r="E622" s="51"/>
      <c r="F622" s="51"/>
      <c r="G622" s="51"/>
      <c r="H622" s="80"/>
      <c r="I622" s="51"/>
      <c r="J622" s="51"/>
      <c r="K622" s="51"/>
      <c r="L622" s="51"/>
      <c r="M622" s="51"/>
      <c r="N622" s="81"/>
      <c r="O622" s="51"/>
      <c r="P622" s="51"/>
      <c r="Q622" s="51"/>
      <c r="R622" s="51"/>
      <c r="S622" s="81"/>
      <c r="T622" s="51"/>
      <c r="U622" s="51"/>
      <c r="V622" s="51">
        <f t="shared" si="79"/>
        <v>0</v>
      </c>
      <c r="W622" s="2"/>
      <c r="Y622" s="74"/>
      <c r="AB622" s="74"/>
      <c r="AD622" s="74"/>
    </row>
    <row r="623" spans="1:30" s="1" customFormat="1" hidden="1" outlineLevel="1" x14ac:dyDescent="0.45">
      <c r="A623" s="2"/>
      <c r="B623" s="51"/>
      <c r="C623" s="51"/>
      <c r="D623" s="51"/>
      <c r="E623" s="51"/>
      <c r="F623" s="51"/>
      <c r="G623" s="51"/>
      <c r="H623" s="80"/>
      <c r="I623" s="51"/>
      <c r="J623" s="51"/>
      <c r="K623" s="51"/>
      <c r="L623" s="51"/>
      <c r="M623" s="51"/>
      <c r="N623" s="81"/>
      <c r="O623" s="51"/>
      <c r="P623" s="51"/>
      <c r="Q623" s="51"/>
      <c r="R623" s="51"/>
      <c r="S623" s="81"/>
      <c r="T623" s="51"/>
      <c r="U623" s="51"/>
      <c r="V623" s="51">
        <f t="shared" si="79"/>
        <v>0</v>
      </c>
      <c r="W623" s="2"/>
      <c r="Y623" s="74"/>
      <c r="AB623" s="74"/>
      <c r="AD623" s="74"/>
    </row>
    <row r="624" spans="1:30" s="1" customFormat="1" hidden="1" outlineLevel="1" x14ac:dyDescent="0.45">
      <c r="A624" s="2"/>
      <c r="B624" s="51"/>
      <c r="C624" s="51"/>
      <c r="D624" s="51"/>
      <c r="E624" s="51"/>
      <c r="F624" s="51"/>
      <c r="G624" s="51"/>
      <c r="H624" s="80"/>
      <c r="I624" s="51"/>
      <c r="J624" s="51"/>
      <c r="K624" s="51"/>
      <c r="L624" s="51"/>
      <c r="M624" s="51"/>
      <c r="N624" s="81"/>
      <c r="O624" s="51"/>
      <c r="P624" s="51"/>
      <c r="Q624" s="51"/>
      <c r="R624" s="51"/>
      <c r="S624" s="81"/>
      <c r="T624" s="51"/>
      <c r="U624" s="51"/>
      <c r="V624" s="51">
        <f t="shared" si="79"/>
        <v>0</v>
      </c>
      <c r="W624" s="2"/>
      <c r="Y624" s="74"/>
      <c r="AB624" s="74"/>
      <c r="AD624" s="74"/>
    </row>
    <row r="625" spans="1:39" s="1" customFormat="1" hidden="1" outlineLevel="1" x14ac:dyDescent="0.45">
      <c r="A625" s="2"/>
      <c r="B625" s="51"/>
      <c r="C625" s="51"/>
      <c r="D625" s="51"/>
      <c r="E625" s="51"/>
      <c r="F625" s="51"/>
      <c r="G625" s="51"/>
      <c r="H625" s="80"/>
      <c r="I625" s="51"/>
      <c r="J625" s="51"/>
      <c r="K625" s="51"/>
      <c r="L625" s="51"/>
      <c r="M625" s="51"/>
      <c r="N625" s="81"/>
      <c r="O625" s="51"/>
      <c r="P625" s="51"/>
      <c r="Q625" s="51"/>
      <c r="R625" s="51"/>
      <c r="S625" s="81"/>
      <c r="T625" s="51"/>
      <c r="U625" s="51"/>
      <c r="V625" s="51">
        <f t="shared" si="79"/>
        <v>0</v>
      </c>
      <c r="W625" s="2"/>
      <c r="Y625" s="74"/>
      <c r="AB625" s="74"/>
      <c r="AD625" s="74"/>
    </row>
    <row r="626" spans="1:39" s="1" customFormat="1" hidden="1" outlineLevel="1" x14ac:dyDescent="0.45">
      <c r="A626" s="2"/>
      <c r="B626" s="51"/>
      <c r="C626" s="51"/>
      <c r="D626" s="51"/>
      <c r="E626" s="51"/>
      <c r="F626" s="51"/>
      <c r="G626" s="51"/>
      <c r="H626" s="80"/>
      <c r="I626" s="51"/>
      <c r="J626" s="51"/>
      <c r="K626" s="51"/>
      <c r="L626" s="51"/>
      <c r="M626" s="51"/>
      <c r="N626" s="81"/>
      <c r="O626" s="51"/>
      <c r="P626" s="51"/>
      <c r="Q626" s="51"/>
      <c r="R626" s="51"/>
      <c r="S626" s="81"/>
      <c r="T626" s="51"/>
      <c r="U626" s="51"/>
      <c r="V626" s="51">
        <f t="shared" si="79"/>
        <v>0</v>
      </c>
      <c r="W626" s="2"/>
      <c r="Y626" s="74"/>
      <c r="AB626" s="74"/>
      <c r="AD626" s="74"/>
    </row>
    <row r="627" spans="1:39" s="1" customFormat="1" hidden="1" outlineLevel="1" x14ac:dyDescent="0.45">
      <c r="A627" s="2"/>
      <c r="B627" s="51"/>
      <c r="C627" s="51"/>
      <c r="D627" s="51"/>
      <c r="E627" s="51"/>
      <c r="F627" s="51"/>
      <c r="G627" s="51"/>
      <c r="H627" s="80"/>
      <c r="I627" s="51"/>
      <c r="J627" s="51"/>
      <c r="K627" s="51"/>
      <c r="L627" s="51"/>
      <c r="M627" s="51"/>
      <c r="N627" s="81"/>
      <c r="O627" s="51"/>
      <c r="P627" s="51"/>
      <c r="Q627" s="51"/>
      <c r="R627" s="51"/>
      <c r="S627" s="81"/>
      <c r="T627" s="51"/>
      <c r="U627" s="51"/>
      <c r="V627" s="51">
        <f t="shared" si="79"/>
        <v>0</v>
      </c>
      <c r="W627" s="2"/>
      <c r="Y627" s="74"/>
      <c r="AB627" s="74"/>
      <c r="AD627" s="74"/>
    </row>
    <row r="628" spans="1:39" ht="15.75" hidden="1" customHeight="1" outlineLevel="1" thickBot="1" x14ac:dyDescent="0.5">
      <c r="A628" s="2"/>
      <c r="B628" s="75"/>
      <c r="C628" s="75"/>
      <c r="D628" s="76"/>
      <c r="E628" s="76"/>
      <c r="F628" s="76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2"/>
      <c r="R628" s="77"/>
      <c r="S628" s="77"/>
      <c r="T628" s="77"/>
      <c r="U628" s="2"/>
      <c r="V628" s="77"/>
      <c r="W628" s="78"/>
      <c r="Y628" s="74"/>
      <c r="Z628" s="6"/>
      <c r="AA628" s="13"/>
      <c r="AB628" s="74"/>
      <c r="AC628" s="6"/>
      <c r="AD628" s="74"/>
      <c r="AE628" s="6"/>
      <c r="AF628" s="6"/>
      <c r="AG628" s="6"/>
      <c r="AH628" s="6"/>
      <c r="AI628" s="6"/>
      <c r="AM628" s="14"/>
    </row>
    <row r="629" spans="1:39" s="1" customFormat="1" x14ac:dyDescent="0.4">
      <c r="A629" s="145">
        <v>1</v>
      </c>
      <c r="B629" s="134"/>
      <c r="C629" s="134"/>
      <c r="D629" s="137"/>
      <c r="E629" s="90"/>
      <c r="F629" s="92"/>
      <c r="G629" s="72">
        <f t="shared" ref="G629:U629" si="80">SUM(G631:G640)</f>
        <v>0</v>
      </c>
      <c r="H629" s="72">
        <f t="shared" si="80"/>
        <v>0</v>
      </c>
      <c r="I629" s="72">
        <f t="shared" si="80"/>
        <v>0</v>
      </c>
      <c r="J629" s="72">
        <f t="shared" si="80"/>
        <v>0</v>
      </c>
      <c r="K629" s="72">
        <f t="shared" si="80"/>
        <v>0</v>
      </c>
      <c r="L629" s="72">
        <f t="shared" si="80"/>
        <v>0</v>
      </c>
      <c r="M629" s="72">
        <f t="shared" si="80"/>
        <v>0</v>
      </c>
      <c r="N629" s="72">
        <f t="shared" si="80"/>
        <v>0</v>
      </c>
      <c r="O629" s="72">
        <f t="shared" si="80"/>
        <v>0</v>
      </c>
      <c r="P629" s="72">
        <f t="shared" si="80"/>
        <v>0</v>
      </c>
      <c r="Q629" s="72">
        <f t="shared" si="80"/>
        <v>0</v>
      </c>
      <c r="R629" s="72">
        <f t="shared" si="80"/>
        <v>0</v>
      </c>
      <c r="S629" s="72">
        <f t="shared" si="80"/>
        <v>0</v>
      </c>
      <c r="T629" s="72">
        <f t="shared" si="80"/>
        <v>0</v>
      </c>
      <c r="U629" s="72">
        <f t="shared" si="80"/>
        <v>0</v>
      </c>
      <c r="V629" s="72">
        <f>SUM(V631:V640)</f>
        <v>0</v>
      </c>
      <c r="W629" s="149">
        <f>V629+V630</f>
        <v>0</v>
      </c>
      <c r="Y629" s="74"/>
      <c r="AB629" s="74"/>
      <c r="AD629" s="74"/>
    </row>
    <row r="630" spans="1:39" s="1" customFormat="1" ht="12.9" collapsed="1" thickBot="1" x14ac:dyDescent="0.45">
      <c r="A630" s="146"/>
      <c r="B630" s="135"/>
      <c r="C630" s="135"/>
      <c r="D630" s="138"/>
      <c r="E630" s="91"/>
      <c r="F630" s="93"/>
      <c r="G630" s="73">
        <f>SUM(G642:G659)</f>
        <v>0</v>
      </c>
      <c r="H630" s="79">
        <f>SUM(H642:H659)</f>
        <v>0</v>
      </c>
      <c r="I630" s="79">
        <f>SUM(I642:I659)</f>
        <v>0</v>
      </c>
      <c r="J630" s="73">
        <f t="shared" ref="J630:Q630" si="81">SUM(J642:J659)</f>
        <v>0</v>
      </c>
      <c r="K630" s="73">
        <f t="shared" si="81"/>
        <v>0</v>
      </c>
      <c r="L630" s="73">
        <f t="shared" si="81"/>
        <v>0</v>
      </c>
      <c r="M630" s="73">
        <f t="shared" si="81"/>
        <v>0</v>
      </c>
      <c r="N630" s="73">
        <f t="shared" si="81"/>
        <v>0</v>
      </c>
      <c r="O630" s="73">
        <f t="shared" si="81"/>
        <v>0</v>
      </c>
      <c r="P630" s="73">
        <f t="shared" si="81"/>
        <v>0</v>
      </c>
      <c r="Q630" s="73">
        <f t="shared" si="81"/>
        <v>0</v>
      </c>
      <c r="R630" s="73">
        <f>SUM(R642:R659)</f>
        <v>0</v>
      </c>
      <c r="S630" s="73">
        <f>SUM(S642:S659)</f>
        <v>0</v>
      </c>
      <c r="T630" s="73">
        <f>SUM(T642:T659)</f>
        <v>0</v>
      </c>
      <c r="U630" s="73">
        <f>SUM(U642:U659)</f>
        <v>0</v>
      </c>
      <c r="V630" s="73">
        <f>SUM(V642:V659)</f>
        <v>0</v>
      </c>
      <c r="W630" s="150"/>
      <c r="Y630" s="74"/>
      <c r="Z630" s="74"/>
      <c r="AB630" s="74"/>
      <c r="AD630" s="74"/>
      <c r="AE630" s="74"/>
      <c r="AF630" s="74"/>
    </row>
    <row r="631" spans="1:39" s="1" customFormat="1" hidden="1" outlineLevel="1" x14ac:dyDescent="0.45">
      <c r="A631" s="2"/>
      <c r="B631" s="51"/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>
        <f>SUM(G631:U631)</f>
        <v>0</v>
      </c>
      <c r="W631" s="2"/>
      <c r="Y631" s="74"/>
      <c r="AB631" s="74"/>
      <c r="AD631" s="74"/>
    </row>
    <row r="632" spans="1:39" s="1" customFormat="1" hidden="1" outlineLevel="1" x14ac:dyDescent="0.45">
      <c r="A632" s="2"/>
      <c r="B632" s="51"/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>
        <f>SUM(G632:U632)</f>
        <v>0</v>
      </c>
      <c r="W632" s="2"/>
      <c r="Y632" s="74"/>
      <c r="AB632" s="74"/>
      <c r="AD632" s="74"/>
    </row>
    <row r="633" spans="1:39" s="1" customFormat="1" hidden="1" outlineLevel="1" x14ac:dyDescent="0.45">
      <c r="A633" s="2"/>
      <c r="B633" s="51"/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>
        <f t="shared" ref="V633:V640" si="82">SUM(G633:U633)</f>
        <v>0</v>
      </c>
      <c r="W633" s="2"/>
      <c r="Y633" s="74"/>
      <c r="AB633" s="74"/>
      <c r="AD633" s="74"/>
    </row>
    <row r="634" spans="1:39" s="1" customFormat="1" hidden="1" outlineLevel="1" x14ac:dyDescent="0.45">
      <c r="A634" s="2"/>
      <c r="B634" s="51"/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>
        <f t="shared" si="82"/>
        <v>0</v>
      </c>
      <c r="W634" s="2"/>
      <c r="Y634" s="74"/>
      <c r="AB634" s="74"/>
      <c r="AD634" s="74"/>
    </row>
    <row r="635" spans="1:39" s="1" customFormat="1" hidden="1" outlineLevel="1" x14ac:dyDescent="0.45">
      <c r="A635" s="2"/>
      <c r="B635" s="51"/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>
        <f t="shared" si="82"/>
        <v>0</v>
      </c>
      <c r="W635" s="2"/>
      <c r="Y635" s="74"/>
      <c r="AB635" s="74"/>
      <c r="AD635" s="74"/>
    </row>
    <row r="636" spans="1:39" s="1" customFormat="1" hidden="1" outlineLevel="1" x14ac:dyDescent="0.45">
      <c r="A636" s="2"/>
      <c r="B636" s="51"/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>
        <f t="shared" si="82"/>
        <v>0</v>
      </c>
      <c r="W636" s="2"/>
      <c r="Y636" s="74"/>
      <c r="AB636" s="74"/>
      <c r="AD636" s="74"/>
    </row>
    <row r="637" spans="1:39" s="1" customFormat="1" hidden="1" outlineLevel="1" x14ac:dyDescent="0.45">
      <c r="A637" s="2"/>
      <c r="B637" s="51"/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>
        <f t="shared" si="82"/>
        <v>0</v>
      </c>
      <c r="W637" s="2"/>
      <c r="Y637" s="74"/>
      <c r="AB637" s="74"/>
      <c r="AD637" s="74"/>
    </row>
    <row r="638" spans="1:39" s="1" customFormat="1" hidden="1" outlineLevel="1" x14ac:dyDescent="0.45">
      <c r="A638" s="2"/>
      <c r="B638" s="51"/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>
        <f t="shared" si="82"/>
        <v>0</v>
      </c>
      <c r="W638" s="2"/>
      <c r="Y638" s="74"/>
      <c r="AB638" s="74"/>
      <c r="AD638" s="74"/>
    </row>
    <row r="639" spans="1:39" s="1" customFormat="1" hidden="1" outlineLevel="1" x14ac:dyDescent="0.45">
      <c r="A639" s="2"/>
      <c r="B639" s="51"/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>
        <f t="shared" si="82"/>
        <v>0</v>
      </c>
      <c r="W639" s="2"/>
      <c r="Y639" s="74"/>
      <c r="AB639" s="74"/>
      <c r="AD639" s="74"/>
    </row>
    <row r="640" spans="1:39" s="1" customFormat="1" hidden="1" outlineLevel="1" x14ac:dyDescent="0.45">
      <c r="A640" s="2"/>
      <c r="B640" s="51"/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>
        <f t="shared" si="82"/>
        <v>0</v>
      </c>
      <c r="W640" s="2"/>
      <c r="Y640" s="74"/>
      <c r="AB640" s="74"/>
      <c r="AD640" s="74"/>
    </row>
    <row r="641" spans="1:30" s="1" customFormat="1" hidden="1" outlineLevel="1" x14ac:dyDescent="0.45">
      <c r="A641" s="2"/>
      <c r="B641" s="166" t="s">
        <v>29</v>
      </c>
      <c r="C641" s="166"/>
      <c r="D641" s="166"/>
      <c r="E641" s="166"/>
      <c r="F641" s="166"/>
      <c r="G641" s="166"/>
      <c r="H641" s="166"/>
      <c r="I641" s="166"/>
      <c r="J641" s="166"/>
      <c r="K641" s="166"/>
      <c r="L641" s="166"/>
      <c r="M641" s="166"/>
      <c r="N641" s="166"/>
      <c r="O641" s="166"/>
      <c r="P641" s="166"/>
      <c r="Q641" s="166"/>
      <c r="R641" s="166"/>
      <c r="S641" s="166"/>
      <c r="T641" s="166"/>
      <c r="U641" s="166"/>
      <c r="V641" s="87"/>
      <c r="W641" s="2"/>
      <c r="Y641" s="74"/>
      <c r="AB641" s="74"/>
      <c r="AD641" s="74"/>
    </row>
    <row r="642" spans="1:30" s="1" customFormat="1" hidden="1" outlineLevel="1" x14ac:dyDescent="0.45">
      <c r="A642" s="2"/>
      <c r="B642" s="82"/>
      <c r="C642" s="51"/>
      <c r="D642" s="51"/>
      <c r="E642" s="51"/>
      <c r="F642" s="51"/>
      <c r="G642" s="20"/>
      <c r="H642" s="21"/>
      <c r="I642" s="21"/>
      <c r="J642" s="23"/>
      <c r="K642" s="51"/>
      <c r="L642" s="32"/>
      <c r="M642" s="22"/>
      <c r="N642" s="51"/>
      <c r="O642" s="81"/>
      <c r="P642" s="22"/>
      <c r="Q642" s="51"/>
      <c r="R642" s="51"/>
      <c r="S642" s="51"/>
      <c r="T642" s="51"/>
      <c r="U642" s="51"/>
      <c r="V642" s="51">
        <f t="shared" ref="V642:V658" si="83">SUM(G642:U642)</f>
        <v>0</v>
      </c>
      <c r="W642" s="2"/>
      <c r="Y642" s="74"/>
      <c r="AB642" s="74"/>
      <c r="AD642" s="74"/>
    </row>
    <row r="643" spans="1:30" s="1" customFormat="1" hidden="1" outlineLevel="1" x14ac:dyDescent="0.45">
      <c r="A643" s="2"/>
      <c r="B643" s="82"/>
      <c r="C643" s="51"/>
      <c r="D643" s="51"/>
      <c r="E643" s="51"/>
      <c r="F643" s="51"/>
      <c r="G643" s="20"/>
      <c r="H643" s="21"/>
      <c r="I643" s="21"/>
      <c r="J643" s="23"/>
      <c r="K643" s="51"/>
      <c r="L643" s="32"/>
      <c r="M643" s="22"/>
      <c r="N643" s="51"/>
      <c r="O643" s="81"/>
      <c r="P643" s="22"/>
      <c r="Q643" s="51"/>
      <c r="R643" s="51"/>
      <c r="S643" s="51"/>
      <c r="T643" s="51"/>
      <c r="U643" s="51"/>
      <c r="V643" s="51">
        <f t="shared" si="83"/>
        <v>0</v>
      </c>
      <c r="W643" s="2"/>
      <c r="Y643" s="74"/>
      <c r="AB643" s="74"/>
      <c r="AD643" s="74"/>
    </row>
    <row r="644" spans="1:30" s="1" customFormat="1" hidden="1" outlineLevel="1" x14ac:dyDescent="0.45">
      <c r="A644" s="2"/>
      <c r="B644" s="82"/>
      <c r="C644" s="51"/>
      <c r="D644" s="51"/>
      <c r="E644" s="51"/>
      <c r="F644" s="51"/>
      <c r="G644" s="20"/>
      <c r="H644" s="21"/>
      <c r="I644" s="21"/>
      <c r="J644" s="23"/>
      <c r="K644" s="51"/>
      <c r="L644" s="32"/>
      <c r="M644" s="22"/>
      <c r="N644" s="51"/>
      <c r="O644" s="81"/>
      <c r="P644" s="22"/>
      <c r="Q644" s="51"/>
      <c r="R644" s="51"/>
      <c r="S644" s="51"/>
      <c r="T644" s="51"/>
      <c r="U644" s="51"/>
      <c r="V644" s="51">
        <f t="shared" si="83"/>
        <v>0</v>
      </c>
      <c r="W644" s="2"/>
      <c r="Y644" s="74"/>
      <c r="AB644" s="74"/>
      <c r="AD644" s="74"/>
    </row>
    <row r="645" spans="1:30" s="1" customFormat="1" hidden="1" outlineLevel="1" x14ac:dyDescent="0.45">
      <c r="A645" s="2"/>
      <c r="B645" s="82"/>
      <c r="C645" s="51"/>
      <c r="D645" s="51"/>
      <c r="E645" s="51"/>
      <c r="F645" s="51"/>
      <c r="G645" s="20"/>
      <c r="H645" s="21"/>
      <c r="I645" s="21"/>
      <c r="J645" s="23"/>
      <c r="K645" s="51"/>
      <c r="L645" s="32"/>
      <c r="M645" s="22"/>
      <c r="N645" s="51"/>
      <c r="O645" s="81"/>
      <c r="P645" s="22"/>
      <c r="Q645" s="51"/>
      <c r="R645" s="51"/>
      <c r="S645" s="51"/>
      <c r="T645" s="51"/>
      <c r="U645" s="51"/>
      <c r="V645" s="51">
        <f t="shared" si="83"/>
        <v>0</v>
      </c>
      <c r="W645" s="2"/>
      <c r="Y645" s="74"/>
      <c r="AB645" s="74"/>
      <c r="AD645" s="74"/>
    </row>
    <row r="646" spans="1:30" s="1" customFormat="1" hidden="1" outlineLevel="1" x14ac:dyDescent="0.45">
      <c r="A646" s="2"/>
      <c r="B646" s="51"/>
      <c r="C646" s="51"/>
      <c r="D646" s="51"/>
      <c r="E646" s="51"/>
      <c r="F646" s="51"/>
      <c r="G646" s="51"/>
      <c r="H646" s="80"/>
      <c r="I646" s="51"/>
      <c r="J646" s="51"/>
      <c r="K646" s="51"/>
      <c r="L646" s="51"/>
      <c r="M646" s="51"/>
      <c r="N646" s="81"/>
      <c r="O646" s="51"/>
      <c r="P646" s="51"/>
      <c r="Q646" s="51"/>
      <c r="R646" s="51"/>
      <c r="S646" s="51"/>
      <c r="T646" s="51"/>
      <c r="U646" s="51"/>
      <c r="V646" s="51">
        <f t="shared" si="83"/>
        <v>0</v>
      </c>
      <c r="W646" s="2"/>
      <c r="Y646" s="74"/>
      <c r="AB646" s="74"/>
      <c r="AD646" s="74"/>
    </row>
    <row r="647" spans="1:30" s="1" customFormat="1" hidden="1" outlineLevel="1" x14ac:dyDescent="0.45">
      <c r="A647" s="2"/>
      <c r="B647" s="51"/>
      <c r="C647" s="51"/>
      <c r="D647" s="51"/>
      <c r="E647" s="51"/>
      <c r="F647" s="51"/>
      <c r="G647" s="51"/>
      <c r="H647" s="80"/>
      <c r="I647" s="51"/>
      <c r="J647" s="51"/>
      <c r="K647" s="51"/>
      <c r="L647" s="51"/>
      <c r="M647" s="51"/>
      <c r="N647" s="81"/>
      <c r="O647" s="51"/>
      <c r="P647" s="51"/>
      <c r="Q647" s="51"/>
      <c r="R647" s="51"/>
      <c r="S647" s="51"/>
      <c r="T647" s="51"/>
      <c r="U647" s="51"/>
      <c r="V647" s="51">
        <f t="shared" si="83"/>
        <v>0</v>
      </c>
      <c r="W647" s="2"/>
      <c r="Y647" s="74"/>
      <c r="AB647" s="74"/>
      <c r="AD647" s="74"/>
    </row>
    <row r="648" spans="1:30" s="1" customFormat="1" hidden="1" outlineLevel="1" x14ac:dyDescent="0.45">
      <c r="A648" s="2"/>
      <c r="B648" s="51"/>
      <c r="C648" s="51"/>
      <c r="D648" s="51"/>
      <c r="E648" s="51"/>
      <c r="F648" s="51"/>
      <c r="G648" s="51"/>
      <c r="H648" s="80"/>
      <c r="I648" s="51"/>
      <c r="J648" s="51"/>
      <c r="K648" s="51"/>
      <c r="L648" s="51"/>
      <c r="M648" s="51"/>
      <c r="N648" s="81"/>
      <c r="O648" s="51"/>
      <c r="P648" s="51"/>
      <c r="Q648" s="51"/>
      <c r="R648" s="51"/>
      <c r="S648" s="81"/>
      <c r="T648" s="51"/>
      <c r="U648" s="51"/>
      <c r="V648" s="51">
        <f t="shared" si="83"/>
        <v>0</v>
      </c>
      <c r="W648" s="2"/>
      <c r="Y648" s="74"/>
      <c r="AB648" s="74"/>
      <c r="AD648" s="74"/>
    </row>
    <row r="649" spans="1:30" s="1" customFormat="1" hidden="1" outlineLevel="1" x14ac:dyDescent="0.45">
      <c r="A649" s="2"/>
      <c r="B649" s="51"/>
      <c r="C649" s="51"/>
      <c r="D649" s="51"/>
      <c r="E649" s="51"/>
      <c r="F649" s="51"/>
      <c r="G649" s="51"/>
      <c r="H649" s="80"/>
      <c r="I649" s="51"/>
      <c r="J649" s="51"/>
      <c r="K649" s="51"/>
      <c r="L649" s="51"/>
      <c r="M649" s="51"/>
      <c r="N649" s="81"/>
      <c r="O649" s="51"/>
      <c r="P649" s="51"/>
      <c r="Q649" s="51"/>
      <c r="R649" s="51"/>
      <c r="S649" s="81"/>
      <c r="T649" s="51"/>
      <c r="U649" s="51"/>
      <c r="V649" s="51">
        <f t="shared" si="83"/>
        <v>0</v>
      </c>
      <c r="W649" s="2"/>
      <c r="Y649" s="74"/>
      <c r="AB649" s="74"/>
      <c r="AD649" s="74"/>
    </row>
    <row r="650" spans="1:30" s="1" customFormat="1" hidden="1" outlineLevel="1" x14ac:dyDescent="0.45">
      <c r="A650" s="2"/>
      <c r="B650" s="51"/>
      <c r="C650" s="51"/>
      <c r="D650" s="51"/>
      <c r="E650" s="51"/>
      <c r="F650" s="51"/>
      <c r="G650" s="51"/>
      <c r="H650" s="80"/>
      <c r="I650" s="51"/>
      <c r="J650" s="51"/>
      <c r="K650" s="51"/>
      <c r="L650" s="51"/>
      <c r="M650" s="51"/>
      <c r="N650" s="81"/>
      <c r="O650" s="51"/>
      <c r="P650" s="51"/>
      <c r="Q650" s="51"/>
      <c r="R650" s="51"/>
      <c r="S650" s="81"/>
      <c r="T650" s="51"/>
      <c r="U650" s="51"/>
      <c r="V650" s="51">
        <f t="shared" si="83"/>
        <v>0</v>
      </c>
      <c r="W650" s="2"/>
      <c r="Y650" s="74"/>
      <c r="AB650" s="74"/>
      <c r="AD650" s="74"/>
    </row>
    <row r="651" spans="1:30" s="1" customFormat="1" hidden="1" outlineLevel="1" x14ac:dyDescent="0.45">
      <c r="A651" s="2"/>
      <c r="B651" s="51"/>
      <c r="C651" s="51"/>
      <c r="D651" s="51"/>
      <c r="E651" s="51"/>
      <c r="F651" s="51"/>
      <c r="G651" s="51"/>
      <c r="H651" s="80"/>
      <c r="I651" s="51"/>
      <c r="J651" s="51"/>
      <c r="K651" s="51"/>
      <c r="L651" s="51"/>
      <c r="M651" s="51"/>
      <c r="N651" s="81"/>
      <c r="O651" s="51"/>
      <c r="P651" s="51"/>
      <c r="Q651" s="51"/>
      <c r="R651" s="51"/>
      <c r="S651" s="81"/>
      <c r="T651" s="51"/>
      <c r="U651" s="51"/>
      <c r="V651" s="51">
        <f t="shared" si="83"/>
        <v>0</v>
      </c>
      <c r="W651" s="2"/>
      <c r="Y651" s="74"/>
      <c r="AB651" s="74"/>
      <c r="AD651" s="74"/>
    </row>
    <row r="652" spans="1:30" s="1" customFormat="1" hidden="1" outlineLevel="1" x14ac:dyDescent="0.45">
      <c r="A652" s="2"/>
      <c r="B652" s="51"/>
      <c r="C652" s="51"/>
      <c r="D652" s="51"/>
      <c r="E652" s="51"/>
      <c r="F652" s="51"/>
      <c r="G652" s="51"/>
      <c r="H652" s="80"/>
      <c r="I652" s="51"/>
      <c r="J652" s="51"/>
      <c r="K652" s="51"/>
      <c r="L652" s="51"/>
      <c r="M652" s="51"/>
      <c r="N652" s="81"/>
      <c r="O652" s="51"/>
      <c r="P652" s="51"/>
      <c r="Q652" s="51"/>
      <c r="R652" s="51"/>
      <c r="S652" s="81"/>
      <c r="T652" s="51"/>
      <c r="U652" s="51"/>
      <c r="V652" s="51">
        <f t="shared" si="83"/>
        <v>0</v>
      </c>
      <c r="W652" s="2"/>
      <c r="Y652" s="74"/>
      <c r="AB652" s="74"/>
      <c r="AD652" s="74"/>
    </row>
    <row r="653" spans="1:30" s="1" customFormat="1" hidden="1" outlineLevel="1" x14ac:dyDescent="0.45">
      <c r="A653" s="2"/>
      <c r="B653" s="51"/>
      <c r="C653" s="51"/>
      <c r="D653" s="51"/>
      <c r="E653" s="51"/>
      <c r="F653" s="51"/>
      <c r="G653" s="51"/>
      <c r="H653" s="80"/>
      <c r="I653" s="51"/>
      <c r="J653" s="51"/>
      <c r="K653" s="51"/>
      <c r="L653" s="51"/>
      <c r="M653" s="51"/>
      <c r="N653" s="81"/>
      <c r="O653" s="51"/>
      <c r="P653" s="51"/>
      <c r="Q653" s="51"/>
      <c r="R653" s="51"/>
      <c r="S653" s="81"/>
      <c r="T653" s="51"/>
      <c r="U653" s="51"/>
      <c r="V653" s="51">
        <f t="shared" si="83"/>
        <v>0</v>
      </c>
      <c r="W653" s="2"/>
      <c r="Y653" s="74"/>
      <c r="AB653" s="74"/>
      <c r="AD653" s="74"/>
    </row>
    <row r="654" spans="1:30" s="1" customFormat="1" hidden="1" outlineLevel="1" x14ac:dyDescent="0.45">
      <c r="A654" s="2"/>
      <c r="B654" s="51"/>
      <c r="C654" s="51"/>
      <c r="D654" s="51"/>
      <c r="E654" s="51"/>
      <c r="F654" s="51"/>
      <c r="G654" s="51"/>
      <c r="H654" s="80"/>
      <c r="I654" s="51"/>
      <c r="J654" s="51"/>
      <c r="K654" s="51"/>
      <c r="L654" s="51"/>
      <c r="M654" s="51"/>
      <c r="N654" s="81"/>
      <c r="O654" s="51"/>
      <c r="P654" s="51"/>
      <c r="Q654" s="51"/>
      <c r="R654" s="51"/>
      <c r="S654" s="81"/>
      <c r="T654" s="51"/>
      <c r="U654" s="51"/>
      <c r="V654" s="51">
        <f t="shared" si="83"/>
        <v>0</v>
      </c>
      <c r="W654" s="2"/>
      <c r="Y654" s="74"/>
      <c r="AB654" s="74"/>
      <c r="AD654" s="74"/>
    </row>
    <row r="655" spans="1:30" s="1" customFormat="1" hidden="1" outlineLevel="1" x14ac:dyDescent="0.45">
      <c r="A655" s="2"/>
      <c r="B655" s="51"/>
      <c r="C655" s="51"/>
      <c r="D655" s="51"/>
      <c r="E655" s="51"/>
      <c r="F655" s="51"/>
      <c r="G655" s="51"/>
      <c r="H655" s="80"/>
      <c r="I655" s="51"/>
      <c r="J655" s="51"/>
      <c r="K655" s="51"/>
      <c r="L655" s="51"/>
      <c r="M655" s="51"/>
      <c r="N655" s="81"/>
      <c r="O655" s="51"/>
      <c r="P655" s="51"/>
      <c r="Q655" s="51"/>
      <c r="R655" s="51"/>
      <c r="S655" s="81"/>
      <c r="T655" s="51"/>
      <c r="U655" s="51"/>
      <c r="V655" s="51">
        <f t="shared" si="83"/>
        <v>0</v>
      </c>
      <c r="W655" s="2"/>
      <c r="Y655" s="74"/>
      <c r="AB655" s="74"/>
      <c r="AD655" s="74"/>
    </row>
    <row r="656" spans="1:30" s="1" customFormat="1" hidden="1" outlineLevel="1" x14ac:dyDescent="0.45">
      <c r="A656" s="2"/>
      <c r="B656" s="51"/>
      <c r="C656" s="51"/>
      <c r="D656" s="51"/>
      <c r="E656" s="51"/>
      <c r="F656" s="51"/>
      <c r="G656" s="51"/>
      <c r="H656" s="80"/>
      <c r="I656" s="51"/>
      <c r="J656" s="51"/>
      <c r="K656" s="51"/>
      <c r="L656" s="51"/>
      <c r="M656" s="51"/>
      <c r="N656" s="81"/>
      <c r="O656" s="51"/>
      <c r="P656" s="51"/>
      <c r="Q656" s="51"/>
      <c r="R656" s="51"/>
      <c r="S656" s="81"/>
      <c r="T656" s="51"/>
      <c r="U656" s="51"/>
      <c r="V656" s="51">
        <f t="shared" si="83"/>
        <v>0</v>
      </c>
      <c r="W656" s="2"/>
      <c r="Y656" s="74"/>
      <c r="AB656" s="74"/>
      <c r="AD656" s="74"/>
    </row>
    <row r="657" spans="1:39" s="1" customFormat="1" hidden="1" outlineLevel="1" x14ac:dyDescent="0.45">
      <c r="A657" s="2"/>
      <c r="B657" s="51"/>
      <c r="C657" s="51"/>
      <c r="D657" s="51"/>
      <c r="E657" s="51"/>
      <c r="F657" s="51"/>
      <c r="G657" s="51"/>
      <c r="H657" s="80"/>
      <c r="I657" s="51"/>
      <c r="J657" s="51"/>
      <c r="K657" s="51"/>
      <c r="L657" s="51"/>
      <c r="M657" s="51"/>
      <c r="N657" s="81"/>
      <c r="O657" s="51"/>
      <c r="P657" s="51"/>
      <c r="Q657" s="51"/>
      <c r="R657" s="51"/>
      <c r="S657" s="81"/>
      <c r="T657" s="51"/>
      <c r="U657" s="51"/>
      <c r="V657" s="51">
        <f t="shared" si="83"/>
        <v>0</v>
      </c>
      <c r="W657" s="2"/>
      <c r="Y657" s="74"/>
      <c r="AB657" s="74"/>
      <c r="AD657" s="74"/>
    </row>
    <row r="658" spans="1:39" s="1" customFormat="1" hidden="1" outlineLevel="1" x14ac:dyDescent="0.45">
      <c r="A658" s="2"/>
      <c r="B658" s="51"/>
      <c r="C658" s="51"/>
      <c r="D658" s="51"/>
      <c r="E658" s="51"/>
      <c r="F658" s="51"/>
      <c r="G658" s="51"/>
      <c r="H658" s="80"/>
      <c r="I658" s="51"/>
      <c r="J658" s="51"/>
      <c r="K658" s="51"/>
      <c r="L658" s="51"/>
      <c r="M658" s="51"/>
      <c r="N658" s="81"/>
      <c r="O658" s="51"/>
      <c r="P658" s="51"/>
      <c r="Q658" s="51"/>
      <c r="R658" s="51"/>
      <c r="S658" s="81"/>
      <c r="T658" s="51"/>
      <c r="U658" s="51"/>
      <c r="V658" s="51">
        <f t="shared" si="83"/>
        <v>0</v>
      </c>
      <c r="W658" s="2"/>
      <c r="Y658" s="74"/>
      <c r="AB658" s="74"/>
      <c r="AD658" s="74"/>
    </row>
    <row r="659" spans="1:39" ht="15.75" hidden="1" customHeight="1" outlineLevel="1" thickBot="1" x14ac:dyDescent="0.5">
      <c r="A659" s="2"/>
      <c r="B659" s="75"/>
      <c r="C659" s="75"/>
      <c r="D659" s="76"/>
      <c r="E659" s="76"/>
      <c r="F659" s="76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2"/>
      <c r="R659" s="77"/>
      <c r="S659" s="77"/>
      <c r="T659" s="77"/>
      <c r="U659" s="2"/>
      <c r="V659" s="77"/>
      <c r="W659" s="78"/>
      <c r="Y659" s="74"/>
      <c r="Z659" s="6"/>
      <c r="AA659" s="13"/>
      <c r="AB659" s="74"/>
      <c r="AC659" s="6"/>
      <c r="AD659" s="74"/>
      <c r="AE659" s="6"/>
      <c r="AF659" s="6"/>
      <c r="AG659" s="6"/>
      <c r="AH659" s="6"/>
      <c r="AI659" s="6"/>
      <c r="AM659" s="14"/>
    </row>
    <row r="660" spans="1:39" s="1" customFormat="1" x14ac:dyDescent="0.4">
      <c r="A660" s="145">
        <v>1</v>
      </c>
      <c r="B660" s="134"/>
      <c r="C660" s="134"/>
      <c r="D660" s="137"/>
      <c r="E660" s="90"/>
      <c r="F660" s="92"/>
      <c r="G660" s="72">
        <f t="shared" ref="G660:U660" si="84">SUM(G662:G671)</f>
        <v>0</v>
      </c>
      <c r="H660" s="72">
        <f t="shared" si="84"/>
        <v>0</v>
      </c>
      <c r="I660" s="72">
        <f t="shared" si="84"/>
        <v>0</v>
      </c>
      <c r="J660" s="72">
        <f t="shared" si="84"/>
        <v>0</v>
      </c>
      <c r="K660" s="72">
        <f t="shared" si="84"/>
        <v>0</v>
      </c>
      <c r="L660" s="72">
        <f t="shared" si="84"/>
        <v>0</v>
      </c>
      <c r="M660" s="72">
        <f t="shared" si="84"/>
        <v>0</v>
      </c>
      <c r="N660" s="72">
        <f t="shared" si="84"/>
        <v>0</v>
      </c>
      <c r="O660" s="72">
        <f t="shared" si="84"/>
        <v>0</v>
      </c>
      <c r="P660" s="72">
        <f t="shared" si="84"/>
        <v>0</v>
      </c>
      <c r="Q660" s="72">
        <f t="shared" si="84"/>
        <v>0</v>
      </c>
      <c r="R660" s="72">
        <f t="shared" si="84"/>
        <v>0</v>
      </c>
      <c r="S660" s="72">
        <f t="shared" si="84"/>
        <v>0</v>
      </c>
      <c r="T660" s="72">
        <f t="shared" si="84"/>
        <v>0</v>
      </c>
      <c r="U660" s="72">
        <f t="shared" si="84"/>
        <v>0</v>
      </c>
      <c r="V660" s="72">
        <f>SUM(V662:V671)</f>
        <v>0</v>
      </c>
      <c r="W660" s="149">
        <f>V660+V661</f>
        <v>0</v>
      </c>
      <c r="Y660" s="74"/>
      <c r="AB660" s="74"/>
      <c r="AD660" s="74"/>
    </row>
    <row r="661" spans="1:39" s="1" customFormat="1" ht="12.9" collapsed="1" thickBot="1" x14ac:dyDescent="0.45">
      <c r="A661" s="146"/>
      <c r="B661" s="135"/>
      <c r="C661" s="135"/>
      <c r="D661" s="138"/>
      <c r="E661" s="91"/>
      <c r="F661" s="93"/>
      <c r="G661" s="73">
        <f>SUM(G673:G690)</f>
        <v>0</v>
      </c>
      <c r="H661" s="79">
        <f>SUM(H673:H690)</f>
        <v>0</v>
      </c>
      <c r="I661" s="79">
        <f>SUM(I673:I690)</f>
        <v>0</v>
      </c>
      <c r="J661" s="73">
        <f t="shared" ref="J661:Q661" si="85">SUM(J673:J690)</f>
        <v>0</v>
      </c>
      <c r="K661" s="73">
        <f t="shared" si="85"/>
        <v>0</v>
      </c>
      <c r="L661" s="73">
        <f t="shared" si="85"/>
        <v>0</v>
      </c>
      <c r="M661" s="73">
        <f t="shared" si="85"/>
        <v>0</v>
      </c>
      <c r="N661" s="73">
        <f t="shared" si="85"/>
        <v>0</v>
      </c>
      <c r="O661" s="73">
        <f t="shared" si="85"/>
        <v>0</v>
      </c>
      <c r="P661" s="73">
        <f t="shared" si="85"/>
        <v>0</v>
      </c>
      <c r="Q661" s="73">
        <f t="shared" si="85"/>
        <v>0</v>
      </c>
      <c r="R661" s="73">
        <f>SUM(R673:R690)</f>
        <v>0</v>
      </c>
      <c r="S661" s="73">
        <f>SUM(S673:S690)</f>
        <v>0</v>
      </c>
      <c r="T661" s="73">
        <f>SUM(T673:T690)</f>
        <v>0</v>
      </c>
      <c r="U661" s="73">
        <f>SUM(U673:U690)</f>
        <v>0</v>
      </c>
      <c r="V661" s="73">
        <f>SUM(V673:V690)</f>
        <v>0</v>
      </c>
      <c r="W661" s="150"/>
      <c r="Y661" s="74"/>
      <c r="Z661" s="74"/>
      <c r="AB661" s="74"/>
      <c r="AD661" s="74"/>
    </row>
    <row r="662" spans="1:39" s="1" customFormat="1" hidden="1" outlineLevel="1" x14ac:dyDescent="0.45">
      <c r="A662" s="2"/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>
        <f>SUM(G662:U662)</f>
        <v>0</v>
      </c>
      <c r="W662" s="2"/>
      <c r="Y662" s="74"/>
      <c r="AB662" s="74"/>
      <c r="AD662" s="74"/>
    </row>
    <row r="663" spans="1:39" s="1" customFormat="1" hidden="1" outlineLevel="1" x14ac:dyDescent="0.45">
      <c r="A663" s="2"/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>
        <f>SUM(G663:U663)</f>
        <v>0</v>
      </c>
      <c r="W663" s="2"/>
      <c r="Y663" s="74"/>
      <c r="AB663" s="74"/>
      <c r="AD663" s="74"/>
    </row>
    <row r="664" spans="1:39" s="1" customFormat="1" hidden="1" outlineLevel="1" x14ac:dyDescent="0.45">
      <c r="A664" s="2"/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>
        <f t="shared" ref="V664:V671" si="86">SUM(G664:U664)</f>
        <v>0</v>
      </c>
      <c r="W664" s="2"/>
      <c r="Y664" s="74"/>
      <c r="AB664" s="74"/>
      <c r="AD664" s="74"/>
    </row>
    <row r="665" spans="1:39" s="1" customFormat="1" hidden="1" outlineLevel="1" x14ac:dyDescent="0.45">
      <c r="A665" s="2"/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>
        <f t="shared" si="86"/>
        <v>0</v>
      </c>
      <c r="W665" s="2"/>
      <c r="Y665" s="74"/>
      <c r="AB665" s="74"/>
      <c r="AD665" s="74"/>
    </row>
    <row r="666" spans="1:39" s="1" customFormat="1" hidden="1" outlineLevel="1" x14ac:dyDescent="0.45">
      <c r="A666" s="2"/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>
        <f t="shared" si="86"/>
        <v>0</v>
      </c>
      <c r="W666" s="2"/>
      <c r="Y666" s="74"/>
      <c r="AB666" s="74"/>
      <c r="AD666" s="74"/>
    </row>
    <row r="667" spans="1:39" s="1" customFormat="1" hidden="1" outlineLevel="1" x14ac:dyDescent="0.45">
      <c r="A667" s="2"/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>
        <f t="shared" si="86"/>
        <v>0</v>
      </c>
      <c r="W667" s="2"/>
      <c r="Y667" s="74"/>
      <c r="AB667" s="74"/>
      <c r="AD667" s="74"/>
    </row>
    <row r="668" spans="1:39" s="1" customFormat="1" hidden="1" outlineLevel="1" x14ac:dyDescent="0.45">
      <c r="A668" s="2"/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>
        <f t="shared" si="86"/>
        <v>0</v>
      </c>
      <c r="W668" s="2"/>
      <c r="Y668" s="74"/>
      <c r="AB668" s="74"/>
      <c r="AD668" s="74"/>
    </row>
    <row r="669" spans="1:39" s="1" customFormat="1" hidden="1" outlineLevel="1" x14ac:dyDescent="0.45">
      <c r="A669" s="2"/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>
        <f t="shared" si="86"/>
        <v>0</v>
      </c>
      <c r="W669" s="2"/>
      <c r="Y669" s="74"/>
      <c r="AB669" s="74"/>
      <c r="AD669" s="74"/>
    </row>
    <row r="670" spans="1:39" s="1" customFormat="1" hidden="1" outlineLevel="1" x14ac:dyDescent="0.45">
      <c r="A670" s="2"/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>
        <f t="shared" si="86"/>
        <v>0</v>
      </c>
      <c r="W670" s="2"/>
      <c r="Y670" s="74"/>
      <c r="AB670" s="74"/>
      <c r="AD670" s="74"/>
    </row>
    <row r="671" spans="1:39" s="1" customFormat="1" hidden="1" outlineLevel="1" x14ac:dyDescent="0.45">
      <c r="A671" s="2"/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>
        <f t="shared" si="86"/>
        <v>0</v>
      </c>
      <c r="W671" s="2"/>
      <c r="Y671" s="74"/>
      <c r="AB671" s="74"/>
      <c r="AD671" s="74"/>
    </row>
    <row r="672" spans="1:39" s="1" customFormat="1" hidden="1" outlineLevel="1" x14ac:dyDescent="0.45">
      <c r="A672" s="2"/>
      <c r="B672" s="166" t="s">
        <v>29</v>
      </c>
      <c r="C672" s="166"/>
      <c r="D672" s="166"/>
      <c r="E672" s="166"/>
      <c r="F672" s="166"/>
      <c r="G672" s="166"/>
      <c r="H672" s="166"/>
      <c r="I672" s="166"/>
      <c r="J672" s="166"/>
      <c r="K672" s="166"/>
      <c r="L672" s="166"/>
      <c r="M672" s="166"/>
      <c r="N672" s="166"/>
      <c r="O672" s="166"/>
      <c r="P672" s="166"/>
      <c r="Q672" s="166"/>
      <c r="R672" s="166"/>
      <c r="S672" s="166"/>
      <c r="T672" s="166"/>
      <c r="U672" s="166"/>
      <c r="V672" s="87"/>
      <c r="W672" s="2"/>
      <c r="Y672" s="74"/>
      <c r="AB672" s="74"/>
      <c r="AD672" s="74"/>
    </row>
    <row r="673" spans="1:30" s="1" customFormat="1" hidden="1" outlineLevel="1" x14ac:dyDescent="0.45">
      <c r="A673" s="2"/>
      <c r="B673" s="82"/>
      <c r="C673" s="51"/>
      <c r="D673" s="51"/>
      <c r="E673" s="51"/>
      <c r="F673" s="51"/>
      <c r="G673" s="20"/>
      <c r="H673" s="21"/>
      <c r="I673" s="21"/>
      <c r="J673" s="23"/>
      <c r="K673" s="51"/>
      <c r="L673" s="32"/>
      <c r="M673" s="22"/>
      <c r="N673" s="51"/>
      <c r="O673" s="81"/>
      <c r="P673" s="22"/>
      <c r="Q673" s="51"/>
      <c r="R673" s="51"/>
      <c r="S673" s="51"/>
      <c r="T673" s="51"/>
      <c r="U673" s="51"/>
      <c r="V673" s="51">
        <f t="shared" ref="V673:V689" si="87">SUM(G673:U673)</f>
        <v>0</v>
      </c>
      <c r="W673" s="2"/>
      <c r="Y673" s="74"/>
      <c r="AB673" s="74"/>
      <c r="AD673" s="74"/>
    </row>
    <row r="674" spans="1:30" s="1" customFormat="1" hidden="1" outlineLevel="1" x14ac:dyDescent="0.45">
      <c r="A674" s="2"/>
      <c r="B674" s="82"/>
      <c r="C674" s="51"/>
      <c r="D674" s="51"/>
      <c r="E674" s="51"/>
      <c r="F674" s="51"/>
      <c r="G674" s="20"/>
      <c r="H674" s="21"/>
      <c r="I674" s="21"/>
      <c r="J674" s="23"/>
      <c r="K674" s="51"/>
      <c r="L674" s="32"/>
      <c r="M674" s="22"/>
      <c r="N674" s="51"/>
      <c r="O674" s="81"/>
      <c r="P674" s="22"/>
      <c r="Q674" s="51"/>
      <c r="R674" s="51"/>
      <c r="S674" s="51"/>
      <c r="T674" s="51"/>
      <c r="U674" s="51"/>
      <c r="V674" s="51">
        <f t="shared" si="87"/>
        <v>0</v>
      </c>
      <c r="W674" s="2"/>
      <c r="Y674" s="74"/>
      <c r="AB674" s="74"/>
      <c r="AD674" s="74"/>
    </row>
    <row r="675" spans="1:30" s="1" customFormat="1" hidden="1" outlineLevel="1" x14ac:dyDescent="0.45">
      <c r="A675" s="2"/>
      <c r="B675" s="82"/>
      <c r="C675" s="51"/>
      <c r="D675" s="51"/>
      <c r="E675" s="51"/>
      <c r="F675" s="51"/>
      <c r="G675" s="20"/>
      <c r="H675" s="21"/>
      <c r="I675" s="21"/>
      <c r="J675" s="23"/>
      <c r="K675" s="51"/>
      <c r="L675" s="32"/>
      <c r="M675" s="22"/>
      <c r="N675" s="51"/>
      <c r="O675" s="81"/>
      <c r="P675" s="22"/>
      <c r="Q675" s="51"/>
      <c r="R675" s="51"/>
      <c r="S675" s="51"/>
      <c r="T675" s="51"/>
      <c r="U675" s="51"/>
      <c r="V675" s="51">
        <f t="shared" si="87"/>
        <v>0</v>
      </c>
      <c r="W675" s="2"/>
      <c r="Y675" s="74"/>
      <c r="AB675" s="74"/>
      <c r="AD675" s="74"/>
    </row>
    <row r="676" spans="1:30" s="1" customFormat="1" hidden="1" outlineLevel="1" x14ac:dyDescent="0.45">
      <c r="A676" s="2"/>
      <c r="B676" s="82"/>
      <c r="C676" s="51"/>
      <c r="D676" s="51"/>
      <c r="E676" s="51"/>
      <c r="F676" s="51"/>
      <c r="G676" s="20"/>
      <c r="H676" s="21"/>
      <c r="I676" s="21"/>
      <c r="J676" s="23"/>
      <c r="K676" s="51"/>
      <c r="L676" s="32"/>
      <c r="M676" s="22"/>
      <c r="N676" s="51"/>
      <c r="O676" s="81"/>
      <c r="P676" s="22"/>
      <c r="Q676" s="51"/>
      <c r="R676" s="51"/>
      <c r="S676" s="51"/>
      <c r="T676" s="51"/>
      <c r="U676" s="51"/>
      <c r="V676" s="51">
        <f t="shared" si="87"/>
        <v>0</v>
      </c>
      <c r="W676" s="2"/>
      <c r="Y676" s="74"/>
      <c r="AB676" s="74"/>
      <c r="AD676" s="74"/>
    </row>
    <row r="677" spans="1:30" s="1" customFormat="1" hidden="1" outlineLevel="1" x14ac:dyDescent="0.45">
      <c r="A677" s="2"/>
      <c r="B677" s="51"/>
      <c r="C677" s="51"/>
      <c r="D677" s="51"/>
      <c r="E677" s="51"/>
      <c r="F677" s="51"/>
      <c r="G677" s="51"/>
      <c r="H677" s="80"/>
      <c r="I677" s="51"/>
      <c r="J677" s="51"/>
      <c r="K677" s="51"/>
      <c r="L677" s="51"/>
      <c r="M677" s="51"/>
      <c r="N677" s="81"/>
      <c r="O677" s="51"/>
      <c r="P677" s="51"/>
      <c r="Q677" s="51"/>
      <c r="R677" s="51"/>
      <c r="S677" s="51"/>
      <c r="T677" s="51"/>
      <c r="U677" s="51"/>
      <c r="V677" s="51">
        <f t="shared" si="87"/>
        <v>0</v>
      </c>
      <c r="W677" s="2"/>
      <c r="Y677" s="74"/>
      <c r="AB677" s="74"/>
      <c r="AD677" s="74"/>
    </row>
    <row r="678" spans="1:30" s="1" customFormat="1" hidden="1" outlineLevel="1" x14ac:dyDescent="0.45">
      <c r="A678" s="2"/>
      <c r="B678" s="51"/>
      <c r="C678" s="51"/>
      <c r="D678" s="51"/>
      <c r="E678" s="51"/>
      <c r="F678" s="51"/>
      <c r="G678" s="51"/>
      <c r="H678" s="80"/>
      <c r="I678" s="51"/>
      <c r="J678" s="51"/>
      <c r="K678" s="51"/>
      <c r="L678" s="51"/>
      <c r="M678" s="51"/>
      <c r="N678" s="81"/>
      <c r="O678" s="51"/>
      <c r="P678" s="51"/>
      <c r="Q678" s="51"/>
      <c r="R678" s="51"/>
      <c r="S678" s="51"/>
      <c r="T678" s="51"/>
      <c r="U678" s="51"/>
      <c r="V678" s="51">
        <f t="shared" si="87"/>
        <v>0</v>
      </c>
      <c r="W678" s="2"/>
      <c r="Y678" s="74"/>
      <c r="AB678" s="74"/>
      <c r="AD678" s="74"/>
    </row>
    <row r="679" spans="1:30" s="1" customFormat="1" hidden="1" outlineLevel="1" x14ac:dyDescent="0.45">
      <c r="A679" s="2"/>
      <c r="B679" s="51"/>
      <c r="C679" s="51"/>
      <c r="D679" s="51"/>
      <c r="E679" s="51"/>
      <c r="F679" s="51"/>
      <c r="G679" s="51"/>
      <c r="H679" s="80"/>
      <c r="I679" s="51"/>
      <c r="J679" s="51"/>
      <c r="K679" s="51"/>
      <c r="L679" s="51"/>
      <c r="M679" s="51"/>
      <c r="N679" s="81"/>
      <c r="O679" s="51"/>
      <c r="P679" s="51"/>
      <c r="Q679" s="51"/>
      <c r="R679" s="51"/>
      <c r="S679" s="81"/>
      <c r="T679" s="51"/>
      <c r="U679" s="51"/>
      <c r="V679" s="51">
        <f t="shared" si="87"/>
        <v>0</v>
      </c>
      <c r="W679" s="2"/>
      <c r="Y679" s="74"/>
      <c r="AB679" s="74"/>
      <c r="AD679" s="74"/>
    </row>
    <row r="680" spans="1:30" s="1" customFormat="1" hidden="1" outlineLevel="1" x14ac:dyDescent="0.45">
      <c r="A680" s="2"/>
      <c r="B680" s="51"/>
      <c r="C680" s="51"/>
      <c r="D680" s="51"/>
      <c r="E680" s="51"/>
      <c r="F680" s="51"/>
      <c r="G680" s="51"/>
      <c r="H680" s="80"/>
      <c r="I680" s="51"/>
      <c r="J680" s="51"/>
      <c r="K680" s="51"/>
      <c r="L680" s="51"/>
      <c r="M680" s="51"/>
      <c r="N680" s="81"/>
      <c r="O680" s="51"/>
      <c r="P680" s="51"/>
      <c r="Q680" s="51"/>
      <c r="R680" s="51"/>
      <c r="S680" s="81"/>
      <c r="T680" s="51"/>
      <c r="U680" s="51"/>
      <c r="V680" s="51">
        <f t="shared" si="87"/>
        <v>0</v>
      </c>
      <c r="W680" s="2"/>
      <c r="Y680" s="74"/>
      <c r="AB680" s="74"/>
      <c r="AD680" s="74"/>
    </row>
    <row r="681" spans="1:30" s="1" customFormat="1" hidden="1" outlineLevel="1" x14ac:dyDescent="0.45">
      <c r="A681" s="2"/>
      <c r="B681" s="51"/>
      <c r="C681" s="51"/>
      <c r="D681" s="51"/>
      <c r="E681" s="51"/>
      <c r="F681" s="51"/>
      <c r="G681" s="51"/>
      <c r="H681" s="80"/>
      <c r="I681" s="51"/>
      <c r="J681" s="51"/>
      <c r="K681" s="51"/>
      <c r="L681" s="51"/>
      <c r="M681" s="51"/>
      <c r="N681" s="81"/>
      <c r="O681" s="51"/>
      <c r="P681" s="51"/>
      <c r="Q681" s="51"/>
      <c r="R681" s="51"/>
      <c r="S681" s="81"/>
      <c r="T681" s="51"/>
      <c r="U681" s="51"/>
      <c r="V681" s="51">
        <f t="shared" si="87"/>
        <v>0</v>
      </c>
      <c r="W681" s="2"/>
      <c r="Y681" s="74"/>
      <c r="AB681" s="74"/>
      <c r="AD681" s="74"/>
    </row>
    <row r="682" spans="1:30" s="1" customFormat="1" hidden="1" outlineLevel="1" x14ac:dyDescent="0.45">
      <c r="A682" s="2"/>
      <c r="B682" s="51"/>
      <c r="C682" s="51"/>
      <c r="D682" s="51"/>
      <c r="E682" s="51"/>
      <c r="F682" s="51"/>
      <c r="G682" s="51"/>
      <c r="H682" s="80"/>
      <c r="I682" s="51"/>
      <c r="J682" s="51"/>
      <c r="K682" s="51"/>
      <c r="L682" s="51"/>
      <c r="M682" s="51"/>
      <c r="N682" s="81"/>
      <c r="O682" s="51"/>
      <c r="P682" s="51"/>
      <c r="Q682" s="51"/>
      <c r="R682" s="51"/>
      <c r="S682" s="81"/>
      <c r="T682" s="51"/>
      <c r="U682" s="51"/>
      <c r="V682" s="51">
        <f t="shared" si="87"/>
        <v>0</v>
      </c>
      <c r="W682" s="2"/>
      <c r="Y682" s="74"/>
      <c r="AB682" s="74"/>
      <c r="AD682" s="74"/>
    </row>
    <row r="683" spans="1:30" s="1" customFormat="1" hidden="1" outlineLevel="1" x14ac:dyDescent="0.45">
      <c r="A683" s="2"/>
      <c r="B683" s="51"/>
      <c r="C683" s="51"/>
      <c r="D683" s="51"/>
      <c r="E683" s="51"/>
      <c r="F683" s="51"/>
      <c r="G683" s="51"/>
      <c r="H683" s="80"/>
      <c r="I683" s="51"/>
      <c r="J683" s="51"/>
      <c r="K683" s="51"/>
      <c r="L683" s="51"/>
      <c r="M683" s="51"/>
      <c r="N683" s="81"/>
      <c r="O683" s="51"/>
      <c r="P683" s="51"/>
      <c r="Q683" s="51"/>
      <c r="R683" s="51"/>
      <c r="S683" s="81"/>
      <c r="T683" s="51"/>
      <c r="U683" s="51"/>
      <c r="V683" s="51">
        <f t="shared" si="87"/>
        <v>0</v>
      </c>
      <c r="W683" s="2"/>
      <c r="Y683" s="74"/>
      <c r="AB683" s="74"/>
      <c r="AD683" s="74"/>
    </row>
    <row r="684" spans="1:30" s="1" customFormat="1" hidden="1" outlineLevel="1" x14ac:dyDescent="0.45">
      <c r="A684" s="2"/>
      <c r="B684" s="51"/>
      <c r="C684" s="51"/>
      <c r="D684" s="51"/>
      <c r="E684" s="51"/>
      <c r="F684" s="51"/>
      <c r="G684" s="51"/>
      <c r="H684" s="80"/>
      <c r="I684" s="51"/>
      <c r="J684" s="51"/>
      <c r="K684" s="51"/>
      <c r="L684" s="51"/>
      <c r="M684" s="51"/>
      <c r="N684" s="81"/>
      <c r="O684" s="51"/>
      <c r="P684" s="51"/>
      <c r="Q684" s="51"/>
      <c r="R684" s="51"/>
      <c r="S684" s="81"/>
      <c r="T684" s="51"/>
      <c r="U684" s="51"/>
      <c r="V684" s="51">
        <f t="shared" si="87"/>
        <v>0</v>
      </c>
      <c r="W684" s="2"/>
      <c r="Y684" s="74"/>
      <c r="AB684" s="74"/>
      <c r="AD684" s="74"/>
    </row>
    <row r="685" spans="1:30" s="1" customFormat="1" hidden="1" outlineLevel="1" x14ac:dyDescent="0.45">
      <c r="A685" s="2"/>
      <c r="B685" s="51"/>
      <c r="C685" s="51"/>
      <c r="D685" s="51"/>
      <c r="E685" s="51"/>
      <c r="F685" s="51"/>
      <c r="G685" s="51"/>
      <c r="H685" s="80"/>
      <c r="I685" s="51"/>
      <c r="J685" s="51"/>
      <c r="K685" s="51"/>
      <c r="L685" s="51"/>
      <c r="M685" s="51"/>
      <c r="N685" s="81"/>
      <c r="O685" s="51"/>
      <c r="P685" s="51"/>
      <c r="Q685" s="51"/>
      <c r="R685" s="51"/>
      <c r="S685" s="81"/>
      <c r="T685" s="51"/>
      <c r="U685" s="51"/>
      <c r="V685" s="51">
        <f t="shared" si="87"/>
        <v>0</v>
      </c>
      <c r="W685" s="2"/>
      <c r="Y685" s="74"/>
      <c r="AB685" s="74"/>
      <c r="AD685" s="74"/>
    </row>
    <row r="686" spans="1:30" s="1" customFormat="1" hidden="1" outlineLevel="1" x14ac:dyDescent="0.45">
      <c r="A686" s="2"/>
      <c r="B686" s="51"/>
      <c r="C686" s="51"/>
      <c r="D686" s="51"/>
      <c r="E686" s="51"/>
      <c r="F686" s="51"/>
      <c r="G686" s="51"/>
      <c r="H686" s="80"/>
      <c r="I686" s="51"/>
      <c r="J686" s="51"/>
      <c r="K686" s="51"/>
      <c r="L686" s="51"/>
      <c r="M686" s="51"/>
      <c r="N686" s="81"/>
      <c r="O686" s="51"/>
      <c r="P686" s="51"/>
      <c r="Q686" s="51"/>
      <c r="R686" s="51"/>
      <c r="S686" s="81"/>
      <c r="T686" s="51"/>
      <c r="U686" s="51"/>
      <c r="V686" s="51">
        <f t="shared" si="87"/>
        <v>0</v>
      </c>
      <c r="W686" s="2"/>
      <c r="Y686" s="74"/>
      <c r="AB686" s="74"/>
      <c r="AD686" s="74"/>
    </row>
    <row r="687" spans="1:30" s="1" customFormat="1" hidden="1" outlineLevel="1" x14ac:dyDescent="0.45">
      <c r="A687" s="2"/>
      <c r="B687" s="51"/>
      <c r="C687" s="51"/>
      <c r="D687" s="51"/>
      <c r="E687" s="51"/>
      <c r="F687" s="51"/>
      <c r="G687" s="51"/>
      <c r="H687" s="80"/>
      <c r="I687" s="51"/>
      <c r="J687" s="51"/>
      <c r="K687" s="51"/>
      <c r="L687" s="51"/>
      <c r="M687" s="51"/>
      <c r="N687" s="81"/>
      <c r="O687" s="51"/>
      <c r="P687" s="51"/>
      <c r="Q687" s="51"/>
      <c r="R687" s="51"/>
      <c r="S687" s="81"/>
      <c r="T687" s="51"/>
      <c r="U687" s="51"/>
      <c r="V687" s="51">
        <f t="shared" si="87"/>
        <v>0</v>
      </c>
      <c r="W687" s="2"/>
      <c r="Y687" s="74"/>
      <c r="AB687" s="74"/>
      <c r="AD687" s="74"/>
    </row>
    <row r="688" spans="1:30" s="1" customFormat="1" hidden="1" outlineLevel="1" x14ac:dyDescent="0.45">
      <c r="A688" s="2"/>
      <c r="B688" s="51"/>
      <c r="C688" s="51"/>
      <c r="D688" s="51"/>
      <c r="E688" s="51"/>
      <c r="F688" s="51"/>
      <c r="G688" s="51"/>
      <c r="H688" s="80"/>
      <c r="I688" s="51"/>
      <c r="J688" s="51"/>
      <c r="K688" s="51"/>
      <c r="L688" s="51"/>
      <c r="M688" s="51"/>
      <c r="N688" s="81"/>
      <c r="O688" s="51"/>
      <c r="P688" s="51"/>
      <c r="Q688" s="51"/>
      <c r="R688" s="51"/>
      <c r="S688" s="81"/>
      <c r="T688" s="51"/>
      <c r="U688" s="51"/>
      <c r="V688" s="51">
        <f t="shared" si="87"/>
        <v>0</v>
      </c>
      <c r="W688" s="2"/>
      <c r="Y688" s="74"/>
      <c r="AB688" s="74"/>
      <c r="AD688" s="74"/>
    </row>
    <row r="689" spans="1:39" s="1" customFormat="1" hidden="1" outlineLevel="1" x14ac:dyDescent="0.45">
      <c r="A689" s="2"/>
      <c r="B689" s="51"/>
      <c r="C689" s="51"/>
      <c r="D689" s="51"/>
      <c r="E689" s="51"/>
      <c r="F689" s="51"/>
      <c r="G689" s="51"/>
      <c r="H689" s="80"/>
      <c r="I689" s="51"/>
      <c r="J689" s="51"/>
      <c r="K689" s="51"/>
      <c r="L689" s="51"/>
      <c r="M689" s="51"/>
      <c r="N689" s="81"/>
      <c r="O689" s="51"/>
      <c r="P689" s="51"/>
      <c r="Q689" s="51"/>
      <c r="R689" s="51"/>
      <c r="S689" s="81"/>
      <c r="T689" s="51"/>
      <c r="U689" s="51"/>
      <c r="V689" s="51">
        <f t="shared" si="87"/>
        <v>0</v>
      </c>
      <c r="W689" s="2"/>
      <c r="Y689" s="74"/>
      <c r="AB689" s="74"/>
      <c r="AD689" s="74"/>
    </row>
    <row r="690" spans="1:39" ht="15.75" hidden="1" customHeight="1" outlineLevel="1" thickBot="1" x14ac:dyDescent="0.5">
      <c r="A690" s="2"/>
      <c r="B690" s="75"/>
      <c r="C690" s="75"/>
      <c r="D690" s="76"/>
      <c r="E690" s="76"/>
      <c r="F690" s="76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2"/>
      <c r="R690" s="77"/>
      <c r="S690" s="77"/>
      <c r="T690" s="77"/>
      <c r="U690" s="2"/>
      <c r="V690" s="77"/>
      <c r="W690" s="78"/>
      <c r="Y690" s="74"/>
      <c r="Z690" s="6"/>
      <c r="AA690" s="13"/>
      <c r="AB690" s="74"/>
      <c r="AC690" s="6"/>
      <c r="AD690" s="74"/>
      <c r="AE690" s="6"/>
      <c r="AF690" s="6"/>
      <c r="AG690" s="6"/>
      <c r="AH690" s="6"/>
      <c r="AI690" s="6"/>
      <c r="AM690" s="14"/>
    </row>
    <row r="691" spans="1:39" s="1" customFormat="1" ht="12.9" thickBot="1" x14ac:dyDescent="0.45">
      <c r="A691" s="145"/>
      <c r="B691" s="134" t="s">
        <v>36</v>
      </c>
      <c r="C691" s="134"/>
      <c r="D691" s="137"/>
      <c r="E691" s="90" t="s">
        <v>15</v>
      </c>
      <c r="F691" s="110">
        <f>F9+F40+F71+F102+F133+F164+F195+F226+F257+F288+F319+F350+F381+F412+F443+F474+F505+F536+F567+F598+F629+F660</f>
        <v>2.75</v>
      </c>
      <c r="G691" s="72">
        <f t="shared" ref="G691:V692" si="88">G9+G40+G71+G102+G133+G164+G195+G226+G257+G288+G319+G350+G381+G412+G443+G474+G505+G536+G567+G598+G629+G660</f>
        <v>164</v>
      </c>
      <c r="H691" s="72">
        <f t="shared" si="88"/>
        <v>604</v>
      </c>
      <c r="I691" s="72">
        <f t="shared" si="88"/>
        <v>0</v>
      </c>
      <c r="J691" s="72">
        <f t="shared" si="88"/>
        <v>27</v>
      </c>
      <c r="K691" s="72">
        <f t="shared" si="88"/>
        <v>0</v>
      </c>
      <c r="L691" s="72">
        <f t="shared" si="88"/>
        <v>327</v>
      </c>
      <c r="M691" s="72">
        <f t="shared" si="88"/>
        <v>8</v>
      </c>
      <c r="N691" s="72">
        <f t="shared" si="88"/>
        <v>0</v>
      </c>
      <c r="O691" s="72">
        <f t="shared" si="88"/>
        <v>48.3</v>
      </c>
      <c r="P691" s="72">
        <f t="shared" si="88"/>
        <v>42.5</v>
      </c>
      <c r="Q691" s="72">
        <f t="shared" si="88"/>
        <v>0</v>
      </c>
      <c r="R691" s="72">
        <f t="shared" si="88"/>
        <v>0</v>
      </c>
      <c r="S691" s="72">
        <f t="shared" si="88"/>
        <v>0</v>
      </c>
      <c r="T691" s="72">
        <f t="shared" si="88"/>
        <v>0</v>
      </c>
      <c r="U691" s="72">
        <f t="shared" si="88"/>
        <v>0</v>
      </c>
      <c r="V691" s="72">
        <f t="shared" si="88"/>
        <v>1220.8</v>
      </c>
      <c r="W691" s="149">
        <f>V691+V692</f>
        <v>2898.3</v>
      </c>
      <c r="Y691" s="74"/>
    </row>
    <row r="692" spans="1:39" s="1" customFormat="1" ht="12.9" thickBot="1" x14ac:dyDescent="0.45">
      <c r="A692" s="146"/>
      <c r="B692" s="135"/>
      <c r="C692" s="135"/>
      <c r="D692" s="138"/>
      <c r="E692" s="91" t="s">
        <v>33</v>
      </c>
      <c r="F692" s="110">
        <f>F10+F41+F72+F103+F134+F165+F196+F227+F258+F289+F320+F351+F382+F413+F444+F475+F506+F537+F568+F599+F630+F661</f>
        <v>0</v>
      </c>
      <c r="G692" s="73">
        <f t="shared" si="88"/>
        <v>300</v>
      </c>
      <c r="H692" s="79">
        <f t="shared" si="88"/>
        <v>1188</v>
      </c>
      <c r="I692" s="79">
        <f t="shared" si="88"/>
        <v>0</v>
      </c>
      <c r="J692" s="73">
        <f t="shared" si="88"/>
        <v>28.500000000000004</v>
      </c>
      <c r="K692" s="73">
        <f t="shared" si="88"/>
        <v>0</v>
      </c>
      <c r="L692" s="73">
        <f t="shared" si="88"/>
        <v>0</v>
      </c>
      <c r="M692" s="73">
        <f t="shared" si="88"/>
        <v>22</v>
      </c>
      <c r="N692" s="73">
        <f t="shared" si="88"/>
        <v>0</v>
      </c>
      <c r="O692" s="73">
        <f t="shared" si="88"/>
        <v>27.999999999999996</v>
      </c>
      <c r="P692" s="73">
        <f t="shared" si="88"/>
        <v>111</v>
      </c>
      <c r="Q692" s="73">
        <f t="shared" si="88"/>
        <v>0</v>
      </c>
      <c r="R692" s="73">
        <f t="shared" si="88"/>
        <v>0</v>
      </c>
      <c r="S692" s="73">
        <f t="shared" si="88"/>
        <v>0</v>
      </c>
      <c r="T692" s="73">
        <f t="shared" si="88"/>
        <v>0</v>
      </c>
      <c r="U692" s="73">
        <f t="shared" si="88"/>
        <v>0</v>
      </c>
      <c r="V692" s="73">
        <f t="shared" si="88"/>
        <v>1677.5</v>
      </c>
      <c r="W692" s="150"/>
      <c r="Y692" s="74"/>
      <c r="Z692" s="74"/>
    </row>
    <row r="693" spans="1:39" s="1" customFormat="1" ht="12.9" thickBot="1" x14ac:dyDescent="0.5">
      <c r="A693" s="2"/>
      <c r="B693" s="51"/>
      <c r="C693" s="51"/>
      <c r="D693" s="2"/>
      <c r="E693" s="2"/>
      <c r="F693" s="2"/>
      <c r="G693" s="51"/>
      <c r="H693" s="80"/>
      <c r="I693" s="2"/>
      <c r="J693" s="2"/>
      <c r="K693" s="2"/>
      <c r="L693" s="2"/>
      <c r="M693" s="81"/>
      <c r="N693" s="2"/>
      <c r="O693" s="81"/>
      <c r="P693" s="51"/>
      <c r="Q693" s="2"/>
      <c r="R693" s="2"/>
      <c r="S693" s="2"/>
      <c r="T693" s="2"/>
      <c r="U693" s="2"/>
      <c r="V693" s="51"/>
      <c r="W693" s="2"/>
    </row>
    <row r="694" spans="1:39" s="1" customFormat="1" x14ac:dyDescent="0.4">
      <c r="A694" s="145">
        <v>33</v>
      </c>
      <c r="B694" s="134" t="s">
        <v>38</v>
      </c>
      <c r="C694" s="134" t="s">
        <v>7</v>
      </c>
      <c r="D694" s="137"/>
      <c r="E694" s="137" t="s">
        <v>35</v>
      </c>
      <c r="F694" s="92"/>
      <c r="G694" s="72">
        <f>SUM(G696:G697)</f>
        <v>0</v>
      </c>
      <c r="H694" s="72">
        <f>SUM(H696:H697)</f>
        <v>0</v>
      </c>
      <c r="I694" s="72">
        <f t="shared" ref="I694:U694" si="89">SUM(I696:I697)</f>
        <v>0</v>
      </c>
      <c r="J694" s="72">
        <f t="shared" si="89"/>
        <v>0</v>
      </c>
      <c r="K694" s="72">
        <f t="shared" si="89"/>
        <v>0</v>
      </c>
      <c r="L694" s="72">
        <f t="shared" si="89"/>
        <v>0</v>
      </c>
      <c r="M694" s="72">
        <f t="shared" si="89"/>
        <v>0</v>
      </c>
      <c r="N694" s="72">
        <f t="shared" si="89"/>
        <v>0</v>
      </c>
      <c r="O694" s="72">
        <f t="shared" si="89"/>
        <v>0</v>
      </c>
      <c r="P694" s="72">
        <f t="shared" si="89"/>
        <v>0</v>
      </c>
      <c r="Q694" s="72">
        <f t="shared" si="89"/>
        <v>0</v>
      </c>
      <c r="R694" s="72">
        <f t="shared" si="89"/>
        <v>0</v>
      </c>
      <c r="S694" s="72">
        <f t="shared" si="89"/>
        <v>0</v>
      </c>
      <c r="T694" s="72">
        <f t="shared" si="89"/>
        <v>0</v>
      </c>
      <c r="U694" s="72">
        <f t="shared" si="89"/>
        <v>0</v>
      </c>
      <c r="V694" s="72">
        <f>SUM(V696:V697)</f>
        <v>0</v>
      </c>
      <c r="W694" s="149">
        <f>V694+V695</f>
        <v>0</v>
      </c>
    </row>
    <row r="695" spans="1:39" s="1" customFormat="1" ht="12.9" collapsed="1" thickBot="1" x14ac:dyDescent="0.45">
      <c r="A695" s="146"/>
      <c r="B695" s="135"/>
      <c r="C695" s="135"/>
      <c r="D695" s="138"/>
      <c r="E695" s="138"/>
      <c r="F695" s="95">
        <v>1</v>
      </c>
      <c r="G695" s="73">
        <f>SUM(G699:G706)</f>
        <v>0</v>
      </c>
      <c r="H695" s="79">
        <f t="shared" ref="H695:V695" si="90">SUM(H699:H706)</f>
        <v>0</v>
      </c>
      <c r="I695" s="79">
        <f t="shared" si="90"/>
        <v>0</v>
      </c>
      <c r="J695" s="73">
        <f t="shared" si="90"/>
        <v>0</v>
      </c>
      <c r="K695" s="73">
        <f t="shared" si="90"/>
        <v>0</v>
      </c>
      <c r="L695" s="73">
        <f t="shared" si="90"/>
        <v>0</v>
      </c>
      <c r="M695" s="73">
        <f t="shared" si="90"/>
        <v>0</v>
      </c>
      <c r="N695" s="73">
        <f t="shared" si="90"/>
        <v>0</v>
      </c>
      <c r="O695" s="73">
        <f t="shared" si="90"/>
        <v>0</v>
      </c>
      <c r="P695" s="73">
        <f t="shared" si="90"/>
        <v>0</v>
      </c>
      <c r="Q695" s="73">
        <f t="shared" si="90"/>
        <v>0</v>
      </c>
      <c r="R695" s="73">
        <f t="shared" si="90"/>
        <v>0</v>
      </c>
      <c r="S695" s="73">
        <f t="shared" si="90"/>
        <v>0</v>
      </c>
      <c r="T695" s="73">
        <f t="shared" si="90"/>
        <v>0</v>
      </c>
      <c r="U695" s="73">
        <f t="shared" si="90"/>
        <v>0</v>
      </c>
      <c r="V695" s="73">
        <f t="shared" si="90"/>
        <v>0</v>
      </c>
      <c r="W695" s="150"/>
      <c r="Y695" s="74"/>
      <c r="Z695" s="74"/>
    </row>
    <row r="696" spans="1:39" s="1" customFormat="1" hidden="1" outlineLevel="1" x14ac:dyDescent="0.45">
      <c r="B696" s="50"/>
      <c r="C696" s="43"/>
      <c r="G696" s="43"/>
      <c r="H696" s="44"/>
      <c r="M696" s="43"/>
      <c r="P696" s="43"/>
      <c r="V696" s="43">
        <f>SUM(G696:U696)</f>
        <v>0</v>
      </c>
    </row>
    <row r="697" spans="1:39" s="1" customFormat="1" hidden="1" outlineLevel="1" x14ac:dyDescent="0.45">
      <c r="B697" s="43"/>
      <c r="C697" s="43"/>
      <c r="G697" s="43"/>
      <c r="H697" s="44"/>
      <c r="M697" s="43"/>
      <c r="P697" s="43"/>
      <c r="V697" s="43">
        <f>SUM(G697:U697)</f>
        <v>0</v>
      </c>
    </row>
    <row r="698" spans="1:39" s="1" customFormat="1" ht="12.75" hidden="1" customHeight="1" outlineLevel="1" x14ac:dyDescent="0.45">
      <c r="B698" s="171" t="s">
        <v>29</v>
      </c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88"/>
      <c r="W698" s="88"/>
    </row>
    <row r="699" spans="1:39" s="1" customFormat="1" hidden="1" outlineLevel="1" x14ac:dyDescent="0.45">
      <c r="B699" s="43"/>
      <c r="C699" s="43"/>
      <c r="G699" s="43"/>
      <c r="H699" s="44"/>
      <c r="M699" s="43"/>
      <c r="P699" s="43"/>
      <c r="V699" s="43">
        <f>SUM(G699:U699)</f>
        <v>0</v>
      </c>
    </row>
    <row r="700" spans="1:39" s="1" customFormat="1" hidden="1" outlineLevel="1" x14ac:dyDescent="0.45">
      <c r="B700" s="43"/>
      <c r="C700" s="43"/>
      <c r="G700" s="43"/>
      <c r="H700" s="44"/>
      <c r="M700" s="43"/>
      <c r="P700" s="43"/>
      <c r="V700" s="43">
        <f t="shared" ref="V700:V703" si="91">SUM(G700:U700)</f>
        <v>0</v>
      </c>
    </row>
    <row r="701" spans="1:39" s="1" customFormat="1" hidden="1" outlineLevel="1" x14ac:dyDescent="0.45">
      <c r="B701" s="43"/>
      <c r="C701" s="43"/>
      <c r="G701" s="43"/>
      <c r="H701" s="44"/>
      <c r="M701" s="43"/>
      <c r="P701" s="43"/>
      <c r="V701" s="43">
        <f t="shared" si="91"/>
        <v>0</v>
      </c>
    </row>
    <row r="702" spans="1:39" s="1" customFormat="1" hidden="1" outlineLevel="1" x14ac:dyDescent="0.45">
      <c r="B702" s="43"/>
      <c r="C702" s="43"/>
      <c r="G702" s="43"/>
      <c r="H702" s="44"/>
      <c r="M702" s="43"/>
      <c r="P702" s="43"/>
      <c r="V702" s="43">
        <f t="shared" si="91"/>
        <v>0</v>
      </c>
    </row>
    <row r="703" spans="1:39" s="1" customFormat="1" hidden="1" outlineLevel="1" x14ac:dyDescent="0.45">
      <c r="B703" s="43"/>
      <c r="C703" s="43"/>
      <c r="G703" s="43"/>
      <c r="H703" s="44"/>
      <c r="M703" s="43"/>
      <c r="P703" s="43"/>
      <c r="V703" s="43">
        <f t="shared" si="91"/>
        <v>0</v>
      </c>
    </row>
    <row r="704" spans="1:39" s="1" customFormat="1" hidden="1" outlineLevel="1" x14ac:dyDescent="0.45">
      <c r="B704" s="43"/>
      <c r="C704" s="43"/>
      <c r="G704" s="43"/>
      <c r="H704" s="44"/>
      <c r="M704" s="43"/>
      <c r="P704" s="43"/>
      <c r="V704" s="43">
        <f>SUM(G704:U704)</f>
        <v>0</v>
      </c>
    </row>
    <row r="705" spans="1:26" s="1" customFormat="1" hidden="1" outlineLevel="1" x14ac:dyDescent="0.45">
      <c r="B705" s="43"/>
      <c r="C705" s="43"/>
      <c r="G705" s="43"/>
      <c r="H705" s="44"/>
      <c r="M705" s="43"/>
      <c r="P705" s="43"/>
      <c r="V705" s="43">
        <f>SUM(G705:U705)</f>
        <v>0</v>
      </c>
    </row>
    <row r="706" spans="1:26" s="1" customFormat="1" ht="12.9" hidden="1" outlineLevel="1" thickBot="1" x14ac:dyDescent="0.5">
      <c r="B706" s="43"/>
      <c r="C706" s="43"/>
      <c r="G706" s="43"/>
      <c r="H706" s="44"/>
      <c r="M706" s="43"/>
      <c r="P706" s="43"/>
      <c r="V706" s="43">
        <f>SUM(G706:U706)</f>
        <v>0</v>
      </c>
    </row>
    <row r="707" spans="1:26" s="1" customFormat="1" x14ac:dyDescent="0.4">
      <c r="A707" s="145">
        <v>34</v>
      </c>
      <c r="B707" s="134" t="s">
        <v>62</v>
      </c>
      <c r="C707" s="134" t="s">
        <v>7</v>
      </c>
      <c r="D707" s="137" t="s">
        <v>34</v>
      </c>
      <c r="E707" s="137" t="s">
        <v>35</v>
      </c>
      <c r="F707" s="96">
        <v>1</v>
      </c>
      <c r="G707" s="72">
        <f>SUM(G709:G710)</f>
        <v>0</v>
      </c>
      <c r="H707" s="72">
        <f t="shared" ref="H707:U707" si="92">SUM(H709:H710)</f>
        <v>0</v>
      </c>
      <c r="I707" s="72">
        <f t="shared" si="92"/>
        <v>0</v>
      </c>
      <c r="J707" s="72">
        <f t="shared" si="92"/>
        <v>0</v>
      </c>
      <c r="K707" s="72">
        <f t="shared" si="92"/>
        <v>0</v>
      </c>
      <c r="L707" s="72">
        <f t="shared" si="92"/>
        <v>69</v>
      </c>
      <c r="M707" s="72">
        <f t="shared" si="92"/>
        <v>0</v>
      </c>
      <c r="N707" s="72">
        <f t="shared" si="92"/>
        <v>0</v>
      </c>
      <c r="O707" s="72">
        <f t="shared" si="92"/>
        <v>0</v>
      </c>
      <c r="P707" s="72">
        <f t="shared" si="92"/>
        <v>0</v>
      </c>
      <c r="Q707" s="72">
        <f t="shared" si="92"/>
        <v>0</v>
      </c>
      <c r="R707" s="72">
        <f t="shared" si="92"/>
        <v>0</v>
      </c>
      <c r="S707" s="72">
        <f t="shared" si="92"/>
        <v>0</v>
      </c>
      <c r="T707" s="72">
        <f t="shared" si="92"/>
        <v>0</v>
      </c>
      <c r="U707" s="72">
        <f t="shared" si="92"/>
        <v>0</v>
      </c>
      <c r="V707" s="72">
        <f>SUM(V709:V710)</f>
        <v>69</v>
      </c>
      <c r="W707" s="149">
        <f>V707+V708</f>
        <v>144.44999999999999</v>
      </c>
    </row>
    <row r="708" spans="1:26" s="1" customFormat="1" ht="12.9" collapsed="1" thickBot="1" x14ac:dyDescent="0.45">
      <c r="A708" s="146"/>
      <c r="B708" s="135"/>
      <c r="C708" s="135"/>
      <c r="D708" s="138"/>
      <c r="E708" s="138"/>
      <c r="F708" s="93"/>
      <c r="G708" s="73">
        <f>SUM(G712:G715)</f>
        <v>34</v>
      </c>
      <c r="H708" s="79">
        <f t="shared" ref="H708:U708" si="93">SUM(H712:H715)</f>
        <v>32</v>
      </c>
      <c r="I708" s="79">
        <f t="shared" si="93"/>
        <v>0</v>
      </c>
      <c r="J708" s="73">
        <f t="shared" si="93"/>
        <v>2.1</v>
      </c>
      <c r="K708" s="73">
        <f t="shared" si="93"/>
        <v>0</v>
      </c>
      <c r="L708" s="73">
        <f t="shared" si="93"/>
        <v>0</v>
      </c>
      <c r="M708" s="73">
        <f t="shared" si="93"/>
        <v>0</v>
      </c>
      <c r="N708" s="73">
        <f t="shared" si="93"/>
        <v>0</v>
      </c>
      <c r="O708" s="73">
        <f t="shared" si="93"/>
        <v>7.35</v>
      </c>
      <c r="P708" s="73">
        <f t="shared" si="93"/>
        <v>0</v>
      </c>
      <c r="Q708" s="73">
        <f t="shared" si="93"/>
        <v>0</v>
      </c>
      <c r="R708" s="73">
        <f t="shared" si="93"/>
        <v>0</v>
      </c>
      <c r="S708" s="73">
        <f t="shared" si="93"/>
        <v>0</v>
      </c>
      <c r="T708" s="73">
        <f t="shared" si="93"/>
        <v>0</v>
      </c>
      <c r="U708" s="73">
        <f t="shared" si="93"/>
        <v>0</v>
      </c>
      <c r="V708" s="73">
        <f>SUM(V712:V715)</f>
        <v>75.449999999999989</v>
      </c>
      <c r="W708" s="150"/>
      <c r="Y708" s="74"/>
      <c r="Z708" s="74"/>
    </row>
    <row r="709" spans="1:26" s="1" customFormat="1" ht="12.75" hidden="1" customHeight="1" outlineLevel="1" x14ac:dyDescent="0.45">
      <c r="A709" s="121" t="s">
        <v>223</v>
      </c>
      <c r="B709" s="75" t="s">
        <v>177</v>
      </c>
      <c r="C709" s="75">
        <v>3</v>
      </c>
      <c r="D709" s="76"/>
      <c r="E709" s="76"/>
      <c r="F709" s="76"/>
      <c r="G709" s="77"/>
      <c r="H709" s="77"/>
      <c r="I709" s="77"/>
      <c r="J709" s="77"/>
      <c r="K709" s="77"/>
      <c r="L709" s="77">
        <v>69</v>
      </c>
      <c r="M709" s="77"/>
      <c r="N709" s="77"/>
      <c r="O709" s="77"/>
      <c r="P709" s="77"/>
      <c r="Q709" s="77"/>
      <c r="R709" s="77"/>
      <c r="S709" s="77"/>
      <c r="T709" s="77"/>
      <c r="U709" s="77"/>
      <c r="V709" s="51">
        <f>SUM(G709:U709)</f>
        <v>69</v>
      </c>
      <c r="W709" s="78"/>
    </row>
    <row r="710" spans="1:26" s="1" customFormat="1" ht="12.75" hidden="1" customHeight="1" outlineLevel="1" x14ac:dyDescent="0.45">
      <c r="A710" s="87"/>
      <c r="B710" s="75"/>
      <c r="C710" s="75"/>
      <c r="D710" s="76"/>
      <c r="E710" s="76"/>
      <c r="F710" s="76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43">
        <f>SUM(G710:U710)</f>
        <v>0</v>
      </c>
      <c r="W710" s="78"/>
    </row>
    <row r="711" spans="1:26" s="1" customFormat="1" ht="12.75" hidden="1" customHeight="1" outlineLevel="1" x14ac:dyDescent="0.45">
      <c r="B711" s="171" t="s">
        <v>29</v>
      </c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88"/>
      <c r="W711" s="88"/>
    </row>
    <row r="712" spans="1:26" s="1" customFormat="1" ht="12.75" hidden="1" customHeight="1" outlineLevel="1" x14ac:dyDescent="0.45">
      <c r="A712" s="1" t="s">
        <v>223</v>
      </c>
      <c r="B712" s="43" t="s">
        <v>196</v>
      </c>
      <c r="C712" s="43">
        <v>1</v>
      </c>
      <c r="D712" s="43"/>
      <c r="E712" s="43"/>
      <c r="F712" s="43"/>
      <c r="G712" s="43">
        <v>34</v>
      </c>
      <c r="H712" s="43">
        <v>32</v>
      </c>
      <c r="I712" s="43"/>
      <c r="J712" s="43">
        <v>2.1</v>
      </c>
      <c r="K712" s="43"/>
      <c r="L712" s="43"/>
      <c r="M712" s="43"/>
      <c r="N712" s="43"/>
      <c r="O712" s="43">
        <v>7.35</v>
      </c>
      <c r="P712" s="43"/>
      <c r="Q712" s="43"/>
      <c r="R712" s="43"/>
      <c r="S712" s="43"/>
      <c r="T712" s="43"/>
      <c r="U712" s="43"/>
      <c r="V712" s="43">
        <f>SUM(G712:U712)</f>
        <v>75.449999999999989</v>
      </c>
    </row>
    <row r="713" spans="1:26" s="1" customFormat="1" ht="12.75" hidden="1" customHeight="1" outlineLevel="1" x14ac:dyDescent="0.45"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>
        <f>SUM(G713:U713)</f>
        <v>0</v>
      </c>
    </row>
    <row r="714" spans="1:26" s="1" customFormat="1" ht="12.75" hidden="1" customHeight="1" outlineLevel="1" x14ac:dyDescent="0.45">
      <c r="B714" s="43"/>
      <c r="C714" s="43"/>
      <c r="G714" s="43"/>
      <c r="H714" s="6"/>
      <c r="J714" s="7"/>
      <c r="M714" s="43"/>
      <c r="O714" s="43"/>
      <c r="P714" s="43"/>
      <c r="V714" s="43">
        <f>SUM(G714:U714)</f>
        <v>0</v>
      </c>
    </row>
    <row r="715" spans="1:26" s="1" customFormat="1" ht="12.9" thickBot="1" x14ac:dyDescent="0.5">
      <c r="A715" s="2"/>
      <c r="B715" s="51"/>
      <c r="C715" s="51"/>
      <c r="D715" s="2"/>
      <c r="E715" s="2"/>
      <c r="F715" s="2"/>
      <c r="G715" s="51"/>
      <c r="H715" s="80"/>
      <c r="I715" s="2"/>
      <c r="J715" s="2"/>
      <c r="K715" s="2"/>
      <c r="L715" s="2"/>
      <c r="M715" s="81"/>
      <c r="N715" s="2"/>
      <c r="O715" s="81"/>
      <c r="P715" s="51"/>
      <c r="Q715" s="2"/>
      <c r="R715" s="2"/>
      <c r="S715" s="2"/>
      <c r="T715" s="2"/>
      <c r="U715" s="2"/>
      <c r="V715" s="51"/>
      <c r="W715" s="2"/>
    </row>
    <row r="716" spans="1:26" s="1" customFormat="1" x14ac:dyDescent="0.4">
      <c r="A716" s="145"/>
      <c r="B716" s="128" t="s">
        <v>2</v>
      </c>
      <c r="C716" s="134"/>
      <c r="D716" s="137"/>
      <c r="E716" s="90" t="s">
        <v>15</v>
      </c>
      <c r="F716" s="92">
        <f>F691</f>
        <v>2.75</v>
      </c>
      <c r="G716" s="72">
        <f>G691+G694+G707</f>
        <v>164</v>
      </c>
      <c r="H716" s="72">
        <f t="shared" ref="H716:U716" si="94">H691+H694+H707</f>
        <v>604</v>
      </c>
      <c r="I716" s="72">
        <f t="shared" si="94"/>
        <v>0</v>
      </c>
      <c r="J716" s="72">
        <f t="shared" si="94"/>
        <v>27</v>
      </c>
      <c r="K716" s="72">
        <f t="shared" si="94"/>
        <v>0</v>
      </c>
      <c r="L716" s="72">
        <f t="shared" si="94"/>
        <v>396</v>
      </c>
      <c r="M716" s="72">
        <f t="shared" si="94"/>
        <v>8</v>
      </c>
      <c r="N716" s="72">
        <f t="shared" si="94"/>
        <v>0</v>
      </c>
      <c r="O716" s="72">
        <f t="shared" si="94"/>
        <v>48.3</v>
      </c>
      <c r="P716" s="72">
        <f t="shared" si="94"/>
        <v>42.5</v>
      </c>
      <c r="Q716" s="72">
        <f t="shared" si="94"/>
        <v>0</v>
      </c>
      <c r="R716" s="72">
        <f t="shared" si="94"/>
        <v>0</v>
      </c>
      <c r="S716" s="72">
        <f t="shared" si="94"/>
        <v>0</v>
      </c>
      <c r="T716" s="72">
        <f t="shared" si="94"/>
        <v>0</v>
      </c>
      <c r="U716" s="72">
        <f t="shared" si="94"/>
        <v>0</v>
      </c>
      <c r="V716" s="72">
        <f>V691+V707+V694</f>
        <v>1289.8</v>
      </c>
      <c r="W716" s="149">
        <f>V716+V717</f>
        <v>3042.75</v>
      </c>
    </row>
    <row r="717" spans="1:26" s="1" customFormat="1" ht="12.9" thickBot="1" x14ac:dyDescent="0.45">
      <c r="A717" s="146"/>
      <c r="B717" s="129"/>
      <c r="C717" s="135"/>
      <c r="D717" s="138"/>
      <c r="E717" s="91" t="s">
        <v>33</v>
      </c>
      <c r="F717" s="93">
        <f>F692</f>
        <v>0</v>
      </c>
      <c r="G717" s="73">
        <f>G692+G695+G708</f>
        <v>334</v>
      </c>
      <c r="H717" s="79">
        <f t="shared" ref="H717:U717" si="95">H692+H695+H708</f>
        <v>1220</v>
      </c>
      <c r="I717" s="79">
        <f t="shared" si="95"/>
        <v>0</v>
      </c>
      <c r="J717" s="73">
        <f t="shared" si="95"/>
        <v>30.600000000000005</v>
      </c>
      <c r="K717" s="73">
        <f t="shared" si="95"/>
        <v>0</v>
      </c>
      <c r="L717" s="73">
        <f t="shared" si="95"/>
        <v>0</v>
      </c>
      <c r="M717" s="73">
        <f t="shared" si="95"/>
        <v>22</v>
      </c>
      <c r="N717" s="73">
        <f t="shared" si="95"/>
        <v>0</v>
      </c>
      <c r="O717" s="73">
        <f t="shared" si="95"/>
        <v>35.349999999999994</v>
      </c>
      <c r="P717" s="73">
        <f t="shared" si="95"/>
        <v>111</v>
      </c>
      <c r="Q717" s="73">
        <f t="shared" si="95"/>
        <v>0</v>
      </c>
      <c r="R717" s="73">
        <f t="shared" si="95"/>
        <v>0</v>
      </c>
      <c r="S717" s="73">
        <f t="shared" si="95"/>
        <v>0</v>
      </c>
      <c r="T717" s="73">
        <f t="shared" si="95"/>
        <v>0</v>
      </c>
      <c r="U717" s="73">
        <f t="shared" si="95"/>
        <v>0</v>
      </c>
      <c r="V717" s="73">
        <f>V692+V708+V695</f>
        <v>1752.95</v>
      </c>
      <c r="W717" s="150"/>
      <c r="Y717" s="74"/>
      <c r="Z717" s="74"/>
    </row>
    <row r="718" spans="1:26" s="1" customFormat="1" x14ac:dyDescent="0.45">
      <c r="A718" s="2"/>
      <c r="B718" s="51" t="s">
        <v>2</v>
      </c>
      <c r="C718" s="51"/>
      <c r="D718" s="2"/>
      <c r="E718" s="2"/>
      <c r="F718" s="51">
        <f>F716+F717</f>
        <v>2.75</v>
      </c>
      <c r="G718" s="51">
        <f>G716+G717</f>
        <v>498</v>
      </c>
      <c r="H718" s="51">
        <f t="shared" ref="H718:V718" si="96">H716+H717</f>
        <v>1824</v>
      </c>
      <c r="I718" s="51">
        <f t="shared" si="96"/>
        <v>0</v>
      </c>
      <c r="J718" s="51">
        <f t="shared" si="96"/>
        <v>57.600000000000009</v>
      </c>
      <c r="K718" s="51">
        <f t="shared" si="96"/>
        <v>0</v>
      </c>
      <c r="L718" s="51">
        <f t="shared" si="96"/>
        <v>396</v>
      </c>
      <c r="M718" s="51">
        <f t="shared" si="96"/>
        <v>30</v>
      </c>
      <c r="N718" s="51">
        <f t="shared" si="96"/>
        <v>0</v>
      </c>
      <c r="O718" s="51">
        <f t="shared" si="96"/>
        <v>83.649999999999991</v>
      </c>
      <c r="P718" s="51">
        <f t="shared" si="96"/>
        <v>153.5</v>
      </c>
      <c r="Q718" s="51">
        <f t="shared" si="96"/>
        <v>0</v>
      </c>
      <c r="R718" s="51">
        <f t="shared" si="96"/>
        <v>0</v>
      </c>
      <c r="S718" s="51">
        <f t="shared" si="96"/>
        <v>0</v>
      </c>
      <c r="T718" s="51">
        <f t="shared" si="96"/>
        <v>0</v>
      </c>
      <c r="U718" s="51">
        <f t="shared" si="96"/>
        <v>0</v>
      </c>
      <c r="V718" s="51">
        <f t="shared" si="96"/>
        <v>3042.75</v>
      </c>
      <c r="W718" s="2"/>
      <c r="Y718" s="74"/>
    </row>
    <row r="719" spans="1:26" s="1" customFormat="1" x14ac:dyDescent="0.45">
      <c r="A719" s="2"/>
      <c r="B719" s="51"/>
      <c r="C719" s="51"/>
      <c r="D719" s="2"/>
      <c r="E719" s="2"/>
      <c r="F719" s="108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2"/>
    </row>
    <row r="720" spans="1:26" s="1" customFormat="1" hidden="1" x14ac:dyDescent="0.45">
      <c r="A720" s="2"/>
      <c r="B720" s="51"/>
      <c r="C720" s="51"/>
      <c r="D720" s="2"/>
      <c r="E720" s="2"/>
      <c r="F720" s="2"/>
      <c r="G720" s="51"/>
      <c r="H720" s="80"/>
      <c r="I720" s="2"/>
      <c r="J720" s="2"/>
      <c r="K720" s="2"/>
      <c r="L720" s="2"/>
      <c r="M720" s="81"/>
      <c r="N720" s="2"/>
      <c r="O720" s="81"/>
      <c r="P720" s="51"/>
      <c r="Q720" s="2"/>
      <c r="R720" s="2">
        <f>251-'Распределение РФ'!R718</f>
        <v>251</v>
      </c>
      <c r="S720" s="2">
        <f>570-S717</f>
        <v>570</v>
      </c>
      <c r="T720" s="2"/>
      <c r="U720" s="2"/>
      <c r="V720" s="51"/>
      <c r="W720" s="2"/>
    </row>
    <row r="721" spans="1:39" s="1" customFormat="1" x14ac:dyDescent="0.45">
      <c r="A721" s="2"/>
      <c r="B721" s="51"/>
      <c r="C721" s="51"/>
      <c r="D721" s="2"/>
      <c r="E721" s="2"/>
      <c r="F721" s="2"/>
      <c r="G721" s="51"/>
      <c r="H721" s="80"/>
      <c r="I721" s="2"/>
      <c r="J721" s="2"/>
      <c r="K721" s="2"/>
      <c r="L721" s="2"/>
      <c r="M721" s="81"/>
      <c r="N721" s="2"/>
      <c r="O721" s="81"/>
      <c r="P721" s="51"/>
      <c r="Q721" s="2"/>
      <c r="R721" s="2"/>
      <c r="S721" s="2"/>
      <c r="T721" s="2"/>
      <c r="U721" s="2"/>
      <c r="V721" s="51"/>
      <c r="W721" s="2"/>
    </row>
    <row r="722" spans="1:39" ht="15" customHeight="1" x14ac:dyDescent="0.45">
      <c r="A722" s="30"/>
      <c r="B722" s="111"/>
      <c r="C722" s="112"/>
      <c r="D722" s="112"/>
      <c r="E722" s="119"/>
      <c r="F722" s="113" t="s">
        <v>49</v>
      </c>
      <c r="G722" s="112"/>
      <c r="H722" s="118"/>
      <c r="I722" s="118"/>
      <c r="J722" s="114" t="s">
        <v>48</v>
      </c>
      <c r="K722" s="112"/>
      <c r="L722" s="118"/>
      <c r="M722" s="112"/>
      <c r="N722" s="115"/>
      <c r="O722" s="116"/>
      <c r="P722" s="116"/>
      <c r="Q722" s="116"/>
      <c r="R722" s="118"/>
      <c r="S722" s="113" t="s">
        <v>53</v>
      </c>
      <c r="T722" s="118"/>
      <c r="U722" s="112"/>
      <c r="V722" s="117" t="s">
        <v>57</v>
      </c>
      <c r="W722" s="112"/>
      <c r="Y722" s="15"/>
      <c r="Z722" s="16"/>
      <c r="AA722" s="17"/>
      <c r="AB722" s="29"/>
      <c r="AC722" s="29"/>
      <c r="AD722" s="24"/>
      <c r="AE722" s="18"/>
      <c r="AF722" s="19"/>
      <c r="AG722" s="19"/>
      <c r="AH722" s="19"/>
      <c r="AI722" s="17"/>
      <c r="AJ722" s="19"/>
      <c r="AK722" s="16"/>
      <c r="AL722" s="19"/>
      <c r="AM722" s="19"/>
    </row>
    <row r="723" spans="1:39" s="1" customFormat="1" x14ac:dyDescent="0.45">
      <c r="A723" s="2"/>
      <c r="B723" s="51"/>
      <c r="C723" s="51"/>
      <c r="D723" s="2"/>
      <c r="E723" s="2"/>
      <c r="F723" s="2"/>
      <c r="G723" s="51"/>
      <c r="H723" s="80"/>
      <c r="I723" s="2"/>
      <c r="J723" s="2"/>
      <c r="K723" s="2"/>
      <c r="L723" s="2"/>
      <c r="M723" s="81"/>
      <c r="N723" s="2"/>
      <c r="O723" s="81"/>
      <c r="P723" s="51"/>
      <c r="Q723" s="2"/>
      <c r="R723" s="2"/>
      <c r="S723" s="2"/>
      <c r="T723" s="2"/>
      <c r="U723" s="2"/>
      <c r="V723" s="51"/>
      <c r="W723" s="2"/>
    </row>
    <row r="724" spans="1:39" s="1" customFormat="1" x14ac:dyDescent="0.45">
      <c r="A724" s="2"/>
      <c r="B724" s="51"/>
      <c r="C724" s="51"/>
      <c r="D724" s="2"/>
      <c r="E724" s="2"/>
      <c r="F724" s="2"/>
      <c r="G724" s="51"/>
      <c r="H724" s="80"/>
      <c r="I724" s="2"/>
      <c r="J724" s="2"/>
      <c r="K724" s="2"/>
      <c r="L724" s="2"/>
      <c r="M724" s="81"/>
      <c r="N724" s="2"/>
      <c r="O724" s="81"/>
      <c r="P724" s="51"/>
      <c r="Q724" s="2"/>
      <c r="R724" s="2"/>
      <c r="S724" s="2"/>
      <c r="T724" s="2"/>
      <c r="U724" s="2"/>
      <c r="V724" s="51"/>
      <c r="W724" s="2"/>
    </row>
    <row r="725" spans="1:39" s="1" customFormat="1" x14ac:dyDescent="0.45">
      <c r="A725" s="2"/>
      <c r="B725" s="51"/>
      <c r="C725" s="51"/>
      <c r="D725" s="2"/>
      <c r="E725" s="2"/>
      <c r="F725" s="2"/>
      <c r="G725" s="51"/>
      <c r="H725" s="80"/>
      <c r="I725" s="2"/>
      <c r="J725" s="2"/>
      <c r="K725" s="2"/>
      <c r="L725" s="2"/>
      <c r="M725" s="81"/>
      <c r="N725" s="2"/>
      <c r="O725" s="81"/>
      <c r="P725" s="51"/>
      <c r="Q725" s="2"/>
      <c r="R725" s="2"/>
      <c r="S725" s="2"/>
      <c r="T725" s="2"/>
      <c r="U725" s="2"/>
      <c r="V725" s="51"/>
      <c r="W725" s="2"/>
    </row>
    <row r="726" spans="1:39" s="1" customFormat="1" x14ac:dyDescent="0.45">
      <c r="A726" s="2"/>
      <c r="B726" s="51"/>
      <c r="C726" s="51"/>
      <c r="D726" s="2"/>
      <c r="E726" s="2"/>
      <c r="F726" s="2"/>
      <c r="G726" s="51"/>
      <c r="H726" s="80"/>
      <c r="I726" s="2"/>
      <c r="J726" s="2"/>
      <c r="K726" s="2"/>
      <c r="L726" s="2"/>
      <c r="M726" s="81"/>
      <c r="N726" s="2"/>
      <c r="O726" s="81"/>
      <c r="P726" s="51"/>
      <c r="Q726" s="2"/>
      <c r="R726" s="2"/>
      <c r="S726" s="2"/>
      <c r="T726" s="2"/>
      <c r="U726" s="2"/>
      <c r="V726" s="51"/>
      <c r="W726" s="2"/>
    </row>
    <row r="727" spans="1:39" s="1" customFormat="1" x14ac:dyDescent="0.45">
      <c r="A727" s="2"/>
      <c r="B727" s="51"/>
      <c r="C727" s="51"/>
      <c r="D727" s="2"/>
      <c r="E727" s="2"/>
      <c r="F727" s="2"/>
      <c r="G727" s="51"/>
      <c r="H727" s="80"/>
      <c r="I727" s="2"/>
      <c r="J727" s="2"/>
      <c r="K727" s="2"/>
      <c r="L727" s="2"/>
      <c r="M727" s="81"/>
      <c r="N727" s="2"/>
      <c r="O727" s="81"/>
      <c r="P727" s="51"/>
      <c r="Q727" s="2"/>
      <c r="R727" s="2"/>
      <c r="S727" s="2"/>
      <c r="T727" s="2"/>
      <c r="U727" s="2"/>
      <c r="V727" s="51"/>
      <c r="W727" s="2"/>
    </row>
    <row r="728" spans="1:39" s="1" customFormat="1" x14ac:dyDescent="0.45">
      <c r="A728" s="2"/>
      <c r="B728" s="51"/>
      <c r="C728" s="51"/>
      <c r="D728" s="2"/>
      <c r="E728" s="2"/>
      <c r="F728" s="2"/>
      <c r="G728" s="51"/>
      <c r="H728" s="80"/>
      <c r="I728" s="2"/>
      <c r="J728" s="2"/>
      <c r="K728" s="2"/>
      <c r="L728" s="2"/>
      <c r="M728" s="81"/>
      <c r="N728" s="2"/>
      <c r="O728" s="81"/>
      <c r="P728" s="51"/>
      <c r="Q728" s="2"/>
      <c r="R728" s="2"/>
      <c r="S728" s="2"/>
      <c r="T728" s="2"/>
      <c r="U728" s="2"/>
      <c r="V728" s="51"/>
      <c r="W728" s="2"/>
    </row>
    <row r="729" spans="1:39" s="1" customFormat="1" x14ac:dyDescent="0.45">
      <c r="A729" s="2"/>
      <c r="B729" s="51"/>
      <c r="C729" s="51"/>
      <c r="D729" s="2"/>
      <c r="E729" s="2"/>
      <c r="F729" s="2"/>
      <c r="G729" s="51"/>
      <c r="H729" s="80"/>
      <c r="I729" s="2"/>
      <c r="J729" s="2"/>
      <c r="K729" s="2"/>
      <c r="L729" s="2"/>
      <c r="M729" s="81"/>
      <c r="N729" s="2"/>
      <c r="O729" s="81"/>
      <c r="P729" s="51"/>
      <c r="Q729" s="2"/>
      <c r="R729" s="2"/>
      <c r="S729" s="2"/>
      <c r="T729" s="2"/>
      <c r="U729" s="2"/>
      <c r="V729" s="51"/>
      <c r="W729" s="2"/>
    </row>
    <row r="730" spans="1:39" s="1" customFormat="1" x14ac:dyDescent="0.45">
      <c r="A730" s="2"/>
      <c r="B730" s="51"/>
      <c r="C730" s="51"/>
      <c r="D730" s="2"/>
      <c r="E730" s="2"/>
      <c r="F730" s="2"/>
      <c r="G730" s="51"/>
      <c r="H730" s="80"/>
      <c r="I730" s="2"/>
      <c r="J730" s="2"/>
      <c r="K730" s="2"/>
      <c r="L730" s="2"/>
      <c r="M730" s="81"/>
      <c r="N730" s="2"/>
      <c r="O730" s="81"/>
      <c r="P730" s="51"/>
      <c r="Q730" s="2"/>
      <c r="R730" s="2"/>
      <c r="S730" s="2"/>
      <c r="T730" s="2"/>
      <c r="U730" s="2"/>
      <c r="V730" s="51"/>
      <c r="W730" s="2"/>
    </row>
    <row r="731" spans="1:39" s="1" customFormat="1" x14ac:dyDescent="0.45">
      <c r="A731" s="2"/>
      <c r="B731" s="51"/>
      <c r="C731" s="51"/>
      <c r="D731" s="2"/>
      <c r="E731" s="2"/>
      <c r="F731" s="2"/>
      <c r="G731" s="51"/>
      <c r="H731" s="80"/>
      <c r="I731" s="2"/>
      <c r="J731" s="2"/>
      <c r="K731" s="2"/>
      <c r="L731" s="2"/>
      <c r="M731" s="81"/>
      <c r="N731" s="2"/>
      <c r="O731" s="81"/>
      <c r="P731" s="51"/>
      <c r="Q731" s="2"/>
      <c r="R731" s="2"/>
      <c r="S731" s="2"/>
      <c r="T731" s="2"/>
      <c r="U731" s="2"/>
      <c r="V731" s="51"/>
      <c r="W731" s="2"/>
    </row>
    <row r="732" spans="1:39" s="1" customFormat="1" x14ac:dyDescent="0.45">
      <c r="A732" s="2"/>
      <c r="B732" s="51"/>
      <c r="C732" s="51"/>
      <c r="D732" s="2"/>
      <c r="E732" s="2"/>
      <c r="F732" s="2"/>
      <c r="G732" s="51"/>
      <c r="H732" s="80"/>
      <c r="I732" s="2"/>
      <c r="J732" s="2"/>
      <c r="K732" s="2"/>
      <c r="L732" s="2"/>
      <c r="M732" s="81"/>
      <c r="N732" s="2"/>
      <c r="O732" s="81"/>
      <c r="P732" s="51"/>
      <c r="Q732" s="2"/>
      <c r="R732" s="2"/>
      <c r="S732" s="2"/>
      <c r="T732" s="2"/>
      <c r="U732" s="2"/>
      <c r="V732" s="51"/>
      <c r="W732" s="2"/>
    </row>
    <row r="733" spans="1:39" x14ac:dyDescent="0.45">
      <c r="G733" s="20"/>
      <c r="H733" s="20"/>
      <c r="I733" s="20"/>
      <c r="J733" s="21"/>
      <c r="K733" s="23"/>
      <c r="L733" s="23"/>
      <c r="M733" s="23"/>
      <c r="N733" s="23"/>
      <c r="O733" s="23"/>
      <c r="P733" s="20"/>
      <c r="Q733" s="20"/>
      <c r="R733" s="23"/>
      <c r="S733" s="20"/>
      <c r="T733" s="20"/>
      <c r="U733" s="23"/>
      <c r="V733" s="23"/>
      <c r="W733" s="20"/>
      <c r="X733" s="20"/>
      <c r="Y733" s="20"/>
      <c r="Z733" s="23"/>
      <c r="AA733" s="22"/>
      <c r="AB733" s="23"/>
      <c r="AC733" s="23"/>
      <c r="AD733" s="23"/>
      <c r="AE733" s="20"/>
      <c r="AF733" s="23"/>
      <c r="AI733" s="23"/>
    </row>
    <row r="734" spans="1:39" x14ac:dyDescent="0.45">
      <c r="G734" s="20"/>
      <c r="H734" s="20"/>
      <c r="I734" s="20"/>
      <c r="J734" s="21"/>
      <c r="K734" s="23"/>
      <c r="L734" s="23"/>
      <c r="M734" s="23"/>
      <c r="N734" s="23"/>
      <c r="O734" s="23"/>
      <c r="P734" s="20"/>
      <c r="Q734" s="20"/>
      <c r="R734" s="23"/>
      <c r="S734" s="20"/>
      <c r="T734" s="20"/>
      <c r="U734" s="23"/>
      <c r="V734" s="26"/>
      <c r="W734" s="20"/>
      <c r="X734" s="20"/>
      <c r="Y734" s="20"/>
      <c r="Z734" s="23"/>
      <c r="AA734" s="22"/>
      <c r="AB734" s="23"/>
      <c r="AC734" s="23"/>
      <c r="AD734" s="23"/>
      <c r="AE734" s="20"/>
      <c r="AF734" s="23"/>
      <c r="AI734" s="23"/>
    </row>
    <row r="735" spans="1:39" x14ac:dyDescent="0.45">
      <c r="G735" s="5"/>
      <c r="H735" s="5"/>
      <c r="I735" s="5"/>
      <c r="J735" s="25"/>
      <c r="X735" s="5"/>
      <c r="Y735" s="5"/>
    </row>
    <row r="736" spans="1:39" x14ac:dyDescent="0.45">
      <c r="B736" s="31"/>
      <c r="G736" s="5"/>
      <c r="H736" s="5"/>
      <c r="I736" s="5"/>
      <c r="J736" s="25"/>
      <c r="X736" s="5"/>
      <c r="Y736" s="5"/>
      <c r="AL736" s="13"/>
    </row>
    <row r="737" spans="7:25" x14ac:dyDescent="0.45">
      <c r="G737" s="5"/>
      <c r="H737" s="5"/>
      <c r="I737" s="5"/>
      <c r="J737" s="25"/>
      <c r="X737" s="5"/>
      <c r="Y737" s="5"/>
    </row>
    <row r="738" spans="7:25" x14ac:dyDescent="0.45">
      <c r="G738" s="5"/>
      <c r="H738" s="5"/>
      <c r="I738" s="5"/>
      <c r="J738" s="25"/>
      <c r="X738" s="5"/>
      <c r="Y738" s="5"/>
    </row>
    <row r="739" spans="7:25" x14ac:dyDescent="0.45">
      <c r="G739" s="5"/>
      <c r="H739" s="5"/>
      <c r="I739" s="5"/>
      <c r="J739" s="25"/>
      <c r="X739" s="5"/>
      <c r="Y739" s="5"/>
    </row>
    <row r="740" spans="7:25" x14ac:dyDescent="0.45">
      <c r="G740" s="5"/>
      <c r="H740" s="5"/>
      <c r="I740" s="5"/>
      <c r="J740" s="25"/>
      <c r="X740" s="5"/>
      <c r="Y740" s="5"/>
    </row>
    <row r="741" spans="7:25" x14ac:dyDescent="0.45">
      <c r="G741" s="5"/>
      <c r="H741" s="5"/>
      <c r="I741" s="5"/>
      <c r="J741" s="25"/>
      <c r="X741" s="5"/>
      <c r="Y741" s="5"/>
    </row>
    <row r="742" spans="7:25" x14ac:dyDescent="0.45">
      <c r="G742" s="5"/>
      <c r="H742" s="5"/>
      <c r="I742" s="5"/>
      <c r="J742" s="25"/>
      <c r="X742" s="5"/>
      <c r="Y742" s="5"/>
    </row>
    <row r="743" spans="7:25" x14ac:dyDescent="0.45">
      <c r="G743" s="5"/>
      <c r="H743" s="5"/>
      <c r="I743" s="5"/>
      <c r="J743" s="25"/>
      <c r="X743" s="5"/>
      <c r="Y743" s="5"/>
    </row>
    <row r="744" spans="7:25" x14ac:dyDescent="0.45">
      <c r="G744" s="5"/>
      <c r="H744" s="5"/>
      <c r="I744" s="5"/>
      <c r="J744" s="25"/>
      <c r="X744" s="5"/>
      <c r="Y744" s="5"/>
    </row>
    <row r="745" spans="7:25" x14ac:dyDescent="0.45">
      <c r="G745" s="5"/>
      <c r="H745" s="5"/>
      <c r="I745" s="5"/>
      <c r="J745" s="25"/>
      <c r="X745" s="5"/>
      <c r="Y745" s="5"/>
    </row>
    <row r="746" spans="7:25" x14ac:dyDescent="0.45">
      <c r="G746" s="5"/>
      <c r="H746" s="5"/>
      <c r="I746" s="5"/>
      <c r="J746" s="25"/>
      <c r="X746" s="5"/>
      <c r="Y746" s="5"/>
    </row>
    <row r="747" spans="7:25" x14ac:dyDescent="0.45">
      <c r="G747" s="5"/>
      <c r="H747" s="5"/>
      <c r="I747" s="5"/>
      <c r="J747" s="25"/>
      <c r="X747" s="5"/>
      <c r="Y747" s="5"/>
    </row>
    <row r="748" spans="7:25" x14ac:dyDescent="0.45">
      <c r="G748" s="5"/>
      <c r="H748" s="5"/>
      <c r="I748" s="5"/>
      <c r="J748" s="25"/>
      <c r="X748" s="5"/>
      <c r="Y748" s="5"/>
    </row>
    <row r="749" spans="7:25" x14ac:dyDescent="0.45">
      <c r="G749" s="5"/>
      <c r="H749" s="5"/>
      <c r="I749" s="5"/>
      <c r="J749" s="25"/>
      <c r="X749" s="5"/>
      <c r="Y749" s="5"/>
    </row>
    <row r="750" spans="7:25" x14ac:dyDescent="0.45">
      <c r="G750" s="5"/>
      <c r="H750" s="5"/>
      <c r="I750" s="5"/>
      <c r="J750" s="25"/>
      <c r="X750" s="5"/>
      <c r="Y750" s="5"/>
    </row>
    <row r="751" spans="7:25" x14ac:dyDescent="0.45">
      <c r="G751" s="5"/>
      <c r="H751" s="5"/>
      <c r="I751" s="5"/>
      <c r="J751" s="25"/>
      <c r="X751" s="5"/>
      <c r="Y751" s="5"/>
    </row>
    <row r="752" spans="7:25" x14ac:dyDescent="0.45">
      <c r="G752" s="5"/>
      <c r="H752" s="5"/>
      <c r="I752" s="5"/>
      <c r="J752" s="25"/>
      <c r="X752" s="5"/>
      <c r="Y752" s="5"/>
    </row>
    <row r="753" spans="7:25" x14ac:dyDescent="0.45">
      <c r="G753" s="5"/>
      <c r="H753" s="5"/>
      <c r="I753" s="5"/>
      <c r="J753" s="25"/>
      <c r="X753" s="5"/>
      <c r="Y753" s="5"/>
    </row>
    <row r="754" spans="7:25" x14ac:dyDescent="0.45">
      <c r="G754" s="5"/>
      <c r="H754" s="5"/>
      <c r="I754" s="5"/>
      <c r="J754" s="25"/>
      <c r="X754" s="5"/>
      <c r="Y754" s="5"/>
    </row>
    <row r="755" spans="7:25" x14ac:dyDescent="0.45">
      <c r="G755" s="5"/>
      <c r="H755" s="5"/>
      <c r="I755" s="5"/>
      <c r="J755" s="25"/>
      <c r="X755" s="5"/>
      <c r="Y755" s="5"/>
    </row>
    <row r="756" spans="7:25" x14ac:dyDescent="0.45">
      <c r="G756" s="5"/>
      <c r="H756" s="5"/>
      <c r="I756" s="5"/>
      <c r="J756" s="25"/>
      <c r="X756" s="5"/>
      <c r="Y756" s="5"/>
    </row>
    <row r="757" spans="7:25" x14ac:dyDescent="0.45">
      <c r="G757" s="5"/>
      <c r="H757" s="5"/>
      <c r="I757" s="5"/>
      <c r="J757" s="25"/>
      <c r="X757" s="5"/>
      <c r="Y757" s="5"/>
    </row>
    <row r="758" spans="7:25" x14ac:dyDescent="0.45">
      <c r="G758" s="5"/>
      <c r="H758" s="5"/>
      <c r="I758" s="5"/>
      <c r="J758" s="25"/>
      <c r="X758" s="5"/>
      <c r="Y758" s="5"/>
    </row>
    <row r="759" spans="7:25" x14ac:dyDescent="0.45">
      <c r="G759" s="5"/>
      <c r="H759" s="5"/>
      <c r="I759" s="5"/>
      <c r="J759" s="25"/>
      <c r="X759" s="5"/>
      <c r="Y759" s="5"/>
    </row>
    <row r="760" spans="7:25" x14ac:dyDescent="0.45">
      <c r="G760" s="5"/>
      <c r="H760" s="5"/>
      <c r="I760" s="5"/>
      <c r="J760" s="25"/>
      <c r="X760" s="5"/>
      <c r="Y760" s="5"/>
    </row>
    <row r="761" spans="7:25" x14ac:dyDescent="0.45">
      <c r="G761" s="5"/>
      <c r="H761" s="5"/>
      <c r="I761" s="5"/>
      <c r="J761" s="25"/>
      <c r="X761" s="5"/>
      <c r="Y761" s="5"/>
    </row>
    <row r="762" spans="7:25" x14ac:dyDescent="0.45">
      <c r="G762" s="5"/>
      <c r="H762" s="5"/>
      <c r="I762" s="5"/>
      <c r="J762" s="25"/>
      <c r="X762" s="5"/>
      <c r="Y762" s="5"/>
    </row>
    <row r="763" spans="7:25" x14ac:dyDescent="0.45">
      <c r="G763" s="5"/>
      <c r="H763" s="5"/>
      <c r="I763" s="5"/>
      <c r="J763" s="25"/>
      <c r="X763" s="5"/>
      <c r="Y763" s="5"/>
    </row>
    <row r="764" spans="7:25" x14ac:dyDescent="0.45">
      <c r="G764" s="5"/>
      <c r="H764" s="5"/>
      <c r="I764" s="5"/>
      <c r="J764" s="25"/>
      <c r="X764" s="5"/>
      <c r="Y764" s="5"/>
    </row>
    <row r="765" spans="7:25" x14ac:dyDescent="0.45">
      <c r="G765" s="5"/>
      <c r="H765" s="5"/>
      <c r="I765" s="5"/>
      <c r="J765" s="25"/>
      <c r="X765" s="5"/>
      <c r="Y765" s="5"/>
    </row>
    <row r="766" spans="7:25" x14ac:dyDescent="0.45">
      <c r="G766" s="5"/>
      <c r="H766" s="5"/>
      <c r="I766" s="5"/>
      <c r="J766" s="25"/>
      <c r="X766" s="5"/>
      <c r="Y766" s="5"/>
    </row>
    <row r="767" spans="7:25" x14ac:dyDescent="0.45">
      <c r="G767" s="5"/>
      <c r="H767" s="5"/>
      <c r="I767" s="5"/>
      <c r="J767" s="25"/>
      <c r="X767" s="5"/>
      <c r="Y767" s="5"/>
    </row>
    <row r="768" spans="7:25" x14ac:dyDescent="0.45">
      <c r="G768" s="5"/>
      <c r="H768" s="5"/>
      <c r="I768" s="5"/>
      <c r="J768" s="25"/>
      <c r="X768" s="5"/>
      <c r="Y768" s="5"/>
    </row>
    <row r="769" spans="7:25" x14ac:dyDescent="0.45">
      <c r="G769" s="5"/>
      <c r="H769" s="5"/>
      <c r="I769" s="5"/>
      <c r="J769" s="25"/>
      <c r="X769" s="5"/>
      <c r="Y769" s="5"/>
    </row>
    <row r="770" spans="7:25" x14ac:dyDescent="0.45">
      <c r="G770" s="5"/>
      <c r="H770" s="5"/>
      <c r="I770" s="5"/>
      <c r="J770" s="25"/>
      <c r="X770" s="5"/>
      <c r="Y770" s="5"/>
    </row>
    <row r="771" spans="7:25" x14ac:dyDescent="0.45">
      <c r="G771" s="5"/>
      <c r="H771" s="5"/>
      <c r="I771" s="5"/>
      <c r="J771" s="25"/>
      <c r="X771" s="5"/>
      <c r="Y771" s="5"/>
    </row>
    <row r="772" spans="7:25" x14ac:dyDescent="0.45">
      <c r="G772" s="5"/>
      <c r="H772" s="5"/>
      <c r="I772" s="5"/>
      <c r="J772" s="25"/>
      <c r="X772" s="5"/>
      <c r="Y772" s="5"/>
    </row>
    <row r="773" spans="7:25" x14ac:dyDescent="0.45">
      <c r="G773" s="5"/>
      <c r="H773" s="5"/>
      <c r="I773" s="5"/>
      <c r="J773" s="25"/>
      <c r="X773" s="5"/>
      <c r="Y773" s="5"/>
    </row>
    <row r="774" spans="7:25" x14ac:dyDescent="0.45">
      <c r="G774" s="5"/>
      <c r="H774" s="5"/>
      <c r="I774" s="5"/>
      <c r="J774" s="25"/>
      <c r="X774" s="5"/>
      <c r="Y774" s="5"/>
    </row>
    <row r="775" spans="7:25" x14ac:dyDescent="0.45">
      <c r="G775" s="5"/>
      <c r="H775" s="5"/>
      <c r="I775" s="5"/>
      <c r="J775" s="25"/>
      <c r="X775" s="5"/>
      <c r="Y775" s="5"/>
    </row>
    <row r="776" spans="7:25" x14ac:dyDescent="0.45">
      <c r="G776" s="5"/>
      <c r="H776" s="5"/>
      <c r="I776" s="5"/>
      <c r="J776" s="25"/>
      <c r="X776" s="5"/>
      <c r="Y776" s="5"/>
    </row>
    <row r="777" spans="7:25" x14ac:dyDescent="0.45">
      <c r="G777" s="5"/>
      <c r="H777" s="5"/>
      <c r="I777" s="5"/>
      <c r="J777" s="25"/>
      <c r="X777" s="5"/>
      <c r="Y777" s="5"/>
    </row>
    <row r="778" spans="7:25" x14ac:dyDescent="0.45">
      <c r="G778" s="5"/>
      <c r="H778" s="5"/>
      <c r="I778" s="5"/>
      <c r="J778" s="25"/>
      <c r="X778" s="5"/>
      <c r="Y778" s="5"/>
    </row>
    <row r="779" spans="7:25" x14ac:dyDescent="0.45">
      <c r="G779" s="5"/>
      <c r="H779" s="5"/>
      <c r="I779" s="5"/>
      <c r="J779" s="25"/>
      <c r="X779" s="5"/>
      <c r="Y779" s="5"/>
    </row>
    <row r="780" spans="7:25" x14ac:dyDescent="0.45">
      <c r="G780" s="5"/>
      <c r="H780" s="5"/>
      <c r="I780" s="5"/>
      <c r="J780" s="25"/>
      <c r="X780" s="5"/>
      <c r="Y780" s="5"/>
    </row>
    <row r="781" spans="7:25" x14ac:dyDescent="0.45">
      <c r="G781" s="5"/>
      <c r="H781" s="5"/>
      <c r="I781" s="5"/>
      <c r="J781" s="25"/>
      <c r="X781" s="5"/>
      <c r="Y781" s="5"/>
    </row>
    <row r="782" spans="7:25" x14ac:dyDescent="0.45">
      <c r="G782" s="5"/>
      <c r="H782" s="5"/>
      <c r="I782" s="5"/>
      <c r="J782" s="25"/>
      <c r="X782" s="5"/>
      <c r="Y782" s="5"/>
    </row>
    <row r="783" spans="7:25" x14ac:dyDescent="0.45">
      <c r="G783" s="5"/>
      <c r="H783" s="5"/>
      <c r="I783" s="5"/>
      <c r="J783" s="25"/>
      <c r="X783" s="5"/>
      <c r="Y783" s="5"/>
    </row>
    <row r="784" spans="7:25" x14ac:dyDescent="0.45">
      <c r="G784" s="5"/>
      <c r="H784" s="5"/>
      <c r="I784" s="5"/>
      <c r="J784" s="25"/>
      <c r="X784" s="5"/>
      <c r="Y784" s="5"/>
    </row>
    <row r="785" spans="7:25" x14ac:dyDescent="0.45">
      <c r="G785" s="5"/>
      <c r="H785" s="5"/>
      <c r="I785" s="5"/>
      <c r="J785" s="25"/>
      <c r="X785" s="5"/>
      <c r="Y785" s="5"/>
    </row>
    <row r="786" spans="7:25" x14ac:dyDescent="0.45">
      <c r="G786" s="5"/>
      <c r="H786" s="5"/>
      <c r="I786" s="5"/>
      <c r="J786" s="25"/>
      <c r="X786" s="5"/>
      <c r="Y786" s="5"/>
    </row>
    <row r="787" spans="7:25" x14ac:dyDescent="0.45">
      <c r="G787" s="5"/>
      <c r="H787" s="5"/>
      <c r="I787" s="5"/>
      <c r="J787" s="25"/>
      <c r="X787" s="5"/>
      <c r="Y787" s="5"/>
    </row>
    <row r="788" spans="7:25" x14ac:dyDescent="0.45">
      <c r="G788" s="5"/>
      <c r="H788" s="5"/>
      <c r="I788" s="5"/>
      <c r="J788" s="25"/>
      <c r="X788" s="5"/>
      <c r="Y788" s="5"/>
    </row>
    <row r="789" spans="7:25" x14ac:dyDescent="0.45">
      <c r="G789" s="5"/>
      <c r="H789" s="5"/>
      <c r="I789" s="5"/>
      <c r="J789" s="25"/>
      <c r="X789" s="5"/>
      <c r="Y789" s="5"/>
    </row>
    <row r="790" spans="7:25" x14ac:dyDescent="0.45">
      <c r="G790" s="5"/>
      <c r="H790" s="5"/>
      <c r="I790" s="5"/>
      <c r="J790" s="25"/>
      <c r="X790" s="5"/>
      <c r="Y790" s="5"/>
    </row>
    <row r="791" spans="7:25" x14ac:dyDescent="0.45">
      <c r="G791" s="5"/>
      <c r="H791" s="5"/>
      <c r="I791" s="5"/>
      <c r="J791" s="25"/>
      <c r="X791" s="5"/>
      <c r="Y791" s="5"/>
    </row>
    <row r="792" spans="7:25" x14ac:dyDescent="0.45">
      <c r="G792" s="5"/>
      <c r="H792" s="5"/>
      <c r="I792" s="5"/>
      <c r="J792" s="25"/>
      <c r="X792" s="5"/>
      <c r="Y792" s="5"/>
    </row>
    <row r="793" spans="7:25" x14ac:dyDescent="0.45">
      <c r="G793" s="5"/>
      <c r="H793" s="5"/>
      <c r="I793" s="5"/>
      <c r="J793" s="25"/>
      <c r="X793" s="5"/>
      <c r="Y793" s="5"/>
    </row>
    <row r="794" spans="7:25" x14ac:dyDescent="0.45">
      <c r="G794" s="5"/>
      <c r="H794" s="5"/>
      <c r="I794" s="5"/>
      <c r="J794" s="25"/>
      <c r="X794" s="5"/>
      <c r="Y794" s="5"/>
    </row>
    <row r="795" spans="7:25" x14ac:dyDescent="0.45">
      <c r="G795" s="5"/>
      <c r="H795" s="5"/>
      <c r="I795" s="5"/>
      <c r="J795" s="25"/>
      <c r="X795" s="5"/>
      <c r="Y795" s="5"/>
    </row>
    <row r="796" spans="7:25" x14ac:dyDescent="0.45">
      <c r="G796" s="5"/>
      <c r="H796" s="5"/>
      <c r="I796" s="5"/>
      <c r="J796" s="25"/>
      <c r="X796" s="5"/>
      <c r="Y796" s="5"/>
    </row>
    <row r="797" spans="7:25" x14ac:dyDescent="0.45">
      <c r="G797" s="5"/>
      <c r="H797" s="5"/>
      <c r="I797" s="5"/>
      <c r="J797" s="25"/>
      <c r="X797" s="5"/>
      <c r="Y797" s="5"/>
    </row>
    <row r="798" spans="7:25" x14ac:dyDescent="0.45">
      <c r="G798" s="5"/>
      <c r="H798" s="5"/>
      <c r="I798" s="5"/>
      <c r="J798" s="25"/>
      <c r="X798" s="5"/>
      <c r="Y798" s="5"/>
    </row>
    <row r="799" spans="7:25" x14ac:dyDescent="0.45">
      <c r="G799" s="5"/>
      <c r="H799" s="5"/>
      <c r="I799" s="5"/>
      <c r="J799" s="25"/>
      <c r="X799" s="5"/>
      <c r="Y799" s="5"/>
    </row>
    <row r="800" spans="7:25" x14ac:dyDescent="0.45">
      <c r="G800" s="5"/>
      <c r="H800" s="5"/>
      <c r="I800" s="5"/>
      <c r="J800" s="25"/>
      <c r="X800" s="5"/>
      <c r="Y800" s="5"/>
    </row>
    <row r="801" spans="7:25" x14ac:dyDescent="0.45">
      <c r="G801" s="5"/>
      <c r="H801" s="5"/>
      <c r="I801" s="5"/>
      <c r="J801" s="25"/>
      <c r="X801" s="5"/>
      <c r="Y801" s="5"/>
    </row>
    <row r="802" spans="7:25" x14ac:dyDescent="0.45">
      <c r="G802" s="5"/>
      <c r="H802" s="5"/>
      <c r="I802" s="5"/>
      <c r="J802" s="25"/>
      <c r="X802" s="5"/>
      <c r="Y802" s="5"/>
    </row>
    <row r="803" spans="7:25" x14ac:dyDescent="0.45">
      <c r="G803" s="5"/>
      <c r="H803" s="5"/>
      <c r="I803" s="5"/>
      <c r="J803" s="25"/>
      <c r="X803" s="5"/>
      <c r="Y803" s="5"/>
    </row>
    <row r="804" spans="7:25" x14ac:dyDescent="0.45">
      <c r="G804" s="5"/>
      <c r="H804" s="5"/>
      <c r="I804" s="5"/>
      <c r="J804" s="25"/>
      <c r="X804" s="5"/>
      <c r="Y804" s="5"/>
    </row>
    <row r="805" spans="7:25" x14ac:dyDescent="0.45">
      <c r="G805" s="5"/>
      <c r="H805" s="5"/>
      <c r="I805" s="5"/>
      <c r="J805" s="25"/>
      <c r="X805" s="5"/>
      <c r="Y805" s="5"/>
    </row>
    <row r="806" spans="7:25" x14ac:dyDescent="0.45">
      <c r="G806" s="5"/>
      <c r="H806" s="5"/>
      <c r="I806" s="5"/>
      <c r="J806" s="25"/>
      <c r="X806" s="5"/>
      <c r="Y806" s="5"/>
    </row>
    <row r="807" spans="7:25" x14ac:dyDescent="0.45">
      <c r="G807" s="5"/>
      <c r="H807" s="5"/>
      <c r="I807" s="5"/>
      <c r="J807" s="25"/>
      <c r="X807" s="5"/>
      <c r="Y807" s="5"/>
    </row>
    <row r="808" spans="7:25" x14ac:dyDescent="0.45">
      <c r="G808" s="5"/>
      <c r="H808" s="5"/>
      <c r="I808" s="5"/>
      <c r="J808" s="25"/>
      <c r="X808" s="5"/>
      <c r="Y808" s="5"/>
    </row>
    <row r="809" spans="7:25" x14ac:dyDescent="0.45">
      <c r="G809" s="5"/>
      <c r="H809" s="5"/>
      <c r="I809" s="5"/>
      <c r="J809" s="25"/>
      <c r="X809" s="5"/>
      <c r="Y809" s="5"/>
    </row>
    <row r="810" spans="7:25" x14ac:dyDescent="0.45">
      <c r="G810" s="5"/>
      <c r="H810" s="5"/>
      <c r="I810" s="5"/>
      <c r="J810" s="25"/>
      <c r="X810" s="5"/>
      <c r="Y810" s="5"/>
    </row>
    <row r="811" spans="7:25" x14ac:dyDescent="0.45">
      <c r="G811" s="5"/>
      <c r="H811" s="5"/>
      <c r="I811" s="5"/>
      <c r="J811" s="25"/>
      <c r="X811" s="5"/>
      <c r="Y811" s="5"/>
    </row>
    <row r="812" spans="7:25" x14ac:dyDescent="0.45">
      <c r="G812" s="5"/>
      <c r="H812" s="5"/>
      <c r="I812" s="5"/>
      <c r="J812" s="25"/>
      <c r="X812" s="5"/>
      <c r="Y812" s="5"/>
    </row>
    <row r="813" spans="7:25" x14ac:dyDescent="0.45">
      <c r="G813" s="5"/>
      <c r="H813" s="5"/>
      <c r="I813" s="5"/>
      <c r="J813" s="25"/>
      <c r="X813" s="5"/>
      <c r="Y813" s="5"/>
    </row>
    <row r="814" spans="7:25" x14ac:dyDescent="0.45">
      <c r="G814" s="5"/>
      <c r="H814" s="5"/>
      <c r="I814" s="5"/>
      <c r="J814" s="25"/>
      <c r="X814" s="5"/>
      <c r="Y814" s="5"/>
    </row>
    <row r="815" spans="7:25" x14ac:dyDescent="0.45">
      <c r="G815" s="5"/>
      <c r="H815" s="5"/>
      <c r="I815" s="5"/>
      <c r="J815" s="25"/>
      <c r="X815" s="5"/>
      <c r="Y815" s="5"/>
    </row>
    <row r="816" spans="7:25" x14ac:dyDescent="0.45">
      <c r="G816" s="5"/>
      <c r="H816" s="5"/>
      <c r="I816" s="5"/>
      <c r="J816" s="25"/>
      <c r="X816" s="5"/>
      <c r="Y816" s="5"/>
    </row>
    <row r="817" spans="7:25" x14ac:dyDescent="0.45">
      <c r="G817" s="5"/>
      <c r="H817" s="5"/>
      <c r="I817" s="5"/>
      <c r="J817" s="25"/>
      <c r="X817" s="5"/>
      <c r="Y817" s="5"/>
    </row>
    <row r="818" spans="7:25" x14ac:dyDescent="0.45">
      <c r="G818" s="5"/>
      <c r="H818" s="5"/>
      <c r="I818" s="5"/>
      <c r="J818" s="25"/>
      <c r="X818" s="5"/>
      <c r="Y818" s="5"/>
    </row>
    <row r="819" spans="7:25" x14ac:dyDescent="0.45">
      <c r="G819" s="5"/>
      <c r="H819" s="5"/>
      <c r="I819" s="5"/>
      <c r="J819" s="25"/>
      <c r="X819" s="5"/>
      <c r="Y819" s="5"/>
    </row>
    <row r="820" spans="7:25" x14ac:dyDescent="0.45">
      <c r="G820" s="5"/>
      <c r="H820" s="5"/>
      <c r="I820" s="5"/>
      <c r="J820" s="25"/>
      <c r="X820" s="5"/>
      <c r="Y820" s="5"/>
    </row>
    <row r="821" spans="7:25" x14ac:dyDescent="0.45">
      <c r="G821" s="5"/>
      <c r="H821" s="5"/>
      <c r="I821" s="5"/>
      <c r="J821" s="25"/>
      <c r="X821" s="5"/>
      <c r="Y821" s="5"/>
    </row>
    <row r="822" spans="7:25" x14ac:dyDescent="0.45">
      <c r="G822" s="5"/>
      <c r="H822" s="5"/>
      <c r="I822" s="5"/>
      <c r="J822" s="25"/>
      <c r="X822" s="5"/>
      <c r="Y822" s="5"/>
    </row>
    <row r="823" spans="7:25" x14ac:dyDescent="0.45">
      <c r="G823" s="5"/>
      <c r="H823" s="5"/>
      <c r="I823" s="5"/>
      <c r="J823" s="25"/>
      <c r="X823" s="5"/>
      <c r="Y823" s="5"/>
    </row>
    <row r="824" spans="7:25" x14ac:dyDescent="0.45">
      <c r="G824" s="5"/>
      <c r="H824" s="5"/>
      <c r="I824" s="5"/>
      <c r="J824" s="25"/>
      <c r="X824" s="5"/>
      <c r="Y824" s="5"/>
    </row>
    <row r="825" spans="7:25" x14ac:dyDescent="0.45">
      <c r="G825" s="5"/>
      <c r="H825" s="5"/>
      <c r="I825" s="5"/>
      <c r="J825" s="25"/>
      <c r="X825" s="5"/>
      <c r="Y825" s="5"/>
    </row>
    <row r="826" spans="7:25" x14ac:dyDescent="0.45">
      <c r="G826" s="5"/>
      <c r="H826" s="5"/>
      <c r="I826" s="5"/>
      <c r="J826" s="25"/>
      <c r="X826" s="5"/>
      <c r="Y826" s="5"/>
    </row>
    <row r="827" spans="7:25" x14ac:dyDescent="0.45">
      <c r="G827" s="5"/>
      <c r="H827" s="5"/>
      <c r="I827" s="5"/>
      <c r="J827" s="25"/>
      <c r="X827" s="5"/>
      <c r="Y827" s="5"/>
    </row>
    <row r="828" spans="7:25" x14ac:dyDescent="0.45">
      <c r="G828" s="5"/>
      <c r="H828" s="5"/>
      <c r="I828" s="5"/>
      <c r="J828" s="25"/>
      <c r="X828" s="5"/>
      <c r="Y828" s="5"/>
    </row>
    <row r="829" spans="7:25" x14ac:dyDescent="0.45">
      <c r="G829" s="5"/>
      <c r="H829" s="5"/>
      <c r="I829" s="5"/>
      <c r="J829" s="25"/>
      <c r="X829" s="5"/>
      <c r="Y829" s="5"/>
    </row>
    <row r="830" spans="7:25" x14ac:dyDescent="0.45">
      <c r="G830" s="5"/>
      <c r="H830" s="5"/>
      <c r="I830" s="5"/>
      <c r="J830" s="25"/>
      <c r="X830" s="5"/>
      <c r="Y830" s="5"/>
    </row>
    <row r="831" spans="7:25" x14ac:dyDescent="0.45">
      <c r="G831" s="5"/>
      <c r="H831" s="5"/>
      <c r="I831" s="5"/>
      <c r="J831" s="25"/>
      <c r="X831" s="5"/>
      <c r="Y831" s="5"/>
    </row>
    <row r="832" spans="7:25" x14ac:dyDescent="0.45">
      <c r="G832" s="5"/>
      <c r="H832" s="5"/>
      <c r="I832" s="5"/>
      <c r="J832" s="25"/>
      <c r="X832" s="5"/>
      <c r="Y832" s="5"/>
    </row>
    <row r="833" spans="7:25" x14ac:dyDescent="0.45">
      <c r="G833" s="5"/>
      <c r="H833" s="5"/>
      <c r="I833" s="5"/>
      <c r="J833" s="25"/>
      <c r="X833" s="5"/>
      <c r="Y833" s="5"/>
    </row>
    <row r="834" spans="7:25" x14ac:dyDescent="0.45">
      <c r="G834" s="5"/>
      <c r="H834" s="5"/>
      <c r="I834" s="5"/>
      <c r="J834" s="25"/>
      <c r="X834" s="5"/>
      <c r="Y834" s="5"/>
    </row>
    <row r="835" spans="7:25" x14ac:dyDescent="0.45">
      <c r="G835" s="5"/>
      <c r="H835" s="5"/>
      <c r="I835" s="5"/>
      <c r="J835" s="25"/>
      <c r="X835" s="5"/>
      <c r="Y835" s="5"/>
    </row>
    <row r="836" spans="7:25" x14ac:dyDescent="0.45">
      <c r="G836" s="5"/>
      <c r="H836" s="5"/>
      <c r="I836" s="5"/>
      <c r="J836" s="25"/>
      <c r="X836" s="5"/>
      <c r="Y836" s="5"/>
    </row>
    <row r="837" spans="7:25" x14ac:dyDescent="0.45">
      <c r="G837" s="5"/>
      <c r="H837" s="5"/>
      <c r="I837" s="5"/>
      <c r="J837" s="25"/>
      <c r="X837" s="5"/>
      <c r="Y837" s="5"/>
    </row>
    <row r="838" spans="7:25" x14ac:dyDescent="0.45">
      <c r="G838" s="5"/>
      <c r="H838" s="5"/>
      <c r="I838" s="5"/>
      <c r="J838" s="25"/>
      <c r="X838" s="5"/>
      <c r="Y838" s="5"/>
    </row>
    <row r="839" spans="7:25" x14ac:dyDescent="0.45">
      <c r="G839" s="5"/>
      <c r="H839" s="5"/>
      <c r="I839" s="5"/>
      <c r="J839" s="25"/>
      <c r="X839" s="5"/>
      <c r="Y839" s="5"/>
    </row>
    <row r="840" spans="7:25" x14ac:dyDescent="0.45">
      <c r="G840" s="5"/>
      <c r="H840" s="5"/>
      <c r="I840" s="5"/>
      <c r="J840" s="25"/>
      <c r="X840" s="5"/>
      <c r="Y840" s="5"/>
    </row>
    <row r="841" spans="7:25" x14ac:dyDescent="0.45">
      <c r="G841" s="5"/>
      <c r="H841" s="5"/>
      <c r="I841" s="5"/>
      <c r="J841" s="25"/>
      <c r="X841" s="5"/>
      <c r="Y841" s="5"/>
    </row>
    <row r="842" spans="7:25" x14ac:dyDescent="0.45">
      <c r="G842" s="5"/>
      <c r="H842" s="5"/>
      <c r="I842" s="5"/>
      <c r="J842" s="25"/>
      <c r="X842" s="5"/>
      <c r="Y842" s="5"/>
    </row>
    <row r="843" spans="7:25" x14ac:dyDescent="0.45">
      <c r="G843" s="5"/>
      <c r="H843" s="5"/>
      <c r="I843" s="5"/>
      <c r="J843" s="25"/>
      <c r="X843" s="5"/>
      <c r="Y843" s="5"/>
    </row>
    <row r="844" spans="7:25" x14ac:dyDescent="0.45">
      <c r="G844" s="5"/>
      <c r="H844" s="5"/>
      <c r="I844" s="5"/>
      <c r="J844" s="25"/>
      <c r="X844" s="5"/>
      <c r="Y844" s="5"/>
    </row>
    <row r="845" spans="7:25" x14ac:dyDescent="0.45">
      <c r="G845" s="5"/>
      <c r="H845" s="5"/>
      <c r="I845" s="5"/>
      <c r="J845" s="25"/>
      <c r="X845" s="5"/>
      <c r="Y845" s="5"/>
    </row>
    <row r="846" spans="7:25" x14ac:dyDescent="0.45">
      <c r="G846" s="5"/>
      <c r="H846" s="5"/>
      <c r="I846" s="5"/>
      <c r="J846" s="25"/>
      <c r="X846" s="5"/>
      <c r="Y846" s="5"/>
    </row>
    <row r="847" spans="7:25" x14ac:dyDescent="0.45">
      <c r="G847" s="5"/>
      <c r="H847" s="5"/>
      <c r="I847" s="5"/>
      <c r="J847" s="25"/>
      <c r="X847" s="5"/>
      <c r="Y847" s="5"/>
    </row>
    <row r="848" spans="7:25" x14ac:dyDescent="0.45">
      <c r="G848" s="5"/>
      <c r="H848" s="5"/>
      <c r="I848" s="5"/>
      <c r="J848" s="25"/>
      <c r="X848" s="5"/>
      <c r="Y848" s="5"/>
    </row>
    <row r="849" spans="7:25" x14ac:dyDescent="0.45">
      <c r="G849" s="5"/>
      <c r="H849" s="5"/>
      <c r="I849" s="5"/>
      <c r="J849" s="25"/>
      <c r="X849" s="5"/>
      <c r="Y849" s="5"/>
    </row>
    <row r="850" spans="7:25" x14ac:dyDescent="0.45">
      <c r="G850" s="5"/>
      <c r="H850" s="5"/>
      <c r="I850" s="5"/>
      <c r="J850" s="25"/>
      <c r="X850" s="5"/>
      <c r="Y850" s="5"/>
    </row>
    <row r="851" spans="7:25" x14ac:dyDescent="0.45">
      <c r="G851" s="5"/>
      <c r="H851" s="5"/>
      <c r="I851" s="5"/>
      <c r="J851" s="25"/>
      <c r="X851" s="5"/>
      <c r="Y851" s="5"/>
    </row>
    <row r="852" spans="7:25" x14ac:dyDescent="0.45">
      <c r="G852" s="5"/>
      <c r="H852" s="5"/>
      <c r="I852" s="5"/>
      <c r="J852" s="25"/>
      <c r="X852" s="5"/>
      <c r="Y852" s="5"/>
    </row>
    <row r="853" spans="7:25" x14ac:dyDescent="0.45">
      <c r="G853" s="5"/>
      <c r="H853" s="5"/>
      <c r="I853" s="5"/>
      <c r="J853" s="25"/>
      <c r="X853" s="5"/>
      <c r="Y853" s="5"/>
    </row>
    <row r="854" spans="7:25" x14ac:dyDescent="0.45">
      <c r="G854" s="5"/>
      <c r="H854" s="5"/>
      <c r="I854" s="5"/>
      <c r="J854" s="25"/>
      <c r="X854" s="5"/>
      <c r="Y854" s="5"/>
    </row>
    <row r="855" spans="7:25" x14ac:dyDescent="0.45">
      <c r="G855" s="5"/>
      <c r="H855" s="5"/>
      <c r="I855" s="5"/>
      <c r="J855" s="25"/>
      <c r="X855" s="5"/>
      <c r="Y855" s="5"/>
    </row>
    <row r="856" spans="7:25" x14ac:dyDescent="0.45">
      <c r="G856" s="5"/>
      <c r="H856" s="5"/>
      <c r="I856" s="5"/>
      <c r="J856" s="25"/>
      <c r="X856" s="5"/>
      <c r="Y856" s="5"/>
    </row>
    <row r="857" spans="7:25" x14ac:dyDescent="0.45">
      <c r="G857" s="5"/>
      <c r="H857" s="5"/>
      <c r="I857" s="5"/>
      <c r="J857" s="25"/>
      <c r="X857" s="5"/>
      <c r="Y857" s="5"/>
    </row>
    <row r="858" spans="7:25" x14ac:dyDescent="0.45">
      <c r="G858" s="5"/>
      <c r="H858" s="5"/>
      <c r="I858" s="5"/>
      <c r="J858" s="25"/>
      <c r="X858" s="5"/>
      <c r="Y858" s="5"/>
    </row>
    <row r="859" spans="7:25" x14ac:dyDescent="0.45">
      <c r="G859" s="5"/>
      <c r="H859" s="5"/>
      <c r="I859" s="5"/>
      <c r="J859" s="25"/>
      <c r="X859" s="5"/>
      <c r="Y859" s="5"/>
    </row>
    <row r="860" spans="7:25" x14ac:dyDescent="0.45">
      <c r="G860" s="5"/>
      <c r="H860" s="5"/>
      <c r="I860" s="5"/>
      <c r="J860" s="25"/>
      <c r="X860" s="5"/>
      <c r="Y860" s="5"/>
    </row>
    <row r="861" spans="7:25" x14ac:dyDescent="0.45">
      <c r="G861" s="5"/>
      <c r="H861" s="5"/>
      <c r="I861" s="5"/>
      <c r="J861" s="25"/>
      <c r="X861" s="5"/>
      <c r="Y861" s="5"/>
    </row>
    <row r="862" spans="7:25" x14ac:dyDescent="0.45">
      <c r="G862" s="5"/>
      <c r="H862" s="5"/>
      <c r="I862" s="5"/>
      <c r="J862" s="25"/>
      <c r="X862" s="5"/>
      <c r="Y862" s="5"/>
    </row>
    <row r="863" spans="7:25" x14ac:dyDescent="0.45">
      <c r="G863" s="5"/>
      <c r="H863" s="5"/>
      <c r="I863" s="5"/>
      <c r="J863" s="25"/>
      <c r="X863" s="5"/>
      <c r="Y863" s="5"/>
    </row>
    <row r="864" spans="7:25" x14ac:dyDescent="0.45">
      <c r="G864" s="5"/>
      <c r="H864" s="5"/>
      <c r="I864" s="5"/>
      <c r="J864" s="25"/>
      <c r="X864" s="5"/>
      <c r="Y864" s="5"/>
    </row>
    <row r="865" spans="7:25" x14ac:dyDescent="0.45">
      <c r="G865" s="5"/>
      <c r="H865" s="5"/>
      <c r="I865" s="5"/>
      <c r="J865" s="25"/>
      <c r="X865" s="5"/>
      <c r="Y865" s="5"/>
    </row>
    <row r="866" spans="7:25" x14ac:dyDescent="0.45">
      <c r="G866" s="5"/>
      <c r="H866" s="5"/>
      <c r="I866" s="5"/>
      <c r="J866" s="25"/>
      <c r="X866" s="5"/>
      <c r="Y866" s="5"/>
    </row>
    <row r="867" spans="7:25" x14ac:dyDescent="0.45">
      <c r="G867" s="5"/>
      <c r="H867" s="5"/>
      <c r="I867" s="5"/>
      <c r="J867" s="25"/>
      <c r="X867" s="5"/>
      <c r="Y867" s="5"/>
    </row>
    <row r="868" spans="7:25" x14ac:dyDescent="0.45">
      <c r="G868" s="5"/>
      <c r="H868" s="5"/>
      <c r="I868" s="5"/>
      <c r="J868" s="25"/>
      <c r="X868" s="5"/>
      <c r="Y868" s="5"/>
    </row>
    <row r="869" spans="7:25" x14ac:dyDescent="0.45">
      <c r="G869" s="5"/>
      <c r="H869" s="5"/>
      <c r="I869" s="5"/>
      <c r="J869" s="25"/>
      <c r="X869" s="5"/>
      <c r="Y869" s="5"/>
    </row>
    <row r="870" spans="7:25" x14ac:dyDescent="0.45">
      <c r="G870" s="5"/>
      <c r="H870" s="5"/>
      <c r="I870" s="5"/>
      <c r="J870" s="25"/>
      <c r="X870" s="5"/>
      <c r="Y870" s="5"/>
    </row>
    <row r="871" spans="7:25" x14ac:dyDescent="0.45">
      <c r="G871" s="5"/>
      <c r="H871" s="5"/>
      <c r="I871" s="5"/>
      <c r="J871" s="25"/>
      <c r="X871" s="5"/>
      <c r="Y871" s="5"/>
    </row>
    <row r="872" spans="7:25" x14ac:dyDescent="0.45">
      <c r="G872" s="5"/>
      <c r="H872" s="5"/>
      <c r="I872" s="5"/>
      <c r="J872" s="25"/>
      <c r="X872" s="5"/>
      <c r="Y872" s="5"/>
    </row>
  </sheetData>
  <mergeCells count="181">
    <mergeCell ref="A1:B1"/>
    <mergeCell ref="A2:D2"/>
    <mergeCell ref="C629:C630"/>
    <mergeCell ref="D629:D630"/>
    <mergeCell ref="B610:U610"/>
    <mergeCell ref="A567:A568"/>
    <mergeCell ref="C567:C568"/>
    <mergeCell ref="A598:A599"/>
    <mergeCell ref="A4:B4"/>
    <mergeCell ref="A9:A10"/>
    <mergeCell ref="A71:A72"/>
    <mergeCell ref="A40:A41"/>
    <mergeCell ref="A5:A8"/>
    <mergeCell ref="B598:B599"/>
    <mergeCell ref="C9:C10"/>
    <mergeCell ref="B5:B8"/>
    <mergeCell ref="C5:C8"/>
    <mergeCell ref="E5:E8"/>
    <mergeCell ref="M5:M6"/>
    <mergeCell ref="Q5:R5"/>
    <mergeCell ref="J5:J6"/>
    <mergeCell ref="K5:K6"/>
    <mergeCell ref="L5:L6"/>
    <mergeCell ref="T5:T6"/>
    <mergeCell ref="A716:A717"/>
    <mergeCell ref="D716:D717"/>
    <mergeCell ref="B716:B717"/>
    <mergeCell ref="C716:C717"/>
    <mergeCell ref="W629:W630"/>
    <mergeCell ref="B660:B661"/>
    <mergeCell ref="B629:B630"/>
    <mergeCell ref="D691:D692"/>
    <mergeCell ref="D694:D695"/>
    <mergeCell ref="C691:C692"/>
    <mergeCell ref="B672:U672"/>
    <mergeCell ref="B641:U641"/>
    <mergeCell ref="A629:A630"/>
    <mergeCell ref="A691:A692"/>
    <mergeCell ref="A694:A695"/>
    <mergeCell ref="C660:C661"/>
    <mergeCell ref="A660:A661"/>
    <mergeCell ref="A707:A708"/>
    <mergeCell ref="B707:B708"/>
    <mergeCell ref="C707:C708"/>
    <mergeCell ref="D707:D708"/>
    <mergeCell ref="C694:C695"/>
    <mergeCell ref="V3:W3"/>
    <mergeCell ref="W716:W717"/>
    <mergeCell ref="W694:W695"/>
    <mergeCell ref="B711:U711"/>
    <mergeCell ref="B691:B692"/>
    <mergeCell ref="B694:B695"/>
    <mergeCell ref="E707:E708"/>
    <mergeCell ref="W691:W692"/>
    <mergeCell ref="E694:E695"/>
    <mergeCell ref="W707:W708"/>
    <mergeCell ref="B698:U698"/>
    <mergeCell ref="D5:D8"/>
    <mergeCell ref="D660:D661"/>
    <mergeCell ref="W660:W661"/>
    <mergeCell ref="W598:W599"/>
    <mergeCell ref="D598:D599"/>
    <mergeCell ref="B567:B568"/>
    <mergeCell ref="C598:C599"/>
    <mergeCell ref="W5:W8"/>
    <mergeCell ref="F5:F8"/>
    <mergeCell ref="G5:G6"/>
    <mergeCell ref="H5:H6"/>
    <mergeCell ref="V5:V6"/>
    <mergeCell ref="U5:U6"/>
    <mergeCell ref="W567:W568"/>
    <mergeCell ref="D567:D568"/>
    <mergeCell ref="B21:U21"/>
    <mergeCell ref="B52:U52"/>
    <mergeCell ref="B83:U83"/>
    <mergeCell ref="B71:B72"/>
    <mergeCell ref="C40:C41"/>
    <mergeCell ref="D40:D41"/>
    <mergeCell ref="B145:U145"/>
    <mergeCell ref="B238:U238"/>
    <mergeCell ref="B40:B41"/>
    <mergeCell ref="C71:C72"/>
    <mergeCell ref="W164:W165"/>
    <mergeCell ref="W319:W320"/>
    <mergeCell ref="D257:D258"/>
    <mergeCell ref="W257:W258"/>
    <mergeCell ref="B269:U269"/>
    <mergeCell ref="B362:U362"/>
    <mergeCell ref="B548:U548"/>
    <mergeCell ref="B486:U486"/>
    <mergeCell ref="B288:B289"/>
    <mergeCell ref="C288:C289"/>
    <mergeCell ref="D288:D289"/>
    <mergeCell ref="W288:W289"/>
    <mergeCell ref="I5:I6"/>
    <mergeCell ref="N5:N6"/>
    <mergeCell ref="O5:O6"/>
    <mergeCell ref="P5:P6"/>
    <mergeCell ref="S5:S6"/>
    <mergeCell ref="A133:A134"/>
    <mergeCell ref="B579:U579"/>
    <mergeCell ref="D71:D72"/>
    <mergeCell ref="B133:B134"/>
    <mergeCell ref="C133:C134"/>
    <mergeCell ref="D9:D10"/>
    <mergeCell ref="C164:C165"/>
    <mergeCell ref="D164:D165"/>
    <mergeCell ref="B176:U176"/>
    <mergeCell ref="A319:A320"/>
    <mergeCell ref="B319:B320"/>
    <mergeCell ref="C319:C320"/>
    <mergeCell ref="D319:D320"/>
    <mergeCell ref="B331:U331"/>
    <mergeCell ref="B300:U300"/>
    <mergeCell ref="A257:A258"/>
    <mergeCell ref="B257:B258"/>
    <mergeCell ref="C257:C258"/>
    <mergeCell ref="A288:A289"/>
    <mergeCell ref="W9:W10"/>
    <mergeCell ref="W71:W72"/>
    <mergeCell ref="W40:W41"/>
    <mergeCell ref="B9:B10"/>
    <mergeCell ref="B207:U207"/>
    <mergeCell ref="A226:A227"/>
    <mergeCell ref="B226:B227"/>
    <mergeCell ref="C226:C227"/>
    <mergeCell ref="D226:D227"/>
    <mergeCell ref="W226:W227"/>
    <mergeCell ref="A102:A103"/>
    <mergeCell ref="B102:B103"/>
    <mergeCell ref="C102:C103"/>
    <mergeCell ref="D102:D103"/>
    <mergeCell ref="W102:W103"/>
    <mergeCell ref="B114:U114"/>
    <mergeCell ref="A195:A196"/>
    <mergeCell ref="B195:B196"/>
    <mergeCell ref="C195:C196"/>
    <mergeCell ref="D195:D196"/>
    <mergeCell ref="W195:W196"/>
    <mergeCell ref="W133:W134"/>
    <mergeCell ref="A164:A165"/>
    <mergeCell ref="B164:B165"/>
    <mergeCell ref="A350:A351"/>
    <mergeCell ref="B350:B351"/>
    <mergeCell ref="C350:C351"/>
    <mergeCell ref="D350:D351"/>
    <mergeCell ref="W350:W351"/>
    <mergeCell ref="A381:A382"/>
    <mergeCell ref="B381:B382"/>
    <mergeCell ref="C381:C382"/>
    <mergeCell ref="D381:D382"/>
    <mergeCell ref="W381:W382"/>
    <mergeCell ref="B455:U455"/>
    <mergeCell ref="A474:A475"/>
    <mergeCell ref="B474:B475"/>
    <mergeCell ref="C474:C475"/>
    <mergeCell ref="D474:D475"/>
    <mergeCell ref="W474:W475"/>
    <mergeCell ref="B393:U393"/>
    <mergeCell ref="A412:A413"/>
    <mergeCell ref="B412:B413"/>
    <mergeCell ref="C412:C413"/>
    <mergeCell ref="D412:D413"/>
    <mergeCell ref="W412:W413"/>
    <mergeCell ref="B424:U424"/>
    <mergeCell ref="A443:A444"/>
    <mergeCell ref="B443:B444"/>
    <mergeCell ref="C443:C444"/>
    <mergeCell ref="D443:D444"/>
    <mergeCell ref="W443:W444"/>
    <mergeCell ref="A505:A506"/>
    <mergeCell ref="B505:B506"/>
    <mergeCell ref="C505:C506"/>
    <mergeCell ref="D505:D506"/>
    <mergeCell ref="W505:W506"/>
    <mergeCell ref="B517:U517"/>
    <mergeCell ref="A536:A537"/>
    <mergeCell ref="B536:B537"/>
    <mergeCell ref="C536:C537"/>
    <mergeCell ref="D536:D537"/>
    <mergeCell ref="W536:W537"/>
  </mergeCells>
  <phoneticPr fontId="0" type="noConversion"/>
  <pageMargins left="0.78740157480314965" right="0.78740157480314965" top="1.1811023622047245" bottom="0" header="0.23622047244094491" footer="0"/>
  <pageSetup paperSize="9" scale="81" orientation="landscape" r:id="rId1"/>
  <headerFooter alignWithMargins="0"/>
  <rowBreaks count="1" manualBreakCount="1">
    <brk id="690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</vt:i4>
      </vt:variant>
    </vt:vector>
  </HeadingPairs>
  <TitlesOfParts>
    <vt:vector size="7" baseType="lpstr">
      <vt:lpstr>Распределение РБ</vt:lpstr>
      <vt:lpstr>Распределение РФ</vt:lpstr>
      <vt:lpstr>'Распределение РБ'!Заголовки_для_печати</vt:lpstr>
      <vt:lpstr>'Распределение РФ'!Заголовки_для_печати</vt:lpstr>
      <vt:lpstr>'Распределение РФ'!Область_печати</vt:lpstr>
      <vt:lpstr>ПреподавателиРБ</vt:lpstr>
      <vt:lpstr>ПреподавателиРФ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Расчет штата кафедры</dc:title>
  <dc:creator>VicShir</dc:creator>
  <dc:description>Исправленный набор, распределено все кроме ДП и практики</dc:description>
  <cp:lastModifiedBy>Viktor</cp:lastModifiedBy>
  <cp:lastPrinted>2021-09-06T07:37:35Z</cp:lastPrinted>
  <dcterms:created xsi:type="dcterms:W3CDTF">1955-03-05T12:00:10Z</dcterms:created>
  <dcterms:modified xsi:type="dcterms:W3CDTF">2021-10-22T18:39:22Z</dcterms:modified>
</cp:coreProperties>
</file>